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Data Analyst\Portfolio session\"/>
    </mc:Choice>
  </mc:AlternateContent>
  <bookViews>
    <workbookView xWindow="0" yWindow="0" windowWidth="20460" windowHeight="8970" activeTab="3"/>
  </bookViews>
  <sheets>
    <sheet name="RawData" sheetId="2" r:id="rId1"/>
    <sheet name="Financial_Analytical_datas" sheetId="1" r:id="rId2"/>
    <sheet name="pivot_table" sheetId="3" r:id="rId3"/>
    <sheet name="Requirements" sheetId="4" r:id="rId4"/>
  </sheets>
  <definedNames>
    <definedName name="_xlcn.WorksheetConnection_FinancialAnalyticaldataset.xlsxTable11" hidden="1">Table1[]</definedName>
  </definedNames>
  <calcPr calcId="152511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-42ec8ba4-b57b-4e41-9499-62406941e5bb" name="Table1" connection="WorksheetConnection_Financial Analytical dataset.xlsx!Table1"/>
        </x15:modelTables>
      </x15:dataModel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L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Financial Analytical dataset.xlsx!Table1" type="102" refreshedVersion="5" minRefreshableVersion="5">
    <extLst>
      <ext xmlns:x15="http://schemas.microsoft.com/office/spreadsheetml/2010/11/main" uri="{DE250136-89BD-433C-8126-D09CA5730AF9}">
        <x15:connection id="Table1-42ec8ba4-b57b-4e41-9499-62406941e5bb" autoDelete="1">
          <x15:rangePr sourceName="_xlcn.WorksheetConnection_FinancialAnalyticaldataset.xlsxTable11"/>
        </x15:connection>
      </ext>
    </extLst>
  </connection>
</connections>
</file>

<file path=xl/sharedStrings.xml><?xml version="1.0" encoding="utf-8"?>
<sst xmlns="http://schemas.openxmlformats.org/spreadsheetml/2006/main" count="22079" uniqueCount="2060">
  <si>
    <t>Order_ID</t>
  </si>
  <si>
    <t>Order_Date</t>
  </si>
  <si>
    <t>Region</t>
  </si>
  <si>
    <t>Product_Category</t>
  </si>
  <si>
    <t>Sales</t>
  </si>
  <si>
    <t>Cost</t>
  </si>
  <si>
    <t>Profit</t>
  </si>
  <si>
    <t>Customer_Segment</t>
  </si>
  <si>
    <t>Salesperson</t>
  </si>
  <si>
    <t>Payment_Method</t>
  </si>
  <si>
    <t>ORD100001</t>
  </si>
  <si>
    <t>Central</t>
  </si>
  <si>
    <t>Appliances</t>
  </si>
  <si>
    <t>Consumer</t>
  </si>
  <si>
    <t>Rahul</t>
  </si>
  <si>
    <t>UPI</t>
  </si>
  <si>
    <t>ORD100002</t>
  </si>
  <si>
    <t>South</t>
  </si>
  <si>
    <t>Furniture</t>
  </si>
  <si>
    <t>Small Business</t>
  </si>
  <si>
    <t>Arjun</t>
  </si>
  <si>
    <t>ORD100003</t>
  </si>
  <si>
    <t>East</t>
  </si>
  <si>
    <t>Aarav</t>
  </si>
  <si>
    <t>Bank Transfer</t>
  </si>
  <si>
    <t>ORD100004</t>
  </si>
  <si>
    <t>West</t>
  </si>
  <si>
    <t>Corporate</t>
  </si>
  <si>
    <t>Sneha</t>
  </si>
  <si>
    <t>Debit Card</t>
  </si>
  <si>
    <t>ORD100005</t>
  </si>
  <si>
    <t>Priya</t>
  </si>
  <si>
    <t>ORD100006</t>
  </si>
  <si>
    <t>Office Supplies</t>
  </si>
  <si>
    <t>Anjali</t>
  </si>
  <si>
    <t>ORD100007</t>
  </si>
  <si>
    <t>Software</t>
  </si>
  <si>
    <t>ORD100008</t>
  </si>
  <si>
    <t>Enterprise</t>
  </si>
  <si>
    <t>ORD100009</t>
  </si>
  <si>
    <t>ORD100010</t>
  </si>
  <si>
    <t>Electronics</t>
  </si>
  <si>
    <t>Cash</t>
  </si>
  <si>
    <t>ORD100011</t>
  </si>
  <si>
    <t>North</t>
  </si>
  <si>
    <t>Vikram</t>
  </si>
  <si>
    <t>ORD100012</t>
  </si>
  <si>
    <t>ORD100013</t>
  </si>
  <si>
    <t>ORD100014</t>
  </si>
  <si>
    <t>ORD100015</t>
  </si>
  <si>
    <t>ORD100016</t>
  </si>
  <si>
    <t>ORD100017</t>
  </si>
  <si>
    <t>ORD100018</t>
  </si>
  <si>
    <t>Credit Card</t>
  </si>
  <si>
    <t>ORD100019</t>
  </si>
  <si>
    <t>ORD100020</t>
  </si>
  <si>
    <t>ORD100021</t>
  </si>
  <si>
    <t>ORD100022</t>
  </si>
  <si>
    <t>ORD100023</t>
  </si>
  <si>
    <t>ORD100024</t>
  </si>
  <si>
    <t>Kiran</t>
  </si>
  <si>
    <t>ORD100025</t>
  </si>
  <si>
    <t>ORD100026</t>
  </si>
  <si>
    <t>Meera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</si>
  <si>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</si>
  <si>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</si>
  <si>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</si>
  <si>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</si>
  <si>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</si>
  <si>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</si>
  <si>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</si>
  <si>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</si>
  <si>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</si>
  <si>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</si>
  <si>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</si>
  <si>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</si>
  <si>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</si>
  <si>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</si>
  <si>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Diya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</si>
  <si>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</si>
  <si>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</si>
  <si>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</si>
  <si>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</si>
  <si>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</si>
  <si>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</si>
  <si>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</si>
  <si>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</si>
  <si>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</si>
  <si>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</si>
  <si>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</si>
  <si>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</si>
  <si>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</si>
  <si>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</si>
  <si>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</si>
  <si>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</si>
  <si>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</si>
  <si>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</si>
  <si>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</si>
  <si>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</si>
  <si>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</si>
  <si>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</si>
  <si>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</si>
  <si>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</si>
  <si>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</si>
  <si>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</si>
  <si>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</si>
  <si>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</si>
  <si>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</si>
  <si>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</si>
  <si>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</si>
  <si>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</si>
  <si>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</si>
  <si>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</si>
  <si>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</si>
  <si>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</si>
  <si>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</si>
  <si>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</si>
  <si>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</si>
  <si>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</si>
  <si>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</si>
  <si>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</si>
  <si>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</si>
  <si>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</si>
  <si>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</si>
  <si>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</si>
  <si>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</si>
  <si>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</si>
  <si>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</si>
  <si>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</si>
  <si>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</si>
  <si>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</si>
  <si>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</si>
  <si>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</si>
  <si>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</si>
  <si>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</si>
  <si>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</si>
  <si>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</si>
  <si>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</si>
  <si>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</si>
  <si>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</si>
  <si>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</si>
  <si>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</si>
  <si>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</si>
  <si>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</si>
  <si>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</si>
  <si>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</si>
  <si>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</si>
  <si>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</si>
  <si>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</si>
  <si>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</si>
  <si>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</si>
  <si>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</si>
  <si>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</si>
  <si>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</si>
  <si>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</si>
  <si>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</si>
  <si>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</si>
  <si>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</si>
  <si>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</si>
  <si>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</si>
  <si>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</si>
  <si>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</si>
  <si>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</si>
  <si>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</si>
  <si>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</si>
  <si>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</si>
  <si>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</si>
  <si>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</si>
  <si>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</si>
  <si>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</si>
  <si>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</si>
  <si>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</si>
  <si>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</si>
  <si>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</si>
  <si>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</si>
  <si>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</si>
  <si>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</si>
  <si>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</si>
  <si>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</si>
  <si>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</si>
  <si>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</si>
  <si>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</si>
  <si>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</si>
  <si>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</si>
  <si>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</si>
  <si>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</si>
  <si>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</si>
  <si>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</si>
  <si>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</si>
  <si>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</si>
  <si>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</si>
  <si>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</si>
  <si>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</si>
  <si>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</si>
  <si>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</si>
  <si>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</si>
  <si>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</si>
  <si>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</si>
  <si>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</si>
  <si>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</si>
  <si>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</si>
  <si>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</si>
  <si>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</si>
  <si>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</si>
  <si>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</si>
  <si>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</si>
  <si>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</si>
  <si>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</si>
  <si>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</si>
  <si>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</si>
  <si>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</si>
  <si>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</si>
  <si>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</si>
  <si>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</si>
  <si>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</si>
  <si>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</si>
  <si>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</si>
  <si>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</si>
  <si>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</si>
  <si>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</si>
  <si>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</si>
  <si>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</si>
  <si>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</si>
  <si>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</si>
  <si>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</si>
  <si>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</si>
  <si>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</si>
  <si>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</si>
  <si>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</si>
  <si>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</si>
  <si>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</si>
  <si>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</si>
  <si>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</si>
  <si>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</si>
  <si>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</si>
  <si>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</si>
  <si>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</si>
  <si>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</si>
  <si>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</si>
  <si>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</si>
  <si>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</si>
  <si>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</si>
  <si>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</si>
  <si>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</si>
  <si>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</si>
  <si>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</si>
  <si>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</si>
  <si>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</si>
  <si>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</si>
  <si>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</si>
  <si>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</si>
  <si>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</si>
  <si>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</si>
  <si>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</si>
  <si>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</si>
  <si>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</si>
  <si>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</si>
  <si>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</si>
  <si>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</si>
  <si>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</si>
  <si>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</si>
  <si>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</si>
  <si>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</si>
  <si>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</si>
  <si>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</si>
  <si>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</si>
  <si>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</si>
  <si>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</si>
  <si>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</si>
  <si>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</si>
  <si>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</si>
  <si>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</si>
  <si>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</si>
  <si>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</si>
  <si>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</si>
  <si>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</si>
  <si>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</si>
  <si>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</si>
  <si>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</si>
  <si>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</si>
  <si>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</si>
  <si>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</si>
  <si>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</si>
  <si>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</si>
  <si>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</si>
  <si>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</si>
  <si>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</si>
  <si>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</si>
  <si>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</si>
  <si>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</si>
  <si>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</si>
  <si>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</si>
  <si>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</si>
  <si>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</si>
  <si>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</si>
  <si>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</si>
  <si>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</si>
  <si>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</si>
  <si>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</si>
  <si>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</si>
  <si>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</si>
  <si>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</si>
  <si>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</si>
  <si>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</si>
  <si>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</si>
  <si>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</si>
  <si>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</si>
  <si>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</si>
  <si>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</si>
  <si>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</si>
  <si>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</si>
  <si>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</si>
  <si>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</si>
  <si>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</si>
  <si>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</si>
  <si>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</si>
  <si>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</si>
  <si>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</si>
  <si>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</si>
  <si>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</si>
  <si>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</si>
  <si>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</si>
  <si>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</si>
  <si>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</si>
  <si>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</si>
  <si>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</si>
  <si>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</si>
  <si>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</si>
  <si>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</si>
  <si>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</si>
  <si>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</si>
  <si>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</si>
  <si>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</si>
  <si>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</si>
  <si>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</si>
  <si>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</si>
  <si>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</si>
  <si>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</si>
  <si>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</si>
  <si>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</si>
  <si>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</si>
  <si>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</si>
  <si>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</si>
  <si>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</si>
  <si>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</si>
  <si>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</si>
  <si>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</si>
  <si>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</si>
  <si>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</si>
  <si>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</si>
  <si>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</si>
  <si>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</si>
  <si>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</si>
  <si>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</si>
  <si>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</si>
  <si>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</si>
  <si>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</si>
  <si>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</si>
  <si>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</si>
  <si>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</si>
  <si>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</si>
  <si>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</si>
  <si>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</si>
  <si>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</si>
  <si>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</si>
  <si>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</si>
  <si>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</si>
  <si>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</si>
  <si>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</si>
  <si>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</si>
  <si>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</si>
  <si>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</si>
  <si>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</si>
  <si>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</si>
  <si>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</si>
  <si>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</si>
  <si>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</si>
  <si>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</si>
  <si>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</si>
  <si>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</si>
  <si>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</si>
  <si>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</si>
  <si>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</si>
  <si>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</si>
  <si>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</si>
  <si>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</si>
  <si>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</si>
  <si>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</si>
  <si>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</si>
  <si>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</si>
  <si>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</si>
  <si>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</si>
  <si>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</si>
  <si>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</si>
  <si>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</si>
  <si>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</si>
  <si>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</si>
  <si>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</si>
  <si>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</si>
  <si>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</si>
  <si>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</si>
  <si>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</si>
  <si>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</si>
  <si>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</si>
  <si>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</si>
  <si>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</si>
  <si>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</si>
  <si>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</si>
  <si>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</si>
  <si>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</si>
  <si>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</si>
  <si>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</si>
  <si>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</si>
  <si>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</si>
  <si>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</si>
  <si>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</si>
  <si>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</si>
  <si>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</si>
  <si>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</si>
  <si>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</si>
  <si>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</si>
  <si>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</si>
  <si>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</si>
  <si>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</si>
  <si>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</si>
  <si>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</si>
  <si>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</si>
  <si>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</si>
  <si>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</si>
  <si>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</si>
  <si>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</si>
  <si>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</si>
  <si>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</si>
  <si>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</si>
  <si>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</si>
  <si>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</si>
  <si>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</si>
  <si>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</si>
  <si>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</si>
  <si>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</si>
  <si>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</si>
  <si>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</si>
  <si>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</si>
  <si>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</si>
  <si>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</si>
  <si>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</si>
  <si>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</si>
  <si>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</si>
  <si>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</si>
  <si>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</si>
  <si>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</si>
  <si>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</si>
  <si>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</si>
  <si>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</si>
  <si>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</si>
  <si>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</si>
  <si>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</si>
  <si>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</si>
  <si>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</si>
  <si>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</si>
  <si>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</si>
  <si>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</si>
  <si>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</si>
  <si>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</si>
  <si>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</si>
  <si>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</si>
  <si>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</si>
  <si>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</si>
  <si>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</si>
  <si>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</si>
  <si>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</si>
  <si>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</si>
  <si>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</si>
  <si>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</si>
  <si>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</si>
  <si>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</si>
  <si>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</si>
  <si>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</si>
  <si>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</si>
  <si>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</si>
  <si>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</si>
  <si>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</si>
  <si>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</si>
  <si>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</si>
  <si>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</si>
  <si>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</si>
  <si>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</si>
  <si>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</si>
  <si>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</si>
  <si>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</si>
  <si>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</si>
  <si>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</si>
  <si>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</si>
  <si>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</si>
  <si>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</si>
  <si>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</si>
  <si>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</si>
  <si>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</si>
  <si>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</si>
  <si>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</si>
  <si>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</si>
  <si>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</si>
  <si>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</si>
  <si>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</si>
  <si>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</si>
  <si>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</si>
  <si>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</si>
  <si>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</si>
  <si>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</si>
  <si>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</si>
  <si>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</si>
  <si>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</si>
  <si>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</si>
  <si>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</si>
  <si>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</si>
  <si>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</si>
  <si>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</si>
  <si>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</si>
  <si>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</si>
  <si>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</si>
  <si>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</si>
  <si>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</si>
  <si>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</si>
  <si>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</si>
  <si>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</si>
  <si>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</si>
  <si>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</si>
  <si>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</si>
  <si>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</si>
  <si>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</si>
  <si>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</si>
  <si>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</si>
  <si>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</si>
  <si>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</si>
  <si>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</si>
  <si>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</si>
  <si>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</si>
  <si>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</si>
  <si>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</si>
  <si>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</si>
  <si>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</si>
  <si>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</si>
  <si>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</si>
  <si>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</si>
  <si>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</si>
  <si>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</si>
  <si>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</si>
  <si>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</si>
  <si>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</si>
  <si>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</si>
  <si>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</si>
  <si>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</si>
  <si>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</si>
  <si>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</si>
  <si>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</si>
  <si>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</si>
  <si>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</si>
  <si>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</si>
  <si>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</si>
  <si>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</si>
  <si>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</si>
  <si>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</si>
  <si>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</si>
  <si>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</si>
  <si>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</si>
  <si>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</si>
  <si>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</si>
  <si>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</si>
  <si>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</si>
  <si>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</si>
  <si>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</si>
  <si>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</si>
  <si>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</si>
  <si>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</si>
  <si>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</si>
  <si>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</si>
  <si>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</si>
  <si>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</si>
  <si>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</si>
  <si>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</si>
  <si>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</si>
  <si>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</si>
  <si>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</si>
  <si>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</si>
  <si>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</si>
  <si>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</si>
  <si>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</si>
  <si>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</si>
  <si>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</si>
  <si>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</si>
  <si>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</si>
  <si>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</si>
  <si>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</si>
  <si>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</si>
  <si>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</si>
  <si>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</si>
  <si>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</si>
  <si>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</si>
  <si>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</si>
  <si>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</si>
  <si>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</si>
  <si>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</si>
  <si>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</si>
  <si>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</si>
  <si>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</si>
  <si>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</si>
  <si>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</si>
  <si>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</si>
  <si>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</si>
  <si>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</si>
  <si>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</si>
  <si>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</si>
  <si>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</si>
  <si>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</si>
  <si>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</si>
  <si>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</si>
  <si>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</si>
  <si>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</si>
  <si>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</si>
  <si>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</si>
  <si>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</si>
  <si>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</si>
  <si>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</si>
  <si>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</si>
  <si>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</si>
  <si>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</si>
  <si>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</si>
  <si>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</si>
  <si>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</si>
  <si>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</si>
  <si>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</si>
  <si>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</si>
  <si>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</si>
  <si>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</si>
  <si>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</si>
  <si>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</si>
  <si>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</si>
  <si>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</si>
  <si>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</si>
  <si>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</si>
  <si>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</si>
  <si>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</si>
  <si>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</si>
  <si>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</si>
  <si>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</si>
  <si>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</si>
  <si>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</si>
  <si>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</si>
  <si>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</si>
  <si>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</si>
  <si>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</si>
  <si>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</si>
  <si>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</si>
  <si>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</si>
  <si>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</si>
  <si>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</si>
  <si>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</si>
  <si>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</si>
  <si>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</si>
  <si>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</si>
  <si>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</si>
  <si>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</si>
  <si>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</si>
  <si>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</si>
  <si>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</si>
  <si>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</si>
  <si>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</si>
  <si>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</si>
  <si>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</si>
  <si>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</si>
  <si>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</si>
  <si>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</si>
  <si>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</si>
  <si>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</si>
  <si>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</si>
  <si>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</si>
  <si>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</si>
  <si>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</si>
  <si>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</si>
  <si>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</si>
  <si>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</si>
  <si>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</si>
  <si>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</si>
  <si>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</si>
  <si>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</si>
  <si>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</si>
  <si>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</si>
  <si>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</si>
  <si>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</si>
  <si>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</si>
  <si>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</si>
  <si>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</si>
  <si>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</si>
  <si>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</si>
  <si>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</si>
  <si>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</si>
  <si>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</si>
  <si>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</si>
  <si>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</si>
  <si>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</si>
  <si>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</si>
  <si>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</si>
  <si>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</si>
  <si>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</si>
  <si>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</si>
  <si>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</si>
  <si>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</si>
  <si>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</si>
  <si>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</si>
  <si>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</si>
  <si>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</si>
  <si>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</si>
  <si>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</si>
  <si>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</si>
  <si>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</si>
  <si>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</si>
  <si>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</si>
  <si>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</si>
  <si>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</si>
  <si>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</si>
  <si>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</si>
  <si>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</si>
  <si>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</si>
  <si>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</si>
  <si>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</si>
  <si>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</si>
  <si>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</si>
  <si>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</si>
  <si>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</si>
  <si>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</si>
  <si>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</si>
  <si>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</si>
  <si>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</si>
  <si>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</si>
  <si>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</si>
  <si>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</si>
  <si>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</si>
  <si>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</si>
  <si>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</si>
  <si>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</si>
  <si>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</si>
  <si>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</si>
  <si>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</si>
  <si>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</si>
  <si>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</si>
  <si>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</si>
  <si>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</si>
  <si>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</si>
  <si>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</si>
  <si>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</si>
  <si>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</si>
  <si>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</si>
  <si>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</si>
  <si>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</si>
  <si>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</si>
  <si>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</si>
  <si>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</si>
  <si>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</si>
  <si>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</si>
  <si>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</si>
  <si>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</si>
  <si>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</si>
  <si>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</si>
  <si>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</si>
  <si>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</si>
  <si>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</si>
  <si>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</si>
  <si>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</si>
  <si>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</si>
  <si>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</si>
  <si>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</si>
  <si>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</si>
  <si>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</si>
  <si>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</si>
  <si>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</si>
  <si>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</si>
  <si>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</si>
  <si>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</si>
  <si>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</si>
  <si>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</si>
  <si>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</si>
  <si>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</si>
  <si>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</si>
  <si>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</si>
  <si>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</si>
  <si>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</si>
  <si>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</si>
  <si>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</si>
  <si>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</si>
  <si>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</si>
  <si>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</si>
  <si>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</si>
  <si>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</si>
  <si>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</si>
  <si>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</si>
  <si>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</si>
  <si>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</si>
  <si>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</si>
  <si>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</si>
  <si>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</si>
  <si>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</si>
  <si>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</si>
  <si>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</si>
  <si>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</si>
  <si>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</si>
  <si>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</si>
  <si>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</si>
  <si>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</si>
  <si>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</si>
  <si>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</si>
  <si>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</si>
  <si>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</si>
  <si>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</si>
  <si>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</si>
  <si>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</si>
  <si>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</si>
  <si>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</si>
  <si>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</si>
  <si>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</si>
  <si>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</si>
  <si>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</si>
  <si>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</si>
  <si>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</si>
  <si>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</si>
  <si>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</si>
  <si>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</si>
  <si>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</si>
  <si>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</si>
  <si>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</si>
  <si>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</si>
  <si>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</si>
  <si>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</si>
  <si>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</si>
  <si>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</si>
  <si>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</si>
  <si>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</si>
  <si>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</si>
  <si>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</si>
  <si>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</si>
  <si>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</si>
  <si>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</si>
  <si>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</si>
  <si>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</si>
  <si>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</si>
  <si>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</si>
  <si>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</si>
  <si>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</si>
  <si>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</si>
  <si>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</si>
  <si>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</si>
  <si>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</si>
  <si>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</si>
  <si>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</si>
  <si>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</si>
  <si>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</si>
  <si>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</si>
  <si>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</si>
  <si>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</si>
  <si>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</si>
  <si>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</si>
  <si>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</si>
  <si>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</si>
  <si>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</si>
  <si>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</si>
  <si>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</si>
  <si>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</si>
  <si>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</si>
  <si>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</si>
  <si>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</si>
  <si>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</si>
  <si>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</si>
  <si>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</si>
  <si>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</si>
  <si>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</si>
  <si>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</si>
  <si>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</si>
  <si>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</si>
  <si>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</si>
  <si>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</si>
  <si>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</si>
  <si>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</si>
  <si>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</si>
  <si>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</si>
  <si>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</si>
  <si>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</si>
  <si>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</si>
  <si>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</si>
  <si>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</si>
  <si>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</si>
  <si>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</si>
  <si>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</si>
  <si>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</si>
  <si>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</si>
  <si>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</si>
  <si>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</si>
  <si>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</si>
  <si>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</si>
  <si>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</si>
  <si>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</si>
  <si>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</si>
  <si>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</si>
  <si>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</si>
  <si>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</si>
  <si>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</si>
  <si>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</si>
  <si>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</si>
  <si>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</si>
  <si>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</si>
  <si>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</si>
  <si>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</si>
  <si>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</si>
  <si>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</si>
  <si>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</si>
  <si>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</si>
  <si>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</si>
  <si>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</si>
  <si>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</si>
  <si>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</si>
  <si>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</si>
  <si>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</si>
  <si>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</si>
  <si>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</si>
  <si>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</si>
  <si>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</si>
  <si>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</si>
  <si>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</si>
  <si>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</si>
  <si>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</si>
  <si>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</si>
  <si>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</si>
  <si>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</si>
  <si>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</si>
  <si>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</si>
  <si>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</si>
  <si>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</si>
  <si>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</si>
  <si>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</si>
  <si>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</si>
  <si>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</si>
  <si>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</si>
  <si>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</si>
  <si>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</si>
  <si>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</si>
  <si>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</si>
  <si>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</si>
  <si>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</si>
  <si>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</si>
  <si>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</si>
  <si>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</si>
  <si>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</si>
  <si>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</si>
  <si>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</si>
  <si>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</si>
  <si>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</si>
  <si>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</si>
  <si>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</si>
  <si>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</si>
  <si>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</si>
  <si>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</si>
  <si>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</si>
  <si>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</si>
  <si>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</si>
  <si>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</si>
  <si>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</si>
  <si>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</si>
  <si>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</si>
  <si>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</si>
  <si>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</si>
  <si>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</si>
  <si>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</si>
  <si>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</si>
  <si>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</si>
  <si>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</si>
  <si>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</si>
  <si>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</si>
  <si>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</si>
  <si>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</si>
  <si>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</si>
  <si>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</si>
  <si>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</si>
  <si>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</si>
  <si>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</si>
  <si>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</si>
  <si>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</si>
  <si>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</si>
  <si>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</si>
  <si>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</si>
  <si>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</si>
  <si>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</si>
  <si>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</si>
  <si>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</si>
  <si>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</si>
  <si>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</si>
  <si>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</si>
  <si>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</si>
  <si>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</si>
  <si>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</si>
  <si>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</si>
  <si>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</si>
  <si>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</si>
  <si>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</si>
  <si>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</si>
  <si>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</si>
  <si>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</si>
  <si>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</si>
  <si>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</si>
  <si>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</si>
  <si>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</si>
  <si>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</si>
  <si>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</si>
  <si>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</si>
  <si>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</si>
  <si>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</si>
  <si>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</si>
  <si>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</si>
  <si>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</si>
  <si>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</si>
  <si>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</si>
  <si>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</si>
  <si>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</si>
  <si>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</si>
  <si>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</si>
  <si>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</si>
  <si>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</si>
  <si>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</si>
  <si>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</si>
  <si>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</si>
  <si>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</si>
  <si>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</si>
  <si>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</si>
  <si>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</si>
  <si>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</si>
  <si>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</si>
  <si>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</si>
  <si>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</si>
  <si>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</si>
  <si>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</si>
  <si>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</si>
  <si>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</si>
  <si>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</si>
  <si>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</si>
  <si>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</si>
  <si>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</si>
  <si>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</si>
  <si>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</si>
  <si>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</si>
  <si>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</si>
  <si>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</si>
  <si>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</si>
  <si>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</si>
  <si>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</si>
  <si>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</si>
  <si>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</si>
  <si>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</si>
  <si>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</si>
  <si>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</si>
  <si>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</si>
  <si>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</si>
  <si>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</si>
  <si>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</si>
  <si>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</si>
  <si>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</si>
  <si>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</si>
  <si>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</si>
  <si>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</si>
  <si>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</si>
  <si>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</si>
  <si>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</si>
  <si>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</si>
  <si>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</si>
  <si>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</si>
  <si>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</si>
  <si>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</si>
  <si>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</si>
  <si>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</si>
  <si>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</si>
  <si>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</si>
  <si>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</si>
  <si>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</si>
  <si>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</si>
  <si>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</si>
  <si>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</si>
  <si>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</si>
  <si>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</si>
  <si>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</si>
  <si>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</si>
  <si>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</si>
  <si>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</si>
  <si>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</si>
  <si>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</si>
  <si>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</si>
  <si>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</si>
  <si>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</si>
  <si>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</si>
  <si>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</si>
  <si>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</si>
  <si>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</si>
  <si>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</si>
  <si>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</si>
  <si>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</si>
  <si>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</si>
  <si>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</si>
  <si>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</si>
  <si>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</si>
  <si>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</si>
  <si>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</si>
  <si>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</si>
  <si>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</si>
  <si>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</si>
  <si>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</si>
  <si>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</si>
  <si>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</si>
  <si>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</si>
  <si>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</si>
  <si>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</si>
  <si>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</si>
  <si>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</si>
  <si>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</si>
  <si>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</si>
  <si>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</si>
  <si>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</si>
  <si>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</si>
  <si>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</si>
  <si>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</si>
  <si>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</si>
  <si>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</si>
  <si>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</si>
  <si>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</si>
  <si>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</si>
  <si>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</si>
  <si>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</si>
  <si>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</si>
  <si>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</si>
  <si>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</si>
  <si>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</si>
  <si>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</si>
  <si>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</si>
  <si>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</si>
  <si>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</si>
  <si>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</si>
  <si>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</si>
  <si>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</si>
  <si>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</si>
  <si>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</si>
  <si>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</si>
  <si>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</si>
  <si>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</si>
  <si>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</si>
  <si>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</si>
  <si>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</si>
  <si>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</si>
  <si>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</si>
  <si>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</si>
  <si>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</si>
  <si>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</si>
  <si>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</si>
  <si>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</si>
  <si>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</si>
  <si>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</si>
  <si>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</si>
  <si>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</si>
  <si>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</si>
  <si>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</si>
  <si>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</si>
  <si>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</si>
  <si>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</si>
  <si>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</si>
  <si>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</si>
  <si>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</si>
  <si>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</si>
  <si>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</si>
  <si>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</si>
  <si>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</si>
  <si>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</si>
  <si>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</si>
  <si>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</si>
  <si>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</si>
  <si>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</si>
  <si>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</si>
  <si>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</si>
  <si>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</si>
  <si>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</si>
  <si>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</si>
  <si>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</si>
  <si>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</si>
  <si>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</si>
  <si>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</si>
  <si>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</si>
  <si>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</si>
  <si>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</si>
  <si>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</si>
  <si>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</si>
  <si>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</si>
  <si>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</si>
  <si>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</si>
  <si>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</si>
  <si>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</si>
  <si>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</si>
  <si>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</si>
  <si>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</si>
  <si>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</si>
  <si>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</si>
  <si>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</si>
  <si>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</si>
  <si>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</si>
  <si>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</si>
  <si>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</si>
  <si>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</si>
  <si>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</si>
  <si>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</si>
  <si>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</si>
  <si>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</si>
  <si>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</si>
  <si>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</si>
  <si>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</si>
  <si>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</si>
  <si>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</si>
  <si>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</si>
  <si>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</si>
  <si>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</si>
  <si>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</si>
  <si>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</si>
  <si>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</si>
  <si>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</si>
  <si>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</si>
  <si>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</si>
  <si>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</si>
  <si>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</si>
  <si>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</si>
  <si>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</si>
  <si>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</si>
  <si>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</si>
  <si>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</si>
  <si>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</si>
  <si>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</si>
  <si>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</si>
  <si>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</si>
  <si>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</si>
  <si>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</si>
  <si>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</si>
  <si>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</si>
  <si>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</si>
  <si>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</si>
  <si>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</si>
  <si>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</si>
  <si>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</si>
  <si>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</si>
  <si>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</si>
  <si>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</si>
  <si>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</si>
  <si>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</si>
  <si>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</si>
  <si>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</si>
  <si>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</si>
  <si>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</si>
  <si>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</si>
  <si>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</si>
  <si>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</si>
  <si>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</si>
  <si>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</si>
  <si>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</si>
  <si>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</si>
  <si>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</si>
  <si>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</si>
  <si>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</si>
  <si>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</si>
  <si>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</si>
  <si>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</si>
  <si>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</si>
  <si>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</si>
  <si>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</si>
  <si>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</si>
  <si>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</si>
  <si>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</si>
  <si>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</si>
  <si>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</si>
  <si>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</si>
  <si>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</si>
  <si>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</si>
  <si>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</si>
  <si>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</si>
  <si>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</si>
  <si>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</si>
  <si>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</si>
  <si>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</si>
  <si>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</si>
  <si>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</si>
  <si>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</si>
  <si>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</si>
  <si>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</si>
  <si>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</si>
  <si>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</si>
  <si>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</si>
  <si>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</si>
  <si>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</si>
  <si>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</si>
  <si>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</si>
  <si>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</si>
  <si>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</si>
  <si>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</si>
  <si>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</si>
  <si>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</si>
  <si>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</si>
  <si>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</si>
  <si>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</si>
  <si>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</si>
  <si>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</si>
  <si>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</si>
  <si>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</si>
  <si>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</si>
  <si>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</si>
  <si>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</si>
  <si>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</si>
  <si>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</si>
  <si>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</si>
  <si>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</si>
  <si>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</si>
  <si>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</si>
  <si>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</si>
  <si>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</si>
  <si>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</si>
  <si>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</si>
  <si>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</si>
  <si>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</si>
  <si>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</si>
  <si>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</si>
  <si>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</si>
  <si>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</si>
  <si>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</si>
  <si>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</si>
  <si>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</si>
  <si>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</si>
  <si>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</si>
  <si>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</si>
  <si>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</si>
  <si>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</si>
  <si>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</si>
  <si>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</si>
  <si>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</si>
  <si>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</si>
  <si>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</si>
  <si>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</si>
  <si>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</si>
  <si>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</si>
  <si>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</si>
  <si>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</si>
  <si>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</si>
  <si>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</si>
  <si>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</si>
  <si>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</si>
  <si>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</si>
  <si>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</si>
  <si>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</si>
  <si>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</si>
  <si>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</si>
  <si>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</si>
  <si>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</si>
  <si>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</si>
  <si>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</si>
  <si>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</si>
  <si>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</si>
  <si>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</si>
  <si>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</si>
  <si>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</si>
  <si>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</si>
  <si>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</si>
  <si>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</si>
  <si>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</si>
  <si>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</si>
  <si>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</si>
  <si>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</si>
  <si>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</si>
  <si>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</si>
  <si>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</si>
  <si>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</si>
  <si>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</si>
  <si>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</si>
  <si>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</si>
  <si>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</si>
  <si>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</si>
  <si>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</si>
  <si>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</si>
  <si>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</si>
  <si>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</si>
  <si>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</si>
  <si>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</si>
  <si>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</si>
  <si>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</si>
  <si>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</si>
  <si>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</si>
  <si>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</si>
  <si>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</si>
  <si>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</si>
  <si>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</si>
  <si>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</si>
  <si>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</si>
  <si>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</si>
  <si>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</si>
  <si>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</si>
  <si>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</si>
  <si>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</si>
  <si>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</si>
  <si>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</si>
  <si>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</si>
  <si>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</si>
  <si>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</si>
  <si>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</si>
  <si>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</si>
  <si>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</si>
  <si>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</si>
  <si>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</si>
  <si>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</si>
  <si>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</si>
  <si>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</si>
  <si>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</si>
  <si>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</si>
  <si>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</si>
  <si>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</si>
  <si>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</si>
  <si>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</si>
  <si>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</si>
  <si>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</si>
  <si>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</si>
  <si>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</si>
  <si>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</si>
  <si>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</si>
  <si>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</si>
  <si>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</si>
  <si>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</si>
  <si>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</si>
  <si>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</si>
  <si>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</si>
  <si>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</si>
  <si>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</si>
  <si>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</si>
  <si>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</si>
  <si>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</si>
  <si>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</si>
  <si>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</si>
  <si>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</si>
  <si>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</si>
  <si>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</si>
  <si>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</si>
  <si>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</si>
  <si>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</si>
  <si>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</si>
  <si>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</si>
  <si>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</si>
  <si>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</si>
  <si>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</si>
  <si>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</si>
  <si>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</si>
  <si>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</si>
  <si>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</si>
  <si>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</si>
  <si>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</si>
  <si>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</si>
  <si>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</si>
  <si>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</si>
  <si>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</si>
  <si>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</si>
  <si>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</si>
  <si>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</si>
  <si>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</si>
  <si>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</si>
  <si>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</si>
  <si>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</si>
  <si>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</si>
  <si>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</si>
  <si>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</si>
  <si>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</si>
  <si>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</si>
  <si>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</si>
  <si>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</si>
  <si>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</si>
  <si>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</si>
  <si>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</si>
  <si>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</si>
  <si>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</si>
  <si>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</si>
  <si>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</si>
  <si>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</si>
  <si>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</si>
  <si>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</si>
  <si>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</si>
  <si>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</si>
  <si>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</si>
  <si>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</si>
  <si>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</si>
  <si>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</si>
  <si>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</si>
  <si>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</si>
  <si>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</si>
  <si>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</si>
  <si>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</si>
  <si>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</si>
  <si>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</si>
  <si>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</si>
  <si>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</si>
  <si>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</si>
  <si>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</si>
  <si>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</si>
  <si>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</si>
  <si>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</si>
  <si>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</si>
  <si>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</si>
  <si>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</si>
  <si>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</si>
  <si>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</si>
  <si>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</si>
  <si>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</si>
  <si>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</si>
  <si>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</si>
  <si>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</si>
  <si>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</si>
  <si>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</si>
  <si>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</si>
  <si>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</si>
  <si>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</si>
  <si>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</si>
  <si>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</si>
  <si>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</si>
  <si>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</si>
  <si>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</si>
  <si>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</si>
  <si>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</si>
  <si>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</si>
  <si>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</si>
  <si>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</si>
  <si>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</si>
  <si>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</si>
  <si>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</si>
  <si>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</si>
  <si>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</si>
  <si>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</si>
  <si>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</si>
  <si>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</si>
  <si>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</si>
  <si>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</si>
  <si>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</si>
  <si>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</si>
  <si>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</si>
  <si>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</si>
  <si>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</si>
  <si>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</si>
  <si>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</si>
  <si>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</si>
  <si>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</si>
  <si>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</si>
  <si>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</si>
  <si>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</si>
  <si>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</si>
  <si>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</si>
  <si>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</si>
  <si>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</si>
  <si>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</si>
  <si>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</si>
  <si>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</si>
  <si>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</si>
  <si>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</si>
  <si>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</si>
  <si>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</si>
  <si>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</si>
  <si>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</si>
  <si>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</si>
  <si>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</si>
  <si>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</si>
  <si>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</si>
  <si>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</si>
  <si>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</si>
  <si>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</si>
  <si>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</si>
  <si>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</si>
  <si>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</si>
  <si>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</si>
  <si>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</si>
  <si>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</si>
  <si>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</si>
  <si>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</si>
  <si>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</si>
  <si>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</si>
  <si>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</si>
  <si>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</si>
  <si>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</si>
  <si>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</si>
  <si>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</si>
  <si>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</si>
  <si>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</si>
  <si>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</si>
  <si>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</si>
  <si>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</si>
  <si>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</si>
  <si>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</si>
  <si>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</si>
  <si>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</si>
  <si>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</si>
  <si>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</si>
  <si>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</si>
  <si>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</si>
  <si>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</si>
  <si>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</si>
  <si>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</si>
  <si>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</si>
  <si>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</si>
  <si>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</si>
  <si>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</si>
  <si>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</si>
  <si>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</si>
  <si>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</si>
  <si>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</si>
  <si>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</si>
  <si>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</si>
  <si>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</si>
  <si>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</si>
  <si>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</si>
  <si>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</si>
  <si>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</si>
  <si>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</si>
  <si>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</si>
  <si>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</si>
  <si>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</si>
  <si>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</si>
  <si>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</si>
  <si>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</si>
  <si>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</si>
  <si>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</si>
  <si>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</si>
  <si>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</si>
  <si>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</si>
  <si>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</si>
  <si>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</si>
  <si>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</si>
  <si>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</si>
  <si>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</si>
  <si>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</si>
  <si>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</si>
  <si>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</si>
  <si>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</si>
  <si>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</si>
  <si>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</si>
  <si>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</si>
  <si>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</si>
  <si>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</si>
  <si>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</si>
  <si>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</si>
  <si>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</si>
  <si>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</si>
  <si>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</si>
  <si>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</si>
  <si>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</si>
  <si>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</si>
  <si>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</si>
  <si>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</si>
  <si>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</si>
  <si>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</si>
  <si>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</si>
  <si>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</si>
  <si>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</si>
  <si>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</si>
  <si>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</si>
  <si>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</si>
  <si>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</si>
  <si>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</si>
  <si>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</si>
  <si>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</si>
  <si>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</si>
  <si>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</si>
  <si>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</si>
  <si>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</si>
  <si>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</si>
  <si>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</si>
  <si>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</si>
  <si>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</si>
  <si>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</si>
  <si>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</si>
  <si>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</si>
  <si>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</si>
  <si>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</si>
  <si>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</si>
  <si>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</si>
  <si>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</si>
  <si>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</si>
  <si>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</si>
  <si>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</si>
  <si>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</si>
  <si>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</si>
  <si>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</si>
  <si>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</si>
  <si>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</si>
  <si>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</si>
  <si>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</si>
  <si>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</si>
  <si>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</si>
  <si>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</si>
  <si>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</si>
  <si>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</si>
  <si>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</si>
  <si>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</si>
  <si>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</si>
  <si>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</si>
  <si>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</si>
  <si>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</si>
  <si>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</si>
  <si>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</si>
  <si>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</si>
  <si>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</si>
  <si>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</si>
  <si>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</si>
  <si>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</si>
  <si>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</si>
  <si>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</si>
  <si>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</si>
  <si>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</si>
  <si>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</si>
  <si>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</si>
  <si>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</si>
  <si>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</si>
  <si>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</si>
  <si>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</si>
  <si>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</si>
  <si>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</si>
  <si>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</si>
  <si>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</si>
  <si>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</si>
  <si>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</si>
  <si>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</si>
  <si>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</si>
  <si>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</si>
  <si>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</si>
  <si>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</si>
  <si>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</si>
  <si>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</si>
  <si>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</si>
  <si>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</si>
  <si>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</si>
  <si>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</si>
  <si>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</si>
  <si>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</si>
  <si>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</si>
  <si>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</si>
  <si>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</si>
  <si>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</si>
  <si>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</si>
  <si>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</si>
  <si>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</si>
  <si>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</si>
  <si>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</si>
  <si>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</si>
  <si>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</si>
  <si>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</si>
  <si>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</si>
  <si>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</si>
  <si>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</si>
  <si>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</si>
  <si>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</si>
  <si>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</si>
  <si>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</si>
  <si>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</si>
  <si>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</si>
  <si>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</si>
  <si>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</si>
  <si>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</si>
  <si>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</si>
  <si>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</si>
  <si>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</si>
  <si>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</si>
  <si>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</si>
  <si>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</si>
  <si>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</si>
  <si>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</si>
  <si>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</si>
  <si>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</si>
  <si>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</si>
  <si>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</si>
  <si>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</si>
  <si>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</si>
  <si>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</si>
  <si>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</si>
  <si>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</si>
  <si>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</si>
  <si>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</si>
  <si>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</si>
  <si>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</si>
  <si>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</si>
  <si>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</si>
  <si>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</si>
  <si>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</si>
  <si>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</si>
  <si>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</si>
  <si>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</si>
  <si>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</si>
  <si>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</si>
  <si>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</si>
  <si>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</si>
  <si>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</si>
  <si>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</si>
  <si>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</si>
  <si>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</si>
  <si>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</si>
  <si>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</si>
  <si>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</si>
  <si>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</si>
  <si>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</si>
  <si>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</si>
  <si>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</si>
  <si>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</si>
  <si>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</si>
  <si>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</si>
  <si>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</si>
  <si>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</si>
  <si>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</si>
  <si>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</si>
  <si>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</si>
  <si>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</si>
  <si>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</si>
  <si>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</si>
  <si>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</si>
  <si>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</si>
  <si>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</si>
  <si>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</si>
  <si>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</si>
  <si>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</si>
  <si>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</si>
  <si>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</si>
  <si>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</si>
  <si>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</si>
  <si>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</si>
  <si>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</si>
  <si>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</si>
  <si>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</si>
  <si>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</si>
  <si>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</si>
  <si>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</si>
  <si>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</si>
  <si>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</si>
  <si>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</si>
  <si>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</si>
  <si>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</si>
  <si>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</si>
  <si>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</si>
  <si>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</si>
  <si>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</si>
  <si>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</si>
  <si>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</si>
  <si>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</si>
  <si>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</si>
  <si>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</si>
  <si>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</si>
  <si>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</si>
  <si>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</si>
  <si>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</si>
  <si>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</si>
  <si>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</si>
  <si>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</si>
  <si>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</si>
  <si>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</si>
  <si>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</si>
  <si>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</si>
  <si>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</si>
  <si>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</si>
  <si>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</si>
  <si>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</si>
  <si>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</si>
  <si>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</si>
  <si>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</si>
  <si>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</si>
  <si>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</si>
  <si>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</si>
  <si>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</si>
  <si>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</si>
  <si>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</si>
  <si>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</si>
  <si>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</si>
  <si>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</si>
  <si>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</si>
  <si>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</si>
  <si>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</si>
  <si>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</si>
  <si>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</si>
  <si>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</si>
  <si>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</si>
  <si>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</si>
  <si>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</si>
  <si>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</si>
  <si>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</si>
  <si>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</si>
  <si>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</si>
  <si>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</si>
  <si>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</si>
  <si>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</si>
  <si>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</si>
  <si>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</si>
  <si>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</si>
  <si>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</si>
  <si>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</si>
  <si>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</si>
  <si>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</si>
  <si>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</si>
  <si>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</si>
  <si>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</si>
  <si>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</si>
  <si>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</si>
  <si>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</si>
  <si>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</si>
  <si>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</si>
  <si>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</si>
  <si>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</si>
  <si>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</si>
  <si>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</si>
  <si>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</si>
  <si>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</si>
  <si>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</si>
  <si>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</si>
  <si>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</si>
  <si>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</si>
  <si>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</si>
  <si>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</si>
  <si>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</si>
  <si>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</si>
  <si>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</si>
  <si>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</si>
  <si>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</si>
  <si>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</si>
  <si>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</si>
  <si>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</si>
  <si>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</si>
  <si>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</si>
  <si>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</si>
  <si>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</si>
  <si>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</si>
  <si>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</si>
  <si>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</si>
  <si>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</si>
  <si>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</si>
  <si>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</si>
  <si>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</si>
  <si>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</si>
  <si>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</si>
  <si>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</si>
  <si>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</si>
  <si>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</si>
  <si>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</si>
  <si>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</si>
  <si>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</si>
  <si>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</si>
  <si>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</si>
  <si>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</si>
  <si>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</si>
  <si>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</si>
  <si>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</si>
  <si>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</si>
  <si>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</si>
  <si>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</si>
  <si>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</si>
  <si>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</si>
  <si>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</si>
  <si>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</si>
  <si>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</si>
  <si>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</si>
  <si>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</si>
  <si>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</si>
  <si>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</si>
  <si>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</si>
  <si>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</si>
  <si>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</si>
  <si>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</si>
  <si>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</si>
  <si>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</si>
  <si>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</si>
  <si>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</si>
  <si>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</si>
  <si>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</si>
  <si>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</si>
  <si>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</si>
  <si>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</si>
  <si>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</si>
  <si>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</si>
  <si>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</si>
  <si>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</si>
  <si>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</si>
  <si>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</si>
  <si>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</si>
  <si>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</si>
  <si>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</si>
  <si>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</si>
  <si>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</si>
  <si>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</si>
  <si>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</si>
  <si>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</si>
  <si>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</si>
  <si>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</si>
  <si>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</si>
  <si>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</si>
  <si>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</si>
  <si>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</si>
  <si>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</si>
  <si>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</si>
  <si>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</si>
  <si>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</si>
  <si>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</si>
  <si>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</si>
  <si>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</si>
  <si>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</si>
  <si>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</si>
  <si>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</si>
  <si>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</si>
  <si>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</si>
  <si>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</si>
  <si>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</si>
  <si>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</si>
  <si>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</si>
  <si>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</si>
  <si>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</si>
  <si>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</si>
  <si>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</si>
  <si>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</si>
  <si>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</si>
  <si>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</si>
  <si>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</si>
  <si>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</si>
  <si>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</si>
  <si>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</si>
  <si>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</si>
  <si>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</si>
  <si>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</si>
  <si>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</si>
  <si>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</si>
  <si>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</si>
  <si>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</si>
  <si>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</si>
  <si>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</si>
  <si>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</si>
  <si>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</si>
  <si>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</si>
  <si>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</si>
  <si>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</si>
  <si>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</si>
  <si>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</si>
  <si>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</si>
  <si>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Profit_Status</t>
  </si>
  <si>
    <t>Year</t>
  </si>
  <si>
    <t>Profit_Margin</t>
  </si>
  <si>
    <t>Sales_Category</t>
  </si>
  <si>
    <t>Order_Month</t>
  </si>
  <si>
    <t>Row Labels</t>
  </si>
  <si>
    <t>Grand Total</t>
  </si>
  <si>
    <t>Sum of Sales</t>
  </si>
  <si>
    <t>Sum of Profit</t>
  </si>
  <si>
    <t>Profit By product Category</t>
  </si>
  <si>
    <t>Count of Order_Date</t>
  </si>
  <si>
    <t>Highest Sales By Region</t>
  </si>
  <si>
    <t>Highest Sales By Salespersons</t>
  </si>
  <si>
    <t>Payment Method Usage</t>
  </si>
  <si>
    <t>Revenue By Customer Segment</t>
  </si>
  <si>
    <t>Average sales Per Order</t>
  </si>
  <si>
    <t>Highest Profit Earned</t>
  </si>
  <si>
    <t>Lowest Sales Transaction</t>
  </si>
  <si>
    <t>Average of Sales</t>
  </si>
  <si>
    <t>Max of Profit</t>
  </si>
  <si>
    <t>Min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</si>
</sst>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1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161924</xdr:rowOff>
    </xdr:from>
    <xdr:to>
      <xdr:col>12</xdr:col>
      <xdr:colOff>123825</xdr:colOff>
      <xdr:row>25</xdr:row>
      <xdr:rowOff>76199</xdr:rowOff>
    </xdr:to>
    <xdr:sp macro="" textlink="">
      <xdr:nvSpPr>
        <xdr:cNvPr id="2" name="Rectangle 1"/>
        <xdr:cNvSpPr/>
      </xdr:nvSpPr>
      <xdr:spPr>
        <a:xfrm>
          <a:off x="438150" y="161924"/>
          <a:ext cx="7000875" cy="46767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180975</xdr:colOff>
      <xdr:row>4</xdr:row>
      <xdr:rowOff>114300</xdr:rowOff>
    </xdr:from>
    <xdr:to>
      <xdr:col>11</xdr:col>
      <xdr:colOff>228600</xdr:colOff>
      <xdr:row>25</xdr:row>
      <xdr:rowOff>35439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876300"/>
          <a:ext cx="6143625" cy="3921639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1</xdr:row>
      <xdr:rowOff>133350</xdr:rowOff>
    </xdr:from>
    <xdr:to>
      <xdr:col>5</xdr:col>
      <xdr:colOff>552450</xdr:colOff>
      <xdr:row>4</xdr:row>
      <xdr:rowOff>47625</xdr:rowOff>
    </xdr:to>
    <xdr:sp macro="" textlink="">
      <xdr:nvSpPr>
        <xdr:cNvPr id="4" name="Rectangle 3"/>
        <xdr:cNvSpPr/>
      </xdr:nvSpPr>
      <xdr:spPr>
        <a:xfrm>
          <a:off x="904875" y="323850"/>
          <a:ext cx="2695575" cy="485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bg1"/>
              </a:solidFill>
            </a:rPr>
            <a:t>Requirements:</a:t>
          </a:r>
          <a:endParaRPr lang="en-IN" sz="1600" b="1">
            <a:solidFill>
              <a:schemeClr val="bg1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Lenovo" refreshedDate="46210.695607291666" backgroundQuery="1" createdVersion="5" refreshedVersion="5" minRefreshableVersion="3" recordCount="0" supportSubquery="1" supportAdvancedDrill="1">
  <cacheSource type="external" connectionId="1"/>
  <cacheFields count="2">
    <cacheField name="[Table1].[Region].[Region]" caption="Region" numFmtId="0" hierarchy="2" level="1">
      <sharedItems count="5">
        <s v="Central"/>
        <s v="East"/>
        <s v="North"/>
        <s v="South"/>
        <s v="West"/>
      </sharedItems>
    </cacheField>
    <cacheField name="[Measures].[Min of Sales]" caption="Min of Sales" numFmtId="0" hierarchy="21" level="32767"/>
  </cacheFields>
  <cacheHierarchies count="24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Category]" caption="Product_Category" attribute="1" defaultMemberUniqueName="[Table1].[Product_Category].[All]" allUniqueName="[Table1].[Product_Category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Cost]" caption="Cost" attribute="1" defaultMemberUniqueName="[Table1].[Cost].[All]" allUniqueName="[Table1].[Cos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Customer_Segment]" caption="Customer_Segment" attribute="1" defaultMemberUniqueName="[Table1].[Customer_Segment].[All]" allUniqueName="[Table1].[Customer_Segment].[All]" dimensionUniqueName="[Table1]" displayFolder="" count="0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rofit_Margin]" caption="Profit_Margin" attribute="1" defaultMemberUniqueName="[Table1].[Profit_Margin].[All]" allUniqueName="[Table1].[Profit_Margin].[All]" dimensionUniqueName="[Table1]" displayFolder="" count="0" memberValueDatatype="5" unbalanced="0"/>
    <cacheHierarchy uniqueName="[Table1].[Sales_Category]" caption="Sales_Category" attribute="1" defaultMemberUniqueName="[Table1].[Sales_Category].[All]" allUniqueName="[Table1].[Sales_Category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Profit_Status]" caption="Profit_Status" attribute="1" defaultMemberUniqueName="[Table1].[Profit_Status].[All]" allUniqueName="[Table1].[Profit_Status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]" caption="Count of Order_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Date]" caption="Count of Order_Dat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Sales]" caption="Average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ofit]" caption="Max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Sales]" caption="Min of Sale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Lenovo" refreshedDate="46210.695409490741" backgroundQuery="1" createdVersion="5" refreshedVersion="5" minRefreshableVersion="3" recordCount="0" supportSubquery="1" supportAdvancedDrill="1">
  <cacheSource type="external" connectionId="1"/>
  <cacheFields count="1">
    <cacheField name="[Measures].[Max of Profit]" caption="Max of Profit" numFmtId="0" hierarchy="20" level="32767"/>
  </cacheFields>
  <cacheHierarchies count="24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_Category]" caption="Product_Category" attribute="1" defaultMemberUniqueName="[Table1].[Product_Category].[All]" allUniqueName="[Table1].[Product_Category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Cost]" caption="Cost" attribute="1" defaultMemberUniqueName="[Table1].[Cost].[All]" allUniqueName="[Table1].[Cos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Customer_Segment]" caption="Customer_Segment" attribute="1" defaultMemberUniqueName="[Table1].[Customer_Segment].[All]" allUniqueName="[Table1].[Customer_Segment].[All]" dimensionUniqueName="[Table1]" displayFolder="" count="0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rofit_Margin]" caption="Profit_Margin" attribute="1" defaultMemberUniqueName="[Table1].[Profit_Margin].[All]" allUniqueName="[Table1].[Profit_Margin].[All]" dimensionUniqueName="[Table1]" displayFolder="" count="0" memberValueDatatype="5" unbalanced="0"/>
    <cacheHierarchy uniqueName="[Table1].[Sales_Category]" caption="Sales_Category" attribute="1" defaultMemberUniqueName="[Table1].[Sales_Category].[All]" allUniqueName="[Table1].[Sales_Category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Profit_Status]" caption="Profit_Status" attribute="1" defaultMemberUniqueName="[Table1].[Profit_Status].[All]" allUniqueName="[Table1].[Profit_Status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]" caption="Count of Order_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Date]" caption="Count of Order_Dat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Sales]" caption="Average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ofit]" caption="Max of Profit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Sales]" caption="Min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Lenovo" refreshedDate="46210.694146875001" backgroundQuery="1" createdVersion="5" refreshedVersion="5" minRefreshableVersion="3" recordCount="0" supportSubquery="1" supportAdvancedDrill="1">
  <cacheSource type="external" connectionId="1"/>
  <cacheFields count="2">
    <cacheField name="[Table1].[Region].[Region]" caption="Region" numFmtId="0" hierarchy="2" level="1">
      <sharedItems count="5">
        <s v="Central"/>
        <s v="East"/>
        <s v="North"/>
        <s v="South"/>
        <s v="West"/>
      </sharedItems>
    </cacheField>
    <cacheField name="[Measures].[Average of Sales]" caption="Average of Sales" numFmtId="0" hierarchy="19" level="32767"/>
  </cacheFields>
  <cacheHierarchies count="24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Category]" caption="Product_Category" attribute="1" defaultMemberUniqueName="[Table1].[Product_Category].[All]" allUniqueName="[Table1].[Product_Category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Cost]" caption="Cost" attribute="1" defaultMemberUniqueName="[Table1].[Cost].[All]" allUniqueName="[Table1].[Cos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Customer_Segment]" caption="Customer_Segment" attribute="1" defaultMemberUniqueName="[Table1].[Customer_Segment].[All]" allUniqueName="[Table1].[Customer_Segment].[All]" dimensionUniqueName="[Table1]" displayFolder="" count="0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rofit_Margin]" caption="Profit_Margin" attribute="1" defaultMemberUniqueName="[Table1].[Profit_Margin].[All]" allUniqueName="[Table1].[Profit_Margin].[All]" dimensionUniqueName="[Table1]" displayFolder="" count="0" memberValueDatatype="5" unbalanced="0"/>
    <cacheHierarchy uniqueName="[Table1].[Sales_Category]" caption="Sales_Category" attribute="1" defaultMemberUniqueName="[Table1].[Sales_Category].[All]" allUniqueName="[Table1].[Sales_Category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Profit_Status]" caption="Profit_Status" attribute="1" defaultMemberUniqueName="[Table1].[Profit_Status].[All]" allUniqueName="[Table1].[Profit_Status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]" caption="Count of Order_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Date]" caption="Count of Order_Dat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Sales]" caption="Average of Sale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ofit]" caption="Max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Sales]" caption="Min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Lenovo" refreshedDate="46210.688740509257" backgroundQuery="1" createdVersion="5" refreshedVersion="5" minRefreshableVersion="3" recordCount="0" supportSubquery="1" supportAdvancedDrill="1">
  <cacheSource type="external" connectionId="1"/>
  <cacheFields count="3">
    <cacheField name="[Table1].[Region].[Region]" caption="Region" numFmtId="0" hierarchy="2" level="1">
      <sharedItems count="5">
        <s v="Central"/>
        <s v="East"/>
        <s v="North"/>
        <s v="South"/>
        <s v="West"/>
      </sharedItems>
    </cacheField>
    <cacheField name="[Measures].[Sum of Sales]" caption="Sum of Sales" numFmtId="0" hierarchy="15" level="32767"/>
    <cacheField name="[Table1].[Customer_Segment].[Customer_Segment]" caption="Customer_Segment" numFmtId="0" hierarchy="7" level="1">
      <sharedItems count="4">
        <s v="Consumer"/>
        <s v="Corporate"/>
        <s v="Enterprise"/>
        <s v="Small Business"/>
      </sharedItems>
    </cacheField>
  </cacheFields>
  <cacheHierarchies count="24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Category]" caption="Product_Category" attribute="1" defaultMemberUniqueName="[Table1].[Product_Category].[All]" allUniqueName="[Table1].[Product_Category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Cost]" caption="Cost" attribute="1" defaultMemberUniqueName="[Table1].[Cost].[All]" allUniqueName="[Table1].[Cos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Customer_Segment]" caption="Customer_Segment" attribute="1" defaultMemberUniqueName="[Table1].[Customer_Segment].[All]" allUniqueName="[Table1].[Customer_Segment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rofit_Margin]" caption="Profit_Margin" attribute="1" defaultMemberUniqueName="[Table1].[Profit_Margin].[All]" allUniqueName="[Table1].[Profit_Margin].[All]" dimensionUniqueName="[Table1]" displayFolder="" count="0" memberValueDatatype="5" unbalanced="0"/>
    <cacheHierarchy uniqueName="[Table1].[Sales_Category]" caption="Sales_Category" attribute="1" defaultMemberUniqueName="[Table1].[Sales_Category].[All]" allUniqueName="[Table1].[Sales_Category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Profit_Status]" caption="Profit_Status" attribute="1" defaultMemberUniqueName="[Table1].[Profit_Status].[All]" allUniqueName="[Table1].[Profit_Status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Sum of Sales]" caption="Sum of Sale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]" caption="Count of Order_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Date]" caption="Count of Order_Dat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Sales]" caption="Average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ofit]" caption="Max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Sales]" caption="Min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Lenovo" refreshedDate="46210.687735185187" backgroundQuery="1" createdVersion="5" refreshedVersion="5" minRefreshableVersion="3" recordCount="0" supportSubquery="1" supportAdvancedDrill="1">
  <cacheSource type="external" connectionId="1"/>
  <cacheFields count="2">
    <cacheField name="[Table1].[Payment_Method].[Payment_Method]" caption="Payment_Method" numFmtId="0" hierarchy="9" level="1">
      <sharedItems count="5">
        <s v="Bank Transfer"/>
        <s v="Cash"/>
        <s v="Credit Card"/>
        <s v="Debit Card"/>
        <s v="UPI"/>
      </sharedItems>
    </cacheField>
    <cacheField name="[Measures].[Count of Order_Date]" caption="Count of Order_Date" numFmtId="0" hierarchy="18" level="32767"/>
  </cacheFields>
  <cacheHierarchies count="24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_Category]" caption="Product_Category" attribute="1" defaultMemberUniqueName="[Table1].[Product_Category].[All]" allUniqueName="[Table1].[Product_Category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Cost]" caption="Cost" attribute="1" defaultMemberUniqueName="[Table1].[Cost].[All]" allUniqueName="[Table1].[Cos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Customer_Segment]" caption="Customer_Segment" attribute="1" defaultMemberUniqueName="[Table1].[Customer_Segment].[All]" allUniqueName="[Table1].[Customer_Segment].[All]" dimensionUniqueName="[Table1]" displayFolder="" count="0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fit_Margin]" caption="Profit_Margin" attribute="1" defaultMemberUniqueName="[Table1].[Profit_Margin].[All]" allUniqueName="[Table1].[Profit_Margin].[All]" dimensionUniqueName="[Table1]" displayFolder="" count="0" memberValueDatatype="5" unbalanced="0"/>
    <cacheHierarchy uniqueName="[Table1].[Sales_Category]" caption="Sales_Category" attribute="1" defaultMemberUniqueName="[Table1].[Sales_Category].[All]" allUniqueName="[Table1].[Sales_Category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Profit_Status]" caption="Profit_Status" attribute="1" defaultMemberUniqueName="[Table1].[Profit_Status].[All]" allUniqueName="[Table1].[Profit_Status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]" caption="Count of Order_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Date]" caption="Count of Order_Date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Sales]" caption="Average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ofit]" caption="Max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Sales]" caption="Min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Lenovo" refreshedDate="46210.681714467595" backgroundQuery="1" createdVersion="5" refreshedVersion="5" minRefreshableVersion="3" recordCount="0" supportSubquery="1" supportAdvancedDrill="1">
  <cacheSource type="external" connectionId="1"/>
  <cacheFields count="2">
    <cacheField name="[Table1].[Salesperson].[Salesperson]" caption="Salesperson" numFmtId="0" hierarchy="8" level="1">
      <sharedItems count="10">
        <s v="Aarav"/>
        <s v="Anjali"/>
        <s v="Arjun"/>
        <s v="Diya"/>
        <s v="Kiran"/>
        <s v="Meera"/>
        <s v="Priya"/>
        <s v="Rahul"/>
        <s v="Sneha"/>
        <s v="Vikram"/>
      </sharedItems>
    </cacheField>
    <cacheField name="[Measures].[Sum of Sales]" caption="Sum of Sales" numFmtId="0" hierarchy="15" level="32767"/>
  </cacheFields>
  <cacheHierarchies count="24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_Category]" caption="Product_Category" attribute="1" defaultMemberUniqueName="[Table1].[Product_Category].[All]" allUniqueName="[Table1].[Product_Category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Cost]" caption="Cost" attribute="1" defaultMemberUniqueName="[Table1].[Cost].[All]" allUniqueName="[Table1].[Cos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Customer_Segment]" caption="Customer_Segment" attribute="1" defaultMemberUniqueName="[Table1].[Customer_Segment].[All]" allUniqueName="[Table1].[Customer_Segment].[All]" dimensionUniqueName="[Table1]" displayFolder="" count="0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rofit_Margin]" caption="Profit_Margin" attribute="1" defaultMemberUniqueName="[Table1].[Profit_Margin].[All]" allUniqueName="[Table1].[Profit_Margin].[All]" dimensionUniqueName="[Table1]" displayFolder="" count="0" memberValueDatatype="5" unbalanced="0"/>
    <cacheHierarchy uniqueName="[Table1].[Sales_Category]" caption="Sales_Category" attribute="1" defaultMemberUniqueName="[Table1].[Sales_Category].[All]" allUniqueName="[Table1].[Sales_Category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Profit_Status]" caption="Profit_Status" attribute="1" defaultMemberUniqueName="[Table1].[Profit_Status].[All]" allUniqueName="[Table1].[Profit_Status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Sum of Sales]" caption="Sum of Sale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]" caption="Count of Order_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Date]" caption="Count of Order_Dat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Sales]" caption="Average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ofit]" caption="Max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Sales]" caption="Min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Lenovo" refreshedDate="46210.681877083334" backgroundQuery="1" createdVersion="5" refreshedVersion="5" minRefreshableVersion="3" recordCount="0" supportSubquery="1" supportAdvancedDrill="1">
  <cacheSource type="external" connectionId="1"/>
  <cacheFields count="2">
    <cacheField name="[Table1].[Product_Category].[Product_Category]" caption="Product_Category" numFmtId="0" hierarchy="3" level="1">
      <sharedItems count="5">
        <s v="Appliances"/>
        <s v="Electronics"/>
        <s v="Furniture"/>
        <s v="Office Supplies"/>
        <s v="Software"/>
      </sharedItems>
    </cacheField>
    <cacheField name="[Measures].[Sum of Profit]" caption="Sum of Profit" numFmtId="0" hierarchy="16" level="32767"/>
  </cacheFields>
  <cacheHierarchies count="24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_Category]" caption="Product_Category" attribute="1" defaultMemberUniqueName="[Table1].[Product_Category].[All]" allUniqueName="[Table1].[Product_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Cost]" caption="Cost" attribute="1" defaultMemberUniqueName="[Table1].[Cost].[All]" allUniqueName="[Table1].[Cos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Customer_Segment]" caption="Customer_Segment" attribute="1" defaultMemberUniqueName="[Table1].[Customer_Segment].[All]" allUniqueName="[Table1].[Customer_Segment].[All]" dimensionUniqueName="[Table1]" displayFolder="" count="0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rofit_Margin]" caption="Profit_Margin" attribute="1" defaultMemberUniqueName="[Table1].[Profit_Margin].[All]" allUniqueName="[Table1].[Profit_Margin].[All]" dimensionUniqueName="[Table1]" displayFolder="" count="0" memberValueDatatype="5" unbalanced="0"/>
    <cacheHierarchy uniqueName="[Table1].[Sales_Category]" caption="Sales_Category" attribute="1" defaultMemberUniqueName="[Table1].[Sales_Category].[All]" allUniqueName="[Table1].[Sales_Category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Profit_Status]" caption="Profit_Status" attribute="1" defaultMemberUniqueName="[Table1].[Profit_Status].[All]" allUniqueName="[Table1].[Profit_Status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Sum of Sales]" caption="Sum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]" caption="Count of Order_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Date]" caption="Count of Order_Dat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Sales]" caption="Average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ofit]" caption="Max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Sales]" caption="Min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Lenovo" refreshedDate="46210.683145138886" backgroundQuery="1" createdVersion="5" refreshedVersion="5" minRefreshableVersion="3" recordCount="0" supportSubquery="1" supportAdvancedDrill="1">
  <cacheSource type="external" connectionId="1"/>
  <cacheFields count="2">
    <cacheField name="[Table1].[Region].[Region]" caption="Region" numFmtId="0" hierarchy="2" level="1">
      <sharedItems count="5">
        <s v="Central"/>
        <s v="East"/>
        <s v="North"/>
        <s v="South"/>
        <s v="West"/>
      </sharedItems>
    </cacheField>
    <cacheField name="[Measures].[Sum of Sales]" caption="Sum of Sales" numFmtId="0" hierarchy="15" level="32767"/>
  </cacheFields>
  <cacheHierarchies count="24">
    <cacheHierarchy uniqueName="[Table1].[Order_ID]" caption="Order_ID" attribute="1" defaultMemberUniqueName="[Table1].[Order_ID].[All]" allUniqueName="[Table1].[Order_ID].[All]" dimensionUniqueName="[Table1]" displayFolder="" count="0" memberValueDatatype="13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Category]" caption="Product_Category" attribute="1" defaultMemberUniqueName="[Table1].[Product_Category].[All]" allUniqueName="[Table1].[Product_Category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Cost]" caption="Cost" attribute="1" defaultMemberUniqueName="[Table1].[Cost].[All]" allUniqueName="[Table1].[Cos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Customer_Segment]" caption="Customer_Segment" attribute="1" defaultMemberUniqueName="[Table1].[Customer_Segment].[All]" allUniqueName="[Table1].[Customer_Segment].[All]" dimensionUniqueName="[Table1]" displayFolder="" count="0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rofit_Margin]" caption="Profit_Margin" attribute="1" defaultMemberUniqueName="[Table1].[Profit_Margin].[All]" allUniqueName="[Table1].[Profit_Margin].[All]" dimensionUniqueName="[Table1]" displayFolder="" count="0" memberValueDatatype="5" unbalanced="0"/>
    <cacheHierarchy uniqueName="[Table1].[Sales_Category]" caption="Sales_Category" attribute="1" defaultMemberUniqueName="[Table1].[Sales_Category].[All]" allUniqueName="[Table1].[Sales_Category].[All]" dimensionUniqueName="[Table1]" displayFolder="" count="0" memberValueDatatype="130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Profit_Status]" caption="Profit_Status" attribute="1" defaultMemberUniqueName="[Table1].[Profit_Status].[All]" allUniqueName="[Table1].[Profit_Status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Sum of Sales]" caption="Sum of Sale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_ID]" caption="Count of Order_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_Date]" caption="Count of Order_Dat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Sales]" caption="Average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Profit]" caption="Max of Profit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Sales]" caption="Min of Sales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D16:D17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Max of Profit" fld="0" subtotal="max" baseField="0" baseItem="0"/>
  </dataFields>
  <formats count="1">
    <format dxfId="0">
      <pivotArea outline="0" collapsedLevelsAreSubtotals="1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ncial Analytical dataset.xlsx!Table1">
        <x15:activeTabTopLevelEntity name="[Table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D3:E9" firstHeaderRow="1" firstDataRow="1" firstDataCol="1"/>
  <pivotFields count="2">
    <pivotField axis="axisRow" allDrilled="1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1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Sum of Profit" fld="1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ncial Analytical dataset.xlsx!Table1"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D12:D13" firstHeaderRow="1" firstDataRow="1" firstDataCol="0"/>
  <pivotFields count="2">
    <pivotField allDrilled="1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Items count="1">
    <i/>
  </rowItems>
  <colItems count="1">
    <i/>
  </colItems>
  <dataFields count="1">
    <dataField name="Average of Sales" fld="1" subtotal="average" baseField="0" baseItem="0" numFmtId="1"/>
  </dataFields>
  <formats count="1">
    <format dxfId="1">
      <pivotArea outline="0" collapsedLevelsAreSubtotals="1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ncial Analytical dataset.xlsx!Table1">
        <x15:activeTabTopLevelEntity name="[Table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A3:B9" firstHeaderRow="1" firstDataRow="1" firstDataCol="1"/>
  <pivotFields count="2">
    <pivotField axis="axisRow" allDrilled="1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3"/>
    </i>
    <i>
      <x v="2"/>
    </i>
    <i>
      <x/>
    </i>
    <i>
      <x v="1"/>
    </i>
    <i>
      <x v="4"/>
    </i>
    <i t="grand">
      <x/>
    </i>
  </rowItems>
  <colItems count="1">
    <i/>
  </colItems>
  <dataFields count="1">
    <dataField name="Sum of Sales" fld="1" baseField="0" baseItem="0" numFmtId="1"/>
  </dataFields>
  <formats count="1">
    <format dxfId="2">
      <pivotArea outline="0" collapsedLevelsAreSubtotals="1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ncial Analytical dataset.xlsx!Table1">
        <x15:activeTabTopLevelEntity name="[Table1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A12:B17" firstHeaderRow="1" firstDataRow="1" firstDataCol="1"/>
  <pivotFields count="3">
    <pivotField allDrilled="1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 numFmtId="1"/>
  </dataFields>
  <formats count="1">
    <format dxfId="3">
      <pivotArea outline="0" collapsedLevelsAreSubtotals="1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ncial Analytical dataset.xlsx!Table1">
        <x15:activeTabTopLevelEntity name="[Table1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A20:B26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Date" fld="1" subtotal="count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ncial Analytical dataset.xlsx!Table1">
        <x15:activeTabTopLevelEntity name="[Table1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G3:H14" firstHeaderRow="1" firstDataRow="1" firstDataCol="1"/>
  <pivotFields count="2">
    <pivotField axis="axisRow" allDrilled="1" showAll="0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5"/>
    </i>
    <i>
      <x v="9"/>
    </i>
    <i>
      <x v="6"/>
    </i>
    <i>
      <x v="7"/>
    </i>
    <i>
      <x v="1"/>
    </i>
    <i>
      <x v="8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Sum of Sales" fld="1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ncial Analytical dataset.xlsx!Table1">
        <x15:activeTabTopLevelEntity name="[Table1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D20:D21" firstHeaderRow="1" firstDataRow="1" firstDataCol="0"/>
  <pivotFields count="2">
    <pivotField allDrilled="1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Items count="1">
    <i/>
  </rowItems>
  <colItems count="1">
    <i/>
  </colItems>
  <dataFields count="1">
    <dataField name="Min of Sales" fld="1" subtotal="min" baseField="0" baseItem="0" numFmtId="1"/>
  </dataFields>
  <formats count="1">
    <format dxfId="4">
      <pivotArea outline="0" collapsedLevelsAreSubtotals="1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ncial Analytical dataset.xlsx!Table1">
        <x15:activeTabTopLevelEntity name="[Table1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A1:N2001" totalsRowShown="0">
  <autoFilter ref="A1:N2001"/>
  <tableColumns count="14">
    <tableColumn id="2" name="Order_Date" dataDxfId="10"/>
    <tableColumn id="3" name="Region"/>
    <tableColumn id="4" name="Product_Category"/>
    <tableColumn id="5" name="Sales"/>
    <tableColumn id="6" name="Cost"/>
    <tableColumn id="7" name="Profit"/>
    <tableColumn id="8" name="Customer_Segment"/>
    <tableColumn id="9" name="Salesperson"/>
    <tableColumn id="10" name="Payment_Method"/>
    <tableColumn id="11" name="Profit_Margin" dataDxfId="9">
      <calculatedColumnFormula>Table1[[#This Row],[Profit]]/Table1[[#This Row],[Sales]]*100</calculatedColumnFormula>
    </tableColumn>
    <tableColumn id="12" name="Sales_Category" dataDxfId="8">
      <calculatedColumnFormula>IF(Table1[[#This Row],[Sales]]&gt;=30000,"High", IF(Table1[[#This Row],[Sales]]&gt;=15000,"Medium","Low"))</calculatedColumnFormula>
    </tableColumn>
    <tableColumn id="13" name="Order_Month" dataDxfId="7">
      <calculatedColumnFormula>TEXT(Table1[[#This Row],[Order_Date]],"MMM")</calculatedColumnFormula>
    </tableColumn>
    <tableColumn id="14" name="Profit_Status" dataDxfId="6">
      <calculatedColumnFormula>IF(Table1[[#This Row],[Profit]]&gt;=10000,"Excellent",IF(Table1[[#This Row],[Profit]]&gt;5000,"Good","Low"))</calculatedColumnFormula>
    </tableColumn>
    <tableColumn id="15" name="Year" dataDxfId="5">
      <calculatedColumnFormula>TEXT(Table1[[#This Row],[Order_Date]],"YYYY")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workbookViewId="0">
      <selection sqref="A1:J20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45906</v>
      </c>
      <c r="C2" t="s">
        <v>11</v>
      </c>
      <c r="D2" t="s">
        <v>12</v>
      </c>
      <c r="E2">
        <v>21425</v>
      </c>
      <c r="F2">
        <v>12880</v>
      </c>
      <c r="G2">
        <v>8545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s="1">
        <v>45687</v>
      </c>
      <c r="C3" t="s">
        <v>17</v>
      </c>
      <c r="D3" t="s">
        <v>18</v>
      </c>
      <c r="E3">
        <v>36365</v>
      </c>
      <c r="F3">
        <v>35666</v>
      </c>
      <c r="G3">
        <v>699</v>
      </c>
      <c r="H3" t="s">
        <v>19</v>
      </c>
      <c r="I3" t="s">
        <v>20</v>
      </c>
      <c r="J3" t="s">
        <v>15</v>
      </c>
    </row>
    <row r="4" spans="1:10" x14ac:dyDescent="0.25">
      <c r="A4" t="s">
        <v>21</v>
      </c>
      <c r="B4" s="1">
        <v>45651</v>
      </c>
      <c r="C4" t="s">
        <v>22</v>
      </c>
      <c r="D4" t="s">
        <v>18</v>
      </c>
      <c r="E4">
        <v>39083</v>
      </c>
      <c r="F4">
        <v>22458</v>
      </c>
      <c r="G4">
        <v>16625</v>
      </c>
      <c r="H4" t="s">
        <v>19</v>
      </c>
      <c r="I4" t="s">
        <v>23</v>
      </c>
      <c r="J4" t="s">
        <v>24</v>
      </c>
    </row>
    <row r="5" spans="1:10" x14ac:dyDescent="0.25">
      <c r="A5" t="s">
        <v>25</v>
      </c>
      <c r="B5" s="1">
        <v>45804</v>
      </c>
      <c r="C5" t="s">
        <v>26</v>
      </c>
      <c r="D5" t="s">
        <v>12</v>
      </c>
      <c r="E5">
        <v>20914</v>
      </c>
      <c r="F5">
        <v>17995</v>
      </c>
      <c r="G5">
        <v>2919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 s="1">
        <v>45779</v>
      </c>
      <c r="C6" t="s">
        <v>17</v>
      </c>
      <c r="D6" t="s">
        <v>12</v>
      </c>
      <c r="E6">
        <v>13614</v>
      </c>
      <c r="F6">
        <v>12465</v>
      </c>
      <c r="G6">
        <v>1149</v>
      </c>
      <c r="H6" t="s">
        <v>13</v>
      </c>
      <c r="I6" t="s">
        <v>31</v>
      </c>
      <c r="J6" t="s">
        <v>24</v>
      </c>
    </row>
    <row r="7" spans="1:10" x14ac:dyDescent="0.25">
      <c r="A7" t="s">
        <v>32</v>
      </c>
      <c r="B7" s="1">
        <v>46024</v>
      </c>
      <c r="C7" t="s">
        <v>22</v>
      </c>
      <c r="D7" t="s">
        <v>33</v>
      </c>
      <c r="E7">
        <v>12452</v>
      </c>
      <c r="F7">
        <v>5159</v>
      </c>
      <c r="G7">
        <v>7293</v>
      </c>
      <c r="H7" t="s">
        <v>19</v>
      </c>
      <c r="I7" t="s">
        <v>34</v>
      </c>
      <c r="J7" t="s">
        <v>24</v>
      </c>
    </row>
    <row r="8" spans="1:10" x14ac:dyDescent="0.25">
      <c r="A8" t="s">
        <v>35</v>
      </c>
      <c r="B8" s="1">
        <v>45829</v>
      </c>
      <c r="C8" t="s">
        <v>11</v>
      </c>
      <c r="D8" t="s">
        <v>36</v>
      </c>
      <c r="E8">
        <v>20707</v>
      </c>
      <c r="F8">
        <v>16390</v>
      </c>
      <c r="G8">
        <v>4317</v>
      </c>
      <c r="H8" t="s">
        <v>19</v>
      </c>
      <c r="I8" t="s">
        <v>28</v>
      </c>
      <c r="J8" t="s">
        <v>29</v>
      </c>
    </row>
    <row r="9" spans="1:10" x14ac:dyDescent="0.25">
      <c r="A9" t="s">
        <v>37</v>
      </c>
      <c r="B9" s="1">
        <v>46122</v>
      </c>
      <c r="C9" t="s">
        <v>22</v>
      </c>
      <c r="D9" t="s">
        <v>33</v>
      </c>
      <c r="E9">
        <v>46712</v>
      </c>
      <c r="F9">
        <v>42529</v>
      </c>
      <c r="G9">
        <v>4183</v>
      </c>
      <c r="H9" t="s">
        <v>38</v>
      </c>
      <c r="I9" t="s">
        <v>34</v>
      </c>
      <c r="J9" t="s">
        <v>15</v>
      </c>
    </row>
    <row r="10" spans="1:10" x14ac:dyDescent="0.25">
      <c r="A10" t="s">
        <v>39</v>
      </c>
      <c r="B10" s="1">
        <v>45695</v>
      </c>
      <c r="C10" t="s">
        <v>11</v>
      </c>
      <c r="D10" t="s">
        <v>36</v>
      </c>
      <c r="E10">
        <v>38470</v>
      </c>
      <c r="F10">
        <v>20441</v>
      </c>
      <c r="G10">
        <v>18029</v>
      </c>
      <c r="H10" t="s">
        <v>13</v>
      </c>
      <c r="I10" t="s">
        <v>14</v>
      </c>
      <c r="J10" t="s">
        <v>15</v>
      </c>
    </row>
    <row r="11" spans="1:10" x14ac:dyDescent="0.25">
      <c r="A11" t="s">
        <v>40</v>
      </c>
      <c r="B11" s="1">
        <v>45259</v>
      </c>
      <c r="C11" t="s">
        <v>17</v>
      </c>
      <c r="D11" t="s">
        <v>41</v>
      </c>
      <c r="E11">
        <v>8604</v>
      </c>
      <c r="F11">
        <v>7894</v>
      </c>
      <c r="G11">
        <v>710</v>
      </c>
      <c r="H11" t="s">
        <v>13</v>
      </c>
      <c r="I11" t="s">
        <v>34</v>
      </c>
      <c r="J11" t="s">
        <v>42</v>
      </c>
    </row>
    <row r="12" spans="1:10" x14ac:dyDescent="0.25">
      <c r="A12" t="s">
        <v>43</v>
      </c>
      <c r="B12" s="1">
        <v>46064</v>
      </c>
      <c r="C12" t="s">
        <v>44</v>
      </c>
      <c r="D12" t="s">
        <v>18</v>
      </c>
      <c r="E12">
        <v>41347</v>
      </c>
      <c r="F12">
        <v>26373</v>
      </c>
      <c r="G12">
        <v>14974</v>
      </c>
      <c r="H12" t="s">
        <v>13</v>
      </c>
      <c r="I12" t="s">
        <v>45</v>
      </c>
      <c r="J12" t="s">
        <v>24</v>
      </c>
    </row>
    <row r="13" spans="1:10" x14ac:dyDescent="0.25">
      <c r="A13" t="s">
        <v>46</v>
      </c>
      <c r="B13" s="1">
        <v>45936</v>
      </c>
      <c r="C13" t="s">
        <v>11</v>
      </c>
      <c r="D13" t="s">
        <v>41</v>
      </c>
      <c r="E13">
        <v>27041</v>
      </c>
      <c r="F13">
        <v>8664</v>
      </c>
      <c r="G13">
        <v>18377</v>
      </c>
      <c r="H13" t="s">
        <v>38</v>
      </c>
      <c r="I13" t="s">
        <v>20</v>
      </c>
      <c r="J13" t="s">
        <v>24</v>
      </c>
    </row>
    <row r="14" spans="1:10" x14ac:dyDescent="0.25">
      <c r="A14" t="s">
        <v>47</v>
      </c>
      <c r="B14" s="1">
        <v>45115</v>
      </c>
      <c r="C14" t="s">
        <v>26</v>
      </c>
      <c r="D14" t="s">
        <v>41</v>
      </c>
      <c r="E14">
        <v>29080</v>
      </c>
      <c r="F14">
        <v>18297</v>
      </c>
      <c r="G14">
        <v>10783</v>
      </c>
      <c r="H14" t="s">
        <v>13</v>
      </c>
      <c r="I14" t="s">
        <v>45</v>
      </c>
      <c r="J14" t="s">
        <v>29</v>
      </c>
    </row>
    <row r="15" spans="1:10" x14ac:dyDescent="0.25">
      <c r="A15" t="s">
        <v>48</v>
      </c>
      <c r="B15" s="1">
        <v>45384</v>
      </c>
      <c r="C15" t="s">
        <v>17</v>
      </c>
      <c r="D15" t="s">
        <v>41</v>
      </c>
      <c r="E15">
        <v>45140</v>
      </c>
      <c r="F15">
        <v>42137</v>
      </c>
      <c r="G15">
        <v>3003</v>
      </c>
      <c r="H15" t="s">
        <v>27</v>
      </c>
      <c r="I15" t="s">
        <v>31</v>
      </c>
      <c r="J15" t="s">
        <v>15</v>
      </c>
    </row>
    <row r="16" spans="1:10" x14ac:dyDescent="0.25">
      <c r="A16" t="s">
        <v>49</v>
      </c>
      <c r="B16" s="1">
        <v>45182</v>
      </c>
      <c r="C16" t="s">
        <v>22</v>
      </c>
      <c r="D16" t="s">
        <v>12</v>
      </c>
      <c r="E16">
        <v>39761</v>
      </c>
      <c r="F16">
        <v>23900</v>
      </c>
      <c r="G16">
        <v>15861</v>
      </c>
      <c r="H16" t="s">
        <v>27</v>
      </c>
      <c r="I16" t="s">
        <v>31</v>
      </c>
      <c r="J16" t="s">
        <v>42</v>
      </c>
    </row>
    <row r="17" spans="1:10" x14ac:dyDescent="0.25">
      <c r="A17" t="s">
        <v>50</v>
      </c>
      <c r="B17" s="1">
        <v>46092</v>
      </c>
      <c r="C17" t="s">
        <v>11</v>
      </c>
      <c r="D17" t="s">
        <v>18</v>
      </c>
      <c r="E17">
        <v>24230</v>
      </c>
      <c r="F17">
        <v>5977</v>
      </c>
      <c r="G17">
        <v>18253</v>
      </c>
      <c r="H17" t="s">
        <v>38</v>
      </c>
      <c r="I17" t="s">
        <v>28</v>
      </c>
      <c r="J17" t="s">
        <v>42</v>
      </c>
    </row>
    <row r="18" spans="1:10" x14ac:dyDescent="0.25">
      <c r="A18" t="s">
        <v>51</v>
      </c>
      <c r="B18" s="1">
        <v>45418</v>
      </c>
      <c r="C18" t="s">
        <v>17</v>
      </c>
      <c r="D18" t="s">
        <v>33</v>
      </c>
      <c r="E18">
        <v>17449</v>
      </c>
      <c r="F18">
        <v>12135</v>
      </c>
      <c r="G18">
        <v>5314</v>
      </c>
      <c r="H18" t="s">
        <v>38</v>
      </c>
      <c r="I18" t="s">
        <v>31</v>
      </c>
      <c r="J18" t="s">
        <v>15</v>
      </c>
    </row>
    <row r="19" spans="1:10" x14ac:dyDescent="0.25">
      <c r="A19" t="s">
        <v>52</v>
      </c>
      <c r="B19" s="1">
        <v>45607</v>
      </c>
      <c r="C19" t="s">
        <v>17</v>
      </c>
      <c r="D19" t="s">
        <v>33</v>
      </c>
      <c r="E19">
        <v>26416</v>
      </c>
      <c r="F19">
        <v>8172</v>
      </c>
      <c r="G19">
        <v>18244</v>
      </c>
      <c r="H19" t="s">
        <v>13</v>
      </c>
      <c r="I19" t="s">
        <v>14</v>
      </c>
      <c r="J19" t="s">
        <v>53</v>
      </c>
    </row>
    <row r="20" spans="1:10" x14ac:dyDescent="0.25">
      <c r="A20" t="s">
        <v>54</v>
      </c>
      <c r="B20" s="1">
        <v>45796</v>
      </c>
      <c r="C20" t="s">
        <v>11</v>
      </c>
      <c r="D20" t="s">
        <v>41</v>
      </c>
      <c r="E20">
        <v>28321</v>
      </c>
      <c r="F20">
        <v>25273</v>
      </c>
      <c r="G20">
        <v>3048</v>
      </c>
      <c r="H20" t="s">
        <v>19</v>
      </c>
      <c r="I20" t="s">
        <v>23</v>
      </c>
      <c r="J20" t="s">
        <v>24</v>
      </c>
    </row>
    <row r="21" spans="1:10" x14ac:dyDescent="0.25">
      <c r="A21" t="s">
        <v>55</v>
      </c>
      <c r="B21" s="1">
        <v>46149</v>
      </c>
      <c r="C21" t="s">
        <v>44</v>
      </c>
      <c r="D21" t="s">
        <v>33</v>
      </c>
      <c r="E21">
        <v>36375</v>
      </c>
      <c r="F21">
        <v>30031</v>
      </c>
      <c r="G21">
        <v>6344</v>
      </c>
      <c r="H21" t="s">
        <v>38</v>
      </c>
      <c r="I21" t="s">
        <v>28</v>
      </c>
      <c r="J21" t="s">
        <v>15</v>
      </c>
    </row>
    <row r="22" spans="1:10" x14ac:dyDescent="0.25">
      <c r="A22" t="s">
        <v>56</v>
      </c>
      <c r="B22" s="1">
        <v>45710</v>
      </c>
      <c r="C22" t="s">
        <v>17</v>
      </c>
      <c r="D22" t="s">
        <v>18</v>
      </c>
      <c r="E22">
        <v>43797</v>
      </c>
      <c r="F22">
        <v>42869</v>
      </c>
      <c r="G22">
        <v>928</v>
      </c>
      <c r="H22" t="s">
        <v>13</v>
      </c>
      <c r="I22" t="s">
        <v>20</v>
      </c>
      <c r="J22" t="s">
        <v>53</v>
      </c>
    </row>
    <row r="23" spans="1:10" x14ac:dyDescent="0.25">
      <c r="A23" t="s">
        <v>57</v>
      </c>
      <c r="B23" s="1">
        <v>46026</v>
      </c>
      <c r="C23" t="s">
        <v>22</v>
      </c>
      <c r="D23" t="s">
        <v>33</v>
      </c>
      <c r="E23">
        <v>32649</v>
      </c>
      <c r="F23">
        <v>15083</v>
      </c>
      <c r="G23">
        <v>17566</v>
      </c>
      <c r="H23" t="s">
        <v>13</v>
      </c>
      <c r="I23" t="s">
        <v>23</v>
      </c>
      <c r="J23" t="s">
        <v>24</v>
      </c>
    </row>
    <row r="24" spans="1:10" x14ac:dyDescent="0.25">
      <c r="A24" t="s">
        <v>58</v>
      </c>
      <c r="B24" s="1">
        <v>46064</v>
      </c>
      <c r="C24" t="s">
        <v>11</v>
      </c>
      <c r="D24" t="s">
        <v>36</v>
      </c>
      <c r="E24">
        <v>9113</v>
      </c>
      <c r="F24">
        <v>2296</v>
      </c>
      <c r="G24">
        <v>6817</v>
      </c>
      <c r="H24" t="s">
        <v>13</v>
      </c>
      <c r="I24" t="s">
        <v>28</v>
      </c>
      <c r="J24" t="s">
        <v>24</v>
      </c>
    </row>
    <row r="25" spans="1:10" x14ac:dyDescent="0.25">
      <c r="A25" t="s">
        <v>59</v>
      </c>
      <c r="B25" s="1">
        <v>45891</v>
      </c>
      <c r="C25" t="s">
        <v>44</v>
      </c>
      <c r="D25" t="s">
        <v>12</v>
      </c>
      <c r="E25">
        <v>37446</v>
      </c>
      <c r="F25">
        <v>33899</v>
      </c>
      <c r="G25">
        <v>3547</v>
      </c>
      <c r="H25" t="s">
        <v>38</v>
      </c>
      <c r="I25" t="s">
        <v>60</v>
      </c>
      <c r="J25" t="s">
        <v>29</v>
      </c>
    </row>
    <row r="26" spans="1:10" x14ac:dyDescent="0.25">
      <c r="A26" t="s">
        <v>61</v>
      </c>
      <c r="B26" s="1">
        <v>45202</v>
      </c>
      <c r="C26" t="s">
        <v>26</v>
      </c>
      <c r="D26" t="s">
        <v>18</v>
      </c>
      <c r="E26">
        <v>28763</v>
      </c>
      <c r="F26">
        <v>26743</v>
      </c>
      <c r="G26">
        <v>2020</v>
      </c>
      <c r="H26" t="s">
        <v>13</v>
      </c>
      <c r="I26" t="s">
        <v>60</v>
      </c>
      <c r="J26" t="s">
        <v>53</v>
      </c>
    </row>
    <row r="27" spans="1:10" x14ac:dyDescent="0.25">
      <c r="A27" t="s">
        <v>62</v>
      </c>
      <c r="B27" s="1">
        <v>45966</v>
      </c>
      <c r="C27" t="s">
        <v>26</v>
      </c>
      <c r="D27" t="s">
        <v>36</v>
      </c>
      <c r="E27">
        <v>42659</v>
      </c>
      <c r="F27">
        <v>37320</v>
      </c>
      <c r="G27">
        <v>5339</v>
      </c>
      <c r="H27" t="s">
        <v>19</v>
      </c>
      <c r="I27" t="s">
        <v>63</v>
      </c>
      <c r="J27" t="s">
        <v>29</v>
      </c>
    </row>
    <row r="28" spans="1:10" x14ac:dyDescent="0.25">
      <c r="A28" t="s">
        <v>64</v>
      </c>
      <c r="B28" s="1">
        <v>45912</v>
      </c>
      <c r="C28" t="s">
        <v>11</v>
      </c>
      <c r="D28" t="s">
        <v>36</v>
      </c>
      <c r="E28">
        <v>9069</v>
      </c>
      <c r="F28">
        <v>2700</v>
      </c>
      <c r="G28">
        <v>6369</v>
      </c>
      <c r="H28" t="s">
        <v>38</v>
      </c>
      <c r="I28" t="s">
        <v>28</v>
      </c>
      <c r="J28" t="s">
        <v>29</v>
      </c>
    </row>
    <row r="29" spans="1:10" x14ac:dyDescent="0.25">
      <c r="A29" t="s">
        <v>65</v>
      </c>
      <c r="B29" s="1">
        <v>45132</v>
      </c>
      <c r="C29" t="s">
        <v>44</v>
      </c>
      <c r="D29" t="s">
        <v>41</v>
      </c>
      <c r="E29">
        <v>13589</v>
      </c>
      <c r="F29">
        <v>5560</v>
      </c>
      <c r="G29">
        <v>8029</v>
      </c>
      <c r="H29" t="s">
        <v>27</v>
      </c>
      <c r="I29" t="s">
        <v>60</v>
      </c>
      <c r="J29" t="s">
        <v>29</v>
      </c>
    </row>
    <row r="30" spans="1:10" x14ac:dyDescent="0.25">
      <c r="A30" t="s">
        <v>66</v>
      </c>
      <c r="B30" s="1">
        <v>45519</v>
      </c>
      <c r="C30" t="s">
        <v>44</v>
      </c>
      <c r="D30" t="s">
        <v>41</v>
      </c>
      <c r="E30">
        <v>23208</v>
      </c>
      <c r="F30">
        <v>5128</v>
      </c>
      <c r="G30">
        <v>18080</v>
      </c>
      <c r="H30" t="s">
        <v>13</v>
      </c>
      <c r="I30" t="s">
        <v>31</v>
      </c>
      <c r="J30" t="s">
        <v>53</v>
      </c>
    </row>
    <row r="31" spans="1:10" x14ac:dyDescent="0.25">
      <c r="A31" t="s">
        <v>67</v>
      </c>
      <c r="B31" s="1">
        <v>45739</v>
      </c>
      <c r="C31" t="s">
        <v>44</v>
      </c>
      <c r="D31" t="s">
        <v>36</v>
      </c>
      <c r="E31">
        <v>49263</v>
      </c>
      <c r="F31">
        <v>39897</v>
      </c>
      <c r="G31">
        <v>9366</v>
      </c>
      <c r="H31" t="s">
        <v>13</v>
      </c>
      <c r="I31" t="s">
        <v>45</v>
      </c>
      <c r="J31" t="s">
        <v>53</v>
      </c>
    </row>
    <row r="32" spans="1:10" x14ac:dyDescent="0.25">
      <c r="A32" t="s">
        <v>68</v>
      </c>
      <c r="B32" s="1">
        <v>46135</v>
      </c>
      <c r="C32" t="s">
        <v>22</v>
      </c>
      <c r="D32" t="s">
        <v>33</v>
      </c>
      <c r="E32">
        <v>47030</v>
      </c>
      <c r="F32">
        <v>29227</v>
      </c>
      <c r="G32">
        <v>17803</v>
      </c>
      <c r="H32" t="s">
        <v>19</v>
      </c>
      <c r="I32" t="s">
        <v>31</v>
      </c>
      <c r="J32" t="s">
        <v>42</v>
      </c>
    </row>
    <row r="33" spans="1:10" x14ac:dyDescent="0.25">
      <c r="A33" t="s">
        <v>69</v>
      </c>
      <c r="B33" s="1">
        <v>45260</v>
      </c>
      <c r="C33" t="s">
        <v>11</v>
      </c>
      <c r="D33" t="s">
        <v>41</v>
      </c>
      <c r="E33">
        <v>48358</v>
      </c>
      <c r="F33">
        <v>39602</v>
      </c>
      <c r="G33">
        <v>8756</v>
      </c>
      <c r="H33" t="s">
        <v>27</v>
      </c>
      <c r="I33" t="s">
        <v>23</v>
      </c>
      <c r="J33" t="s">
        <v>29</v>
      </c>
    </row>
    <row r="34" spans="1:10" x14ac:dyDescent="0.25">
      <c r="A34" t="s">
        <v>70</v>
      </c>
      <c r="B34" s="1">
        <v>45614</v>
      </c>
      <c r="C34" t="s">
        <v>17</v>
      </c>
      <c r="D34" t="s">
        <v>41</v>
      </c>
      <c r="E34">
        <v>36382</v>
      </c>
      <c r="F34">
        <v>22046</v>
      </c>
      <c r="G34">
        <v>14336</v>
      </c>
      <c r="H34" t="s">
        <v>38</v>
      </c>
      <c r="I34" t="s">
        <v>45</v>
      </c>
      <c r="J34" t="s">
        <v>42</v>
      </c>
    </row>
    <row r="35" spans="1:10" x14ac:dyDescent="0.25">
      <c r="A35" t="s">
        <v>71</v>
      </c>
      <c r="B35" s="1">
        <v>46166</v>
      </c>
      <c r="C35" t="s">
        <v>11</v>
      </c>
      <c r="D35" t="s">
        <v>41</v>
      </c>
      <c r="E35">
        <v>44730</v>
      </c>
      <c r="F35">
        <v>30931</v>
      </c>
      <c r="G35">
        <v>13799</v>
      </c>
      <c r="H35" t="s">
        <v>19</v>
      </c>
      <c r="I35" t="s">
        <v>28</v>
      </c>
      <c r="J35" t="s">
        <v>29</v>
      </c>
    </row>
    <row r="36" spans="1:10" x14ac:dyDescent="0.25">
      <c r="A36" t="s">
        <v>72</v>
      </c>
      <c r="B36" s="1">
        <v>45150</v>
      </c>
      <c r="C36" t="s">
        <v>26</v>
      </c>
      <c r="D36" t="s">
        <v>33</v>
      </c>
      <c r="E36">
        <v>37179</v>
      </c>
      <c r="F36">
        <v>21385</v>
      </c>
      <c r="G36">
        <v>15794</v>
      </c>
      <c r="H36" t="s">
        <v>19</v>
      </c>
      <c r="I36" t="s">
        <v>45</v>
      </c>
      <c r="J36" t="s">
        <v>24</v>
      </c>
    </row>
    <row r="37" spans="1:10" x14ac:dyDescent="0.25">
      <c r="A37" t="s">
        <v>73</v>
      </c>
      <c r="B37" s="1">
        <v>45255</v>
      </c>
      <c r="C37" t="s">
        <v>11</v>
      </c>
      <c r="D37" t="s">
        <v>18</v>
      </c>
      <c r="E37">
        <v>45959</v>
      </c>
      <c r="F37">
        <v>34280</v>
      </c>
      <c r="G37">
        <v>11679</v>
      </c>
      <c r="H37" t="s">
        <v>13</v>
      </c>
      <c r="I37" t="s">
        <v>14</v>
      </c>
      <c r="J37" t="s">
        <v>42</v>
      </c>
    </row>
    <row r="38" spans="1:10" x14ac:dyDescent="0.25">
      <c r="A38" t="s">
        <v>74</v>
      </c>
      <c r="B38" s="1">
        <v>45158</v>
      </c>
      <c r="C38" t="s">
        <v>22</v>
      </c>
      <c r="D38" t="s">
        <v>33</v>
      </c>
      <c r="E38">
        <v>46895</v>
      </c>
      <c r="F38">
        <v>39181</v>
      </c>
      <c r="G38">
        <v>7714</v>
      </c>
      <c r="H38" t="s">
        <v>27</v>
      </c>
      <c r="I38" t="s">
        <v>31</v>
      </c>
      <c r="J38" t="s">
        <v>29</v>
      </c>
    </row>
    <row r="39" spans="1:10" x14ac:dyDescent="0.25">
      <c r="A39" t="s">
        <v>75</v>
      </c>
      <c r="B39" s="1">
        <v>45616</v>
      </c>
      <c r="C39" t="s">
        <v>22</v>
      </c>
      <c r="D39" t="s">
        <v>33</v>
      </c>
      <c r="E39">
        <v>32906</v>
      </c>
      <c r="F39">
        <v>18508</v>
      </c>
      <c r="G39">
        <v>14398</v>
      </c>
      <c r="H39" t="s">
        <v>27</v>
      </c>
      <c r="I39" t="s">
        <v>60</v>
      </c>
      <c r="J39" t="s">
        <v>42</v>
      </c>
    </row>
    <row r="40" spans="1:10" x14ac:dyDescent="0.25">
      <c r="A40" t="s">
        <v>76</v>
      </c>
      <c r="B40" s="1">
        <v>46207</v>
      </c>
      <c r="C40" t="s">
        <v>11</v>
      </c>
      <c r="D40" t="s">
        <v>18</v>
      </c>
      <c r="E40">
        <v>36769</v>
      </c>
      <c r="F40">
        <v>26608</v>
      </c>
      <c r="G40">
        <v>10161</v>
      </c>
      <c r="H40" t="s">
        <v>13</v>
      </c>
      <c r="I40" t="s">
        <v>14</v>
      </c>
      <c r="J40" t="s">
        <v>29</v>
      </c>
    </row>
    <row r="41" spans="1:10" x14ac:dyDescent="0.25">
      <c r="A41" t="s">
        <v>77</v>
      </c>
      <c r="B41" s="1">
        <v>45697</v>
      </c>
      <c r="C41" t="s">
        <v>11</v>
      </c>
      <c r="D41" t="s">
        <v>12</v>
      </c>
      <c r="E41">
        <v>32728</v>
      </c>
      <c r="F41">
        <v>13359</v>
      </c>
      <c r="G41">
        <v>19369</v>
      </c>
      <c r="H41" t="s">
        <v>27</v>
      </c>
      <c r="I41" t="s">
        <v>78</v>
      </c>
      <c r="J41" t="s">
        <v>53</v>
      </c>
    </row>
    <row r="42" spans="1:10" x14ac:dyDescent="0.25">
      <c r="A42" t="s">
        <v>79</v>
      </c>
      <c r="B42" s="1">
        <v>46042</v>
      </c>
      <c r="C42" t="s">
        <v>17</v>
      </c>
      <c r="D42" t="s">
        <v>33</v>
      </c>
      <c r="E42">
        <v>5248</v>
      </c>
      <c r="F42">
        <v>1766</v>
      </c>
      <c r="G42">
        <v>3482</v>
      </c>
      <c r="H42" t="s">
        <v>38</v>
      </c>
      <c r="I42" t="s">
        <v>63</v>
      </c>
      <c r="J42" t="s">
        <v>24</v>
      </c>
    </row>
    <row r="43" spans="1:10" x14ac:dyDescent="0.25">
      <c r="A43" t="s">
        <v>80</v>
      </c>
      <c r="B43" s="1">
        <v>45454</v>
      </c>
      <c r="C43" t="s">
        <v>22</v>
      </c>
      <c r="D43" t="s">
        <v>33</v>
      </c>
      <c r="E43">
        <v>49143</v>
      </c>
      <c r="F43">
        <v>44094</v>
      </c>
      <c r="G43">
        <v>5049</v>
      </c>
      <c r="H43" t="s">
        <v>38</v>
      </c>
      <c r="I43" t="s">
        <v>28</v>
      </c>
      <c r="J43" t="s">
        <v>24</v>
      </c>
    </row>
    <row r="44" spans="1:10" x14ac:dyDescent="0.25">
      <c r="A44" t="s">
        <v>81</v>
      </c>
      <c r="B44" s="1">
        <v>45967</v>
      </c>
      <c r="C44" t="s">
        <v>44</v>
      </c>
      <c r="D44" t="s">
        <v>36</v>
      </c>
      <c r="E44">
        <v>35245</v>
      </c>
      <c r="F44">
        <v>24456</v>
      </c>
      <c r="G44">
        <v>10789</v>
      </c>
      <c r="H44" t="s">
        <v>19</v>
      </c>
      <c r="I44" t="s">
        <v>31</v>
      </c>
      <c r="J44" t="s">
        <v>24</v>
      </c>
    </row>
    <row r="45" spans="1:10" x14ac:dyDescent="0.25">
      <c r="A45" t="s">
        <v>82</v>
      </c>
      <c r="B45" s="1">
        <v>46106</v>
      </c>
      <c r="C45" t="s">
        <v>26</v>
      </c>
      <c r="D45" t="s">
        <v>36</v>
      </c>
      <c r="E45">
        <v>6195</v>
      </c>
      <c r="F45">
        <v>1377</v>
      </c>
      <c r="G45">
        <v>4818</v>
      </c>
      <c r="H45" t="s">
        <v>27</v>
      </c>
      <c r="I45" t="s">
        <v>34</v>
      </c>
      <c r="J45" t="s">
        <v>29</v>
      </c>
    </row>
    <row r="46" spans="1:10" x14ac:dyDescent="0.25">
      <c r="A46" t="s">
        <v>83</v>
      </c>
      <c r="B46" s="1">
        <v>45262</v>
      </c>
      <c r="C46" t="s">
        <v>26</v>
      </c>
      <c r="D46" t="s">
        <v>12</v>
      </c>
      <c r="E46">
        <v>33208</v>
      </c>
      <c r="F46">
        <v>32124</v>
      </c>
      <c r="G46">
        <v>1084</v>
      </c>
      <c r="H46" t="s">
        <v>27</v>
      </c>
      <c r="I46" t="s">
        <v>63</v>
      </c>
      <c r="J46" t="s">
        <v>53</v>
      </c>
    </row>
    <row r="47" spans="1:10" x14ac:dyDescent="0.25">
      <c r="A47" t="s">
        <v>84</v>
      </c>
      <c r="B47" s="1">
        <v>45757</v>
      </c>
      <c r="C47" t="s">
        <v>44</v>
      </c>
      <c r="D47" t="s">
        <v>36</v>
      </c>
      <c r="E47">
        <v>7142</v>
      </c>
      <c r="F47">
        <v>2337</v>
      </c>
      <c r="G47">
        <v>4805</v>
      </c>
      <c r="H47" t="s">
        <v>19</v>
      </c>
      <c r="I47" t="s">
        <v>60</v>
      </c>
      <c r="J47" t="s">
        <v>53</v>
      </c>
    </row>
    <row r="48" spans="1:10" x14ac:dyDescent="0.25">
      <c r="A48" t="s">
        <v>85</v>
      </c>
      <c r="B48" s="1">
        <v>45454</v>
      </c>
      <c r="C48" t="s">
        <v>11</v>
      </c>
      <c r="D48" t="s">
        <v>36</v>
      </c>
      <c r="E48">
        <v>43896</v>
      </c>
      <c r="F48">
        <v>36481</v>
      </c>
      <c r="G48">
        <v>7415</v>
      </c>
      <c r="H48" t="s">
        <v>38</v>
      </c>
      <c r="I48" t="s">
        <v>34</v>
      </c>
      <c r="J48" t="s">
        <v>29</v>
      </c>
    </row>
    <row r="49" spans="1:10" x14ac:dyDescent="0.25">
      <c r="A49" t="s">
        <v>86</v>
      </c>
      <c r="B49" s="1">
        <v>46104</v>
      </c>
      <c r="C49" t="s">
        <v>22</v>
      </c>
      <c r="D49" t="s">
        <v>41</v>
      </c>
      <c r="E49">
        <v>41008</v>
      </c>
      <c r="F49">
        <v>29787</v>
      </c>
      <c r="G49">
        <v>11221</v>
      </c>
      <c r="H49" t="s">
        <v>38</v>
      </c>
      <c r="I49" t="s">
        <v>45</v>
      </c>
      <c r="J49" t="s">
        <v>29</v>
      </c>
    </row>
    <row r="50" spans="1:10" x14ac:dyDescent="0.25">
      <c r="A50" t="s">
        <v>87</v>
      </c>
      <c r="B50" s="1">
        <v>46054</v>
      </c>
      <c r="C50" t="s">
        <v>17</v>
      </c>
      <c r="D50" t="s">
        <v>18</v>
      </c>
      <c r="E50">
        <v>24012</v>
      </c>
      <c r="F50">
        <v>16505</v>
      </c>
      <c r="G50">
        <v>7507</v>
      </c>
      <c r="H50" t="s">
        <v>13</v>
      </c>
      <c r="I50" t="s">
        <v>20</v>
      </c>
      <c r="J50" t="s">
        <v>29</v>
      </c>
    </row>
    <row r="51" spans="1:10" x14ac:dyDescent="0.25">
      <c r="A51" t="s">
        <v>88</v>
      </c>
      <c r="B51" s="1">
        <v>45980</v>
      </c>
      <c r="C51" t="s">
        <v>11</v>
      </c>
      <c r="D51" t="s">
        <v>33</v>
      </c>
      <c r="E51">
        <v>17542</v>
      </c>
      <c r="F51">
        <v>705</v>
      </c>
      <c r="G51">
        <v>16837</v>
      </c>
      <c r="H51" t="s">
        <v>19</v>
      </c>
      <c r="I51" t="s">
        <v>63</v>
      </c>
      <c r="J51" t="s">
        <v>42</v>
      </c>
    </row>
    <row r="52" spans="1:10" x14ac:dyDescent="0.25">
      <c r="A52" t="s">
        <v>89</v>
      </c>
      <c r="B52" s="1">
        <v>45959</v>
      </c>
      <c r="C52" t="s">
        <v>17</v>
      </c>
      <c r="D52" t="s">
        <v>12</v>
      </c>
      <c r="E52">
        <v>46497</v>
      </c>
      <c r="F52">
        <v>37510</v>
      </c>
      <c r="G52">
        <v>8987</v>
      </c>
      <c r="H52" t="s">
        <v>27</v>
      </c>
      <c r="I52" t="s">
        <v>14</v>
      </c>
      <c r="J52" t="s">
        <v>53</v>
      </c>
    </row>
    <row r="53" spans="1:10" x14ac:dyDescent="0.25">
      <c r="A53" t="s">
        <v>90</v>
      </c>
      <c r="B53" s="1">
        <v>45438</v>
      </c>
      <c r="C53" t="s">
        <v>17</v>
      </c>
      <c r="D53" t="s">
        <v>33</v>
      </c>
      <c r="E53">
        <v>13457</v>
      </c>
      <c r="F53">
        <v>7721</v>
      </c>
      <c r="G53">
        <v>5736</v>
      </c>
      <c r="H53" t="s">
        <v>38</v>
      </c>
      <c r="I53" t="s">
        <v>31</v>
      </c>
      <c r="J53" t="s">
        <v>24</v>
      </c>
    </row>
    <row r="54" spans="1:10" x14ac:dyDescent="0.25">
      <c r="A54" t="s">
        <v>91</v>
      </c>
      <c r="B54" s="1">
        <v>45833</v>
      </c>
      <c r="C54" t="s">
        <v>26</v>
      </c>
      <c r="D54" t="s">
        <v>41</v>
      </c>
      <c r="E54">
        <v>23992</v>
      </c>
      <c r="F54">
        <v>11909</v>
      </c>
      <c r="G54">
        <v>12083</v>
      </c>
      <c r="H54" t="s">
        <v>19</v>
      </c>
      <c r="I54" t="s">
        <v>60</v>
      </c>
      <c r="J54" t="s">
        <v>24</v>
      </c>
    </row>
    <row r="55" spans="1:10" x14ac:dyDescent="0.25">
      <c r="A55" t="s">
        <v>92</v>
      </c>
      <c r="B55" s="1">
        <v>45725</v>
      </c>
      <c r="C55" t="s">
        <v>22</v>
      </c>
      <c r="D55" t="s">
        <v>33</v>
      </c>
      <c r="E55">
        <v>27359</v>
      </c>
      <c r="F55">
        <v>24661</v>
      </c>
      <c r="G55">
        <v>2698</v>
      </c>
      <c r="H55" t="s">
        <v>38</v>
      </c>
      <c r="I55" t="s">
        <v>23</v>
      </c>
      <c r="J55" t="s">
        <v>24</v>
      </c>
    </row>
    <row r="56" spans="1:10" x14ac:dyDescent="0.25">
      <c r="A56" t="s">
        <v>93</v>
      </c>
      <c r="B56" s="1">
        <v>45212</v>
      </c>
      <c r="C56" t="s">
        <v>11</v>
      </c>
      <c r="D56" t="s">
        <v>36</v>
      </c>
      <c r="E56">
        <v>40574</v>
      </c>
      <c r="F56">
        <v>39316</v>
      </c>
      <c r="G56">
        <v>1258</v>
      </c>
      <c r="H56" t="s">
        <v>38</v>
      </c>
      <c r="I56" t="s">
        <v>20</v>
      </c>
      <c r="J56" t="s">
        <v>29</v>
      </c>
    </row>
    <row r="57" spans="1:10" x14ac:dyDescent="0.25">
      <c r="A57" t="s">
        <v>94</v>
      </c>
      <c r="B57" s="1">
        <v>45301</v>
      </c>
      <c r="C57" t="s">
        <v>11</v>
      </c>
      <c r="D57" t="s">
        <v>36</v>
      </c>
      <c r="E57">
        <v>13029</v>
      </c>
      <c r="F57">
        <v>2500</v>
      </c>
      <c r="G57">
        <v>10529</v>
      </c>
      <c r="H57" t="s">
        <v>27</v>
      </c>
      <c r="I57" t="s">
        <v>20</v>
      </c>
      <c r="J57" t="s">
        <v>53</v>
      </c>
    </row>
    <row r="58" spans="1:10" x14ac:dyDescent="0.25">
      <c r="A58" t="s">
        <v>95</v>
      </c>
      <c r="B58" s="1">
        <v>45960</v>
      </c>
      <c r="C58" t="s">
        <v>11</v>
      </c>
      <c r="D58" t="s">
        <v>12</v>
      </c>
      <c r="E58">
        <v>45583</v>
      </c>
      <c r="F58">
        <v>27319</v>
      </c>
      <c r="G58">
        <v>18264</v>
      </c>
      <c r="H58" t="s">
        <v>38</v>
      </c>
      <c r="I58" t="s">
        <v>34</v>
      </c>
      <c r="J58" t="s">
        <v>42</v>
      </c>
    </row>
    <row r="59" spans="1:10" x14ac:dyDescent="0.25">
      <c r="A59" t="s">
        <v>96</v>
      </c>
      <c r="B59" s="1">
        <v>45718</v>
      </c>
      <c r="C59" t="s">
        <v>26</v>
      </c>
      <c r="D59" t="s">
        <v>12</v>
      </c>
      <c r="E59">
        <v>22218</v>
      </c>
      <c r="F59">
        <v>6224</v>
      </c>
      <c r="G59">
        <v>15994</v>
      </c>
      <c r="H59" t="s">
        <v>38</v>
      </c>
      <c r="I59" t="s">
        <v>60</v>
      </c>
      <c r="J59" t="s">
        <v>42</v>
      </c>
    </row>
    <row r="60" spans="1:10" x14ac:dyDescent="0.25">
      <c r="A60" t="s">
        <v>97</v>
      </c>
      <c r="B60" s="1">
        <v>45718</v>
      </c>
      <c r="C60" t="s">
        <v>17</v>
      </c>
      <c r="D60" t="s">
        <v>41</v>
      </c>
      <c r="E60">
        <v>13731</v>
      </c>
      <c r="F60">
        <v>6435</v>
      </c>
      <c r="G60">
        <v>7296</v>
      </c>
      <c r="H60" t="s">
        <v>13</v>
      </c>
      <c r="I60" t="s">
        <v>31</v>
      </c>
      <c r="J60" t="s">
        <v>15</v>
      </c>
    </row>
    <row r="61" spans="1:10" x14ac:dyDescent="0.25">
      <c r="A61" t="s">
        <v>98</v>
      </c>
      <c r="B61" s="1">
        <v>45554</v>
      </c>
      <c r="C61" t="s">
        <v>22</v>
      </c>
      <c r="D61" t="s">
        <v>33</v>
      </c>
      <c r="E61">
        <v>43161</v>
      </c>
      <c r="F61">
        <v>32410</v>
      </c>
      <c r="G61">
        <v>10751</v>
      </c>
      <c r="H61" t="s">
        <v>13</v>
      </c>
      <c r="I61" t="s">
        <v>60</v>
      </c>
      <c r="J61" t="s">
        <v>29</v>
      </c>
    </row>
    <row r="62" spans="1:10" x14ac:dyDescent="0.25">
      <c r="A62" t="s">
        <v>99</v>
      </c>
      <c r="B62" s="1">
        <v>45963</v>
      </c>
      <c r="C62" t="s">
        <v>26</v>
      </c>
      <c r="D62" t="s">
        <v>41</v>
      </c>
      <c r="E62">
        <v>12406</v>
      </c>
      <c r="F62">
        <v>6371</v>
      </c>
      <c r="G62">
        <v>6035</v>
      </c>
      <c r="H62" t="s">
        <v>27</v>
      </c>
      <c r="I62" t="s">
        <v>23</v>
      </c>
      <c r="J62" t="s">
        <v>53</v>
      </c>
    </row>
    <row r="63" spans="1:10" x14ac:dyDescent="0.25">
      <c r="A63" t="s">
        <v>100</v>
      </c>
      <c r="B63" s="1">
        <v>45653</v>
      </c>
      <c r="C63" t="s">
        <v>17</v>
      </c>
      <c r="D63" t="s">
        <v>41</v>
      </c>
      <c r="E63">
        <v>37256</v>
      </c>
      <c r="F63">
        <v>25241</v>
      </c>
      <c r="G63">
        <v>12015</v>
      </c>
      <c r="H63" t="s">
        <v>27</v>
      </c>
      <c r="I63" t="s">
        <v>45</v>
      </c>
      <c r="J63" t="s">
        <v>15</v>
      </c>
    </row>
    <row r="64" spans="1:10" x14ac:dyDescent="0.25">
      <c r="A64" t="s">
        <v>101</v>
      </c>
      <c r="B64" s="1">
        <v>46206</v>
      </c>
      <c r="C64" t="s">
        <v>17</v>
      </c>
      <c r="D64" t="s">
        <v>18</v>
      </c>
      <c r="E64">
        <v>25152</v>
      </c>
      <c r="F64">
        <v>15567</v>
      </c>
      <c r="G64">
        <v>9585</v>
      </c>
      <c r="H64" t="s">
        <v>13</v>
      </c>
      <c r="I64" t="s">
        <v>60</v>
      </c>
      <c r="J64" t="s">
        <v>29</v>
      </c>
    </row>
    <row r="65" spans="1:10" x14ac:dyDescent="0.25">
      <c r="A65" t="s">
        <v>102</v>
      </c>
      <c r="B65" s="1">
        <v>45240</v>
      </c>
      <c r="C65" t="s">
        <v>22</v>
      </c>
      <c r="D65" t="s">
        <v>41</v>
      </c>
      <c r="E65">
        <v>27217</v>
      </c>
      <c r="F65">
        <v>12307</v>
      </c>
      <c r="G65">
        <v>14910</v>
      </c>
      <c r="H65" t="s">
        <v>38</v>
      </c>
      <c r="I65" t="s">
        <v>31</v>
      </c>
      <c r="J65" t="s">
        <v>29</v>
      </c>
    </row>
    <row r="66" spans="1:10" x14ac:dyDescent="0.25">
      <c r="A66" t="s">
        <v>103</v>
      </c>
      <c r="B66" s="1">
        <v>45848</v>
      </c>
      <c r="C66" t="s">
        <v>44</v>
      </c>
      <c r="D66" t="s">
        <v>18</v>
      </c>
      <c r="E66">
        <v>20714</v>
      </c>
      <c r="F66">
        <v>6025</v>
      </c>
      <c r="G66">
        <v>14689</v>
      </c>
      <c r="H66" t="s">
        <v>19</v>
      </c>
      <c r="I66" t="s">
        <v>31</v>
      </c>
      <c r="J66" t="s">
        <v>29</v>
      </c>
    </row>
    <row r="67" spans="1:10" x14ac:dyDescent="0.25">
      <c r="A67" t="s">
        <v>104</v>
      </c>
      <c r="B67" s="1">
        <v>46067</v>
      </c>
      <c r="C67" t="s">
        <v>26</v>
      </c>
      <c r="D67" t="s">
        <v>12</v>
      </c>
      <c r="E67">
        <v>8679</v>
      </c>
      <c r="F67">
        <v>4484</v>
      </c>
      <c r="G67">
        <v>4195</v>
      </c>
      <c r="H67" t="s">
        <v>19</v>
      </c>
      <c r="I67" t="s">
        <v>60</v>
      </c>
      <c r="J67" t="s">
        <v>15</v>
      </c>
    </row>
    <row r="68" spans="1:10" x14ac:dyDescent="0.25">
      <c r="A68" t="s">
        <v>105</v>
      </c>
      <c r="B68" s="1">
        <v>45390</v>
      </c>
      <c r="C68" t="s">
        <v>11</v>
      </c>
      <c r="D68" t="s">
        <v>12</v>
      </c>
      <c r="E68">
        <v>40079</v>
      </c>
      <c r="F68">
        <v>29291</v>
      </c>
      <c r="G68">
        <v>10788</v>
      </c>
      <c r="H68" t="s">
        <v>13</v>
      </c>
      <c r="I68" t="s">
        <v>78</v>
      </c>
      <c r="J68" t="s">
        <v>42</v>
      </c>
    </row>
    <row r="69" spans="1:10" x14ac:dyDescent="0.25">
      <c r="A69" t="s">
        <v>106</v>
      </c>
      <c r="B69" s="1">
        <v>45514</v>
      </c>
      <c r="C69" t="s">
        <v>44</v>
      </c>
      <c r="D69" t="s">
        <v>33</v>
      </c>
      <c r="E69">
        <v>48138</v>
      </c>
      <c r="F69">
        <v>41248</v>
      </c>
      <c r="G69">
        <v>6890</v>
      </c>
      <c r="H69" t="s">
        <v>13</v>
      </c>
      <c r="I69" t="s">
        <v>14</v>
      </c>
      <c r="J69" t="s">
        <v>15</v>
      </c>
    </row>
    <row r="70" spans="1:10" x14ac:dyDescent="0.25">
      <c r="A70" t="s">
        <v>107</v>
      </c>
      <c r="B70" s="1">
        <v>45439</v>
      </c>
      <c r="C70" t="s">
        <v>17</v>
      </c>
      <c r="D70" t="s">
        <v>36</v>
      </c>
      <c r="E70">
        <v>29301</v>
      </c>
      <c r="F70">
        <v>27418</v>
      </c>
      <c r="G70">
        <v>1883</v>
      </c>
      <c r="H70" t="s">
        <v>27</v>
      </c>
      <c r="I70" t="s">
        <v>34</v>
      </c>
      <c r="J70" t="s">
        <v>42</v>
      </c>
    </row>
    <row r="71" spans="1:10" x14ac:dyDescent="0.25">
      <c r="A71" t="s">
        <v>108</v>
      </c>
      <c r="B71" s="1">
        <v>45533</v>
      </c>
      <c r="C71" t="s">
        <v>11</v>
      </c>
      <c r="D71" t="s">
        <v>18</v>
      </c>
      <c r="E71">
        <v>47046</v>
      </c>
      <c r="F71">
        <v>27858</v>
      </c>
      <c r="G71">
        <v>19188</v>
      </c>
      <c r="H71" t="s">
        <v>38</v>
      </c>
      <c r="I71" t="s">
        <v>31</v>
      </c>
      <c r="J71" t="s">
        <v>42</v>
      </c>
    </row>
    <row r="72" spans="1:10" x14ac:dyDescent="0.25">
      <c r="A72" t="s">
        <v>109</v>
      </c>
      <c r="B72" s="1">
        <v>45360</v>
      </c>
      <c r="C72" t="s">
        <v>44</v>
      </c>
      <c r="D72" t="s">
        <v>36</v>
      </c>
      <c r="E72">
        <v>29189</v>
      </c>
      <c r="F72">
        <v>21366</v>
      </c>
      <c r="G72">
        <v>7823</v>
      </c>
      <c r="H72" t="s">
        <v>13</v>
      </c>
      <c r="I72" t="s">
        <v>78</v>
      </c>
      <c r="J72" t="s">
        <v>29</v>
      </c>
    </row>
    <row r="73" spans="1:10" x14ac:dyDescent="0.25">
      <c r="A73" t="s">
        <v>110</v>
      </c>
      <c r="B73" s="1">
        <v>45807</v>
      </c>
      <c r="C73" t="s">
        <v>22</v>
      </c>
      <c r="D73" t="s">
        <v>33</v>
      </c>
      <c r="E73">
        <v>28369</v>
      </c>
      <c r="F73">
        <v>22188</v>
      </c>
      <c r="G73">
        <v>6181</v>
      </c>
      <c r="H73" t="s">
        <v>27</v>
      </c>
      <c r="I73" t="s">
        <v>63</v>
      </c>
      <c r="J73" t="s">
        <v>24</v>
      </c>
    </row>
    <row r="74" spans="1:10" x14ac:dyDescent="0.25">
      <c r="A74" t="s">
        <v>111</v>
      </c>
      <c r="B74" s="1">
        <v>45146</v>
      </c>
      <c r="C74" t="s">
        <v>44</v>
      </c>
      <c r="D74" t="s">
        <v>41</v>
      </c>
      <c r="E74">
        <v>34304</v>
      </c>
      <c r="F74">
        <v>17435</v>
      </c>
      <c r="G74">
        <v>16869</v>
      </c>
      <c r="H74" t="s">
        <v>27</v>
      </c>
      <c r="I74" t="s">
        <v>60</v>
      </c>
      <c r="J74" t="s">
        <v>24</v>
      </c>
    </row>
    <row r="75" spans="1:10" x14ac:dyDescent="0.25">
      <c r="A75" t="s">
        <v>112</v>
      </c>
      <c r="B75" s="1">
        <v>45413</v>
      </c>
      <c r="C75" t="s">
        <v>44</v>
      </c>
      <c r="D75" t="s">
        <v>41</v>
      </c>
      <c r="E75">
        <v>26755</v>
      </c>
      <c r="F75">
        <v>7361</v>
      </c>
      <c r="G75">
        <v>19394</v>
      </c>
      <c r="H75" t="s">
        <v>19</v>
      </c>
      <c r="I75" t="s">
        <v>34</v>
      </c>
      <c r="J75" t="s">
        <v>42</v>
      </c>
    </row>
    <row r="76" spans="1:10" x14ac:dyDescent="0.25">
      <c r="A76" t="s">
        <v>113</v>
      </c>
      <c r="B76" s="1">
        <v>45230</v>
      </c>
      <c r="C76" t="s">
        <v>11</v>
      </c>
      <c r="D76" t="s">
        <v>33</v>
      </c>
      <c r="E76">
        <v>14298</v>
      </c>
      <c r="F76">
        <v>2680</v>
      </c>
      <c r="G76">
        <v>11618</v>
      </c>
      <c r="H76" t="s">
        <v>38</v>
      </c>
      <c r="I76" t="s">
        <v>34</v>
      </c>
      <c r="J76" t="s">
        <v>24</v>
      </c>
    </row>
    <row r="77" spans="1:10" x14ac:dyDescent="0.25">
      <c r="A77" t="s">
        <v>114</v>
      </c>
      <c r="B77" s="1">
        <v>45964</v>
      </c>
      <c r="C77" t="s">
        <v>11</v>
      </c>
      <c r="D77" t="s">
        <v>18</v>
      </c>
      <c r="E77">
        <v>35959</v>
      </c>
      <c r="F77">
        <v>30962</v>
      </c>
      <c r="G77">
        <v>4997</v>
      </c>
      <c r="H77" t="s">
        <v>13</v>
      </c>
      <c r="I77" t="s">
        <v>45</v>
      </c>
      <c r="J77" t="s">
        <v>42</v>
      </c>
    </row>
    <row r="78" spans="1:10" x14ac:dyDescent="0.25">
      <c r="A78" t="s">
        <v>115</v>
      </c>
      <c r="B78" s="1">
        <v>45354</v>
      </c>
      <c r="C78" t="s">
        <v>17</v>
      </c>
      <c r="D78" t="s">
        <v>33</v>
      </c>
      <c r="E78">
        <v>11932</v>
      </c>
      <c r="F78">
        <v>4376</v>
      </c>
      <c r="G78">
        <v>7556</v>
      </c>
      <c r="H78" t="s">
        <v>38</v>
      </c>
      <c r="I78" t="s">
        <v>23</v>
      </c>
      <c r="J78" t="s">
        <v>15</v>
      </c>
    </row>
    <row r="79" spans="1:10" x14ac:dyDescent="0.25">
      <c r="A79" t="s">
        <v>116</v>
      </c>
      <c r="B79" s="1">
        <v>46157</v>
      </c>
      <c r="C79" t="s">
        <v>11</v>
      </c>
      <c r="D79" t="s">
        <v>33</v>
      </c>
      <c r="E79">
        <v>31039</v>
      </c>
      <c r="F79">
        <v>26709</v>
      </c>
      <c r="G79">
        <v>4330</v>
      </c>
      <c r="H79" t="s">
        <v>13</v>
      </c>
      <c r="I79" t="s">
        <v>14</v>
      </c>
      <c r="J79" t="s">
        <v>53</v>
      </c>
    </row>
    <row r="80" spans="1:10" x14ac:dyDescent="0.25">
      <c r="A80" t="s">
        <v>117</v>
      </c>
      <c r="B80" s="1">
        <v>45149</v>
      </c>
      <c r="C80" t="s">
        <v>11</v>
      </c>
      <c r="D80" t="s">
        <v>33</v>
      </c>
      <c r="E80">
        <v>37354</v>
      </c>
      <c r="F80">
        <v>33221</v>
      </c>
      <c r="G80">
        <v>4133</v>
      </c>
      <c r="H80" t="s">
        <v>13</v>
      </c>
      <c r="I80" t="s">
        <v>14</v>
      </c>
      <c r="J80" t="s">
        <v>29</v>
      </c>
    </row>
    <row r="81" spans="1:10" x14ac:dyDescent="0.25">
      <c r="A81" t="s">
        <v>118</v>
      </c>
      <c r="B81" s="1">
        <v>45503</v>
      </c>
      <c r="C81" t="s">
        <v>11</v>
      </c>
      <c r="D81" t="s">
        <v>41</v>
      </c>
      <c r="E81">
        <v>18892</v>
      </c>
      <c r="F81">
        <v>14771</v>
      </c>
      <c r="G81">
        <v>4121</v>
      </c>
      <c r="H81" t="s">
        <v>19</v>
      </c>
      <c r="I81" t="s">
        <v>20</v>
      </c>
      <c r="J81" t="s">
        <v>29</v>
      </c>
    </row>
    <row r="82" spans="1:10" x14ac:dyDescent="0.25">
      <c r="A82" t="s">
        <v>119</v>
      </c>
      <c r="B82" s="1">
        <v>45274</v>
      </c>
      <c r="C82" t="s">
        <v>44</v>
      </c>
      <c r="D82" t="s">
        <v>41</v>
      </c>
      <c r="E82">
        <v>49254</v>
      </c>
      <c r="F82">
        <v>40744</v>
      </c>
      <c r="G82">
        <v>8510</v>
      </c>
      <c r="H82" t="s">
        <v>13</v>
      </c>
      <c r="I82" t="s">
        <v>23</v>
      </c>
      <c r="J82" t="s">
        <v>53</v>
      </c>
    </row>
    <row r="83" spans="1:10" x14ac:dyDescent="0.25">
      <c r="A83" t="s">
        <v>120</v>
      </c>
      <c r="B83" s="1">
        <v>45692</v>
      </c>
      <c r="C83" t="s">
        <v>17</v>
      </c>
      <c r="D83" t="s">
        <v>41</v>
      </c>
      <c r="E83">
        <v>16236</v>
      </c>
      <c r="F83">
        <v>10183</v>
      </c>
      <c r="G83">
        <v>6053</v>
      </c>
      <c r="H83" t="s">
        <v>27</v>
      </c>
      <c r="I83" t="s">
        <v>28</v>
      </c>
      <c r="J83" t="s">
        <v>29</v>
      </c>
    </row>
    <row r="84" spans="1:10" x14ac:dyDescent="0.25">
      <c r="A84" t="s">
        <v>121</v>
      </c>
      <c r="B84" s="1">
        <v>45558</v>
      </c>
      <c r="C84" t="s">
        <v>17</v>
      </c>
      <c r="D84" t="s">
        <v>33</v>
      </c>
      <c r="E84">
        <v>26467</v>
      </c>
      <c r="F84">
        <v>10760</v>
      </c>
      <c r="G84">
        <v>15707</v>
      </c>
      <c r="H84" t="s">
        <v>13</v>
      </c>
      <c r="I84" t="s">
        <v>34</v>
      </c>
      <c r="J84" t="s">
        <v>24</v>
      </c>
    </row>
    <row r="85" spans="1:10" x14ac:dyDescent="0.25">
      <c r="A85" t="s">
        <v>122</v>
      </c>
      <c r="B85" s="1">
        <v>45582</v>
      </c>
      <c r="C85" t="s">
        <v>22</v>
      </c>
      <c r="D85" t="s">
        <v>18</v>
      </c>
      <c r="E85">
        <v>8911</v>
      </c>
      <c r="F85">
        <v>6023</v>
      </c>
      <c r="G85">
        <v>2888</v>
      </c>
      <c r="H85" t="s">
        <v>38</v>
      </c>
      <c r="I85" t="s">
        <v>28</v>
      </c>
      <c r="J85" t="s">
        <v>29</v>
      </c>
    </row>
    <row r="86" spans="1:10" x14ac:dyDescent="0.25">
      <c r="A86" t="s">
        <v>123</v>
      </c>
      <c r="B86" s="1">
        <v>45426</v>
      </c>
      <c r="C86" t="s">
        <v>26</v>
      </c>
      <c r="D86" t="s">
        <v>41</v>
      </c>
      <c r="E86">
        <v>6554</v>
      </c>
      <c r="F86">
        <v>3682</v>
      </c>
      <c r="G86">
        <v>2872</v>
      </c>
      <c r="H86" t="s">
        <v>19</v>
      </c>
      <c r="I86" t="s">
        <v>20</v>
      </c>
      <c r="J86" t="s">
        <v>29</v>
      </c>
    </row>
    <row r="87" spans="1:10" x14ac:dyDescent="0.25">
      <c r="A87" t="s">
        <v>124</v>
      </c>
      <c r="B87" s="1">
        <v>45978</v>
      </c>
      <c r="C87" t="s">
        <v>11</v>
      </c>
      <c r="D87" t="s">
        <v>33</v>
      </c>
      <c r="E87">
        <v>40948</v>
      </c>
      <c r="F87">
        <v>23877</v>
      </c>
      <c r="G87">
        <v>17071</v>
      </c>
      <c r="H87" t="s">
        <v>27</v>
      </c>
      <c r="I87" t="s">
        <v>23</v>
      </c>
      <c r="J87" t="s">
        <v>42</v>
      </c>
    </row>
    <row r="88" spans="1:10" x14ac:dyDescent="0.25">
      <c r="A88" t="s">
        <v>125</v>
      </c>
      <c r="B88" s="1">
        <v>45139</v>
      </c>
      <c r="C88" t="s">
        <v>11</v>
      </c>
      <c r="D88" t="s">
        <v>12</v>
      </c>
      <c r="E88">
        <v>38211</v>
      </c>
      <c r="F88">
        <v>25192</v>
      </c>
      <c r="G88">
        <v>13019</v>
      </c>
      <c r="H88" t="s">
        <v>13</v>
      </c>
      <c r="I88" t="s">
        <v>34</v>
      </c>
      <c r="J88" t="s">
        <v>24</v>
      </c>
    </row>
    <row r="89" spans="1:10" x14ac:dyDescent="0.25">
      <c r="A89" t="s">
        <v>126</v>
      </c>
      <c r="B89" s="1">
        <v>45546</v>
      </c>
      <c r="C89" t="s">
        <v>17</v>
      </c>
      <c r="D89" t="s">
        <v>36</v>
      </c>
      <c r="E89">
        <v>42378</v>
      </c>
      <c r="F89">
        <v>32168</v>
      </c>
      <c r="G89">
        <v>10210</v>
      </c>
      <c r="H89" t="s">
        <v>27</v>
      </c>
      <c r="I89" t="s">
        <v>28</v>
      </c>
      <c r="J89" t="s">
        <v>42</v>
      </c>
    </row>
    <row r="90" spans="1:10" x14ac:dyDescent="0.25">
      <c r="A90" t="s">
        <v>127</v>
      </c>
      <c r="B90" s="1">
        <v>45298</v>
      </c>
      <c r="C90" t="s">
        <v>17</v>
      </c>
      <c r="D90" t="s">
        <v>12</v>
      </c>
      <c r="E90">
        <v>37235</v>
      </c>
      <c r="F90">
        <v>19240</v>
      </c>
      <c r="G90">
        <v>17995</v>
      </c>
      <c r="H90" t="s">
        <v>38</v>
      </c>
      <c r="I90" t="s">
        <v>28</v>
      </c>
      <c r="J90" t="s">
        <v>15</v>
      </c>
    </row>
    <row r="91" spans="1:10" x14ac:dyDescent="0.25">
      <c r="A91" t="s">
        <v>128</v>
      </c>
      <c r="B91" s="1">
        <v>45413</v>
      </c>
      <c r="C91" t="s">
        <v>26</v>
      </c>
      <c r="D91" t="s">
        <v>41</v>
      </c>
      <c r="E91">
        <v>13849</v>
      </c>
      <c r="F91">
        <v>11084</v>
      </c>
      <c r="G91">
        <v>2765</v>
      </c>
      <c r="H91" t="s">
        <v>27</v>
      </c>
      <c r="I91" t="s">
        <v>31</v>
      </c>
      <c r="J91" t="s">
        <v>15</v>
      </c>
    </row>
    <row r="92" spans="1:10" x14ac:dyDescent="0.25">
      <c r="A92" t="s">
        <v>129</v>
      </c>
      <c r="B92" s="1">
        <v>45130</v>
      </c>
      <c r="C92" t="s">
        <v>26</v>
      </c>
      <c r="D92" t="s">
        <v>18</v>
      </c>
      <c r="E92">
        <v>39386</v>
      </c>
      <c r="F92">
        <v>28645</v>
      </c>
      <c r="G92">
        <v>10741</v>
      </c>
      <c r="H92" t="s">
        <v>19</v>
      </c>
      <c r="I92" t="s">
        <v>60</v>
      </c>
      <c r="J92" t="s">
        <v>15</v>
      </c>
    </row>
    <row r="93" spans="1:10" x14ac:dyDescent="0.25">
      <c r="A93" t="s">
        <v>130</v>
      </c>
      <c r="B93" s="1">
        <v>45753</v>
      </c>
      <c r="C93" t="s">
        <v>26</v>
      </c>
      <c r="D93" t="s">
        <v>36</v>
      </c>
      <c r="E93">
        <v>30603</v>
      </c>
      <c r="F93">
        <v>14955</v>
      </c>
      <c r="G93">
        <v>15648</v>
      </c>
      <c r="H93" t="s">
        <v>13</v>
      </c>
      <c r="I93" t="s">
        <v>45</v>
      </c>
      <c r="J93" t="s">
        <v>42</v>
      </c>
    </row>
    <row r="94" spans="1:10" x14ac:dyDescent="0.25">
      <c r="A94" t="s">
        <v>131</v>
      </c>
      <c r="B94" s="1">
        <v>45422</v>
      </c>
      <c r="C94" t="s">
        <v>26</v>
      </c>
      <c r="D94" t="s">
        <v>12</v>
      </c>
      <c r="E94">
        <v>32969</v>
      </c>
      <c r="F94">
        <v>31760</v>
      </c>
      <c r="G94">
        <v>1209</v>
      </c>
      <c r="H94" t="s">
        <v>38</v>
      </c>
      <c r="I94" t="s">
        <v>60</v>
      </c>
      <c r="J94" t="s">
        <v>42</v>
      </c>
    </row>
    <row r="95" spans="1:10" x14ac:dyDescent="0.25">
      <c r="A95" t="s">
        <v>132</v>
      </c>
      <c r="B95" s="1">
        <v>45550</v>
      </c>
      <c r="C95" t="s">
        <v>17</v>
      </c>
      <c r="D95" t="s">
        <v>33</v>
      </c>
      <c r="E95">
        <v>10891</v>
      </c>
      <c r="F95">
        <v>7228</v>
      </c>
      <c r="G95">
        <v>3663</v>
      </c>
      <c r="H95" t="s">
        <v>27</v>
      </c>
      <c r="I95" t="s">
        <v>45</v>
      </c>
      <c r="J95" t="s">
        <v>15</v>
      </c>
    </row>
    <row r="96" spans="1:10" x14ac:dyDescent="0.25">
      <c r="A96" t="s">
        <v>133</v>
      </c>
      <c r="B96" s="1">
        <v>45179</v>
      </c>
      <c r="C96" t="s">
        <v>22</v>
      </c>
      <c r="D96" t="s">
        <v>36</v>
      </c>
      <c r="E96">
        <v>21185</v>
      </c>
      <c r="F96">
        <v>18350</v>
      </c>
      <c r="G96">
        <v>2835</v>
      </c>
      <c r="H96" t="s">
        <v>13</v>
      </c>
      <c r="I96" t="s">
        <v>60</v>
      </c>
      <c r="J96" t="s">
        <v>15</v>
      </c>
    </row>
    <row r="97" spans="1:10" x14ac:dyDescent="0.25">
      <c r="A97" t="s">
        <v>134</v>
      </c>
      <c r="B97" s="1">
        <v>45790</v>
      </c>
      <c r="C97" t="s">
        <v>44</v>
      </c>
      <c r="D97" t="s">
        <v>18</v>
      </c>
      <c r="E97">
        <v>35040</v>
      </c>
      <c r="F97">
        <v>20420</v>
      </c>
      <c r="G97">
        <v>14620</v>
      </c>
      <c r="H97" t="s">
        <v>27</v>
      </c>
      <c r="I97" t="s">
        <v>60</v>
      </c>
      <c r="J97" t="s">
        <v>15</v>
      </c>
    </row>
    <row r="98" spans="1:10" x14ac:dyDescent="0.25">
      <c r="A98" t="s">
        <v>135</v>
      </c>
      <c r="B98" s="1">
        <v>46164</v>
      </c>
      <c r="C98" t="s">
        <v>11</v>
      </c>
      <c r="D98" t="s">
        <v>36</v>
      </c>
      <c r="E98">
        <v>32309</v>
      </c>
      <c r="F98">
        <v>23660</v>
      </c>
      <c r="G98">
        <v>8649</v>
      </c>
      <c r="H98" t="s">
        <v>27</v>
      </c>
      <c r="I98" t="s">
        <v>63</v>
      </c>
      <c r="J98" t="s">
        <v>15</v>
      </c>
    </row>
    <row r="99" spans="1:10" x14ac:dyDescent="0.25">
      <c r="A99" t="s">
        <v>136</v>
      </c>
      <c r="B99" s="1">
        <v>45824</v>
      </c>
      <c r="C99" t="s">
        <v>11</v>
      </c>
      <c r="D99" t="s">
        <v>41</v>
      </c>
      <c r="E99">
        <v>14281</v>
      </c>
      <c r="F99">
        <v>6437</v>
      </c>
      <c r="G99">
        <v>7844</v>
      </c>
      <c r="H99" t="s">
        <v>38</v>
      </c>
      <c r="I99" t="s">
        <v>34</v>
      </c>
      <c r="J99" t="s">
        <v>42</v>
      </c>
    </row>
    <row r="100" spans="1:10" x14ac:dyDescent="0.25">
      <c r="A100" t="s">
        <v>137</v>
      </c>
      <c r="B100" s="1">
        <v>45524</v>
      </c>
      <c r="C100" t="s">
        <v>11</v>
      </c>
      <c r="D100" t="s">
        <v>12</v>
      </c>
      <c r="E100">
        <v>19007</v>
      </c>
      <c r="F100">
        <v>13928</v>
      </c>
      <c r="G100">
        <v>5079</v>
      </c>
      <c r="H100" t="s">
        <v>38</v>
      </c>
      <c r="I100" t="s">
        <v>60</v>
      </c>
      <c r="J100" t="s">
        <v>42</v>
      </c>
    </row>
    <row r="101" spans="1:10" x14ac:dyDescent="0.25">
      <c r="A101" t="s">
        <v>138</v>
      </c>
      <c r="B101" s="1">
        <v>45222</v>
      </c>
      <c r="C101" t="s">
        <v>11</v>
      </c>
      <c r="D101" t="s">
        <v>18</v>
      </c>
      <c r="E101">
        <v>42485</v>
      </c>
      <c r="F101">
        <v>25446</v>
      </c>
      <c r="G101">
        <v>17039</v>
      </c>
      <c r="H101" t="s">
        <v>38</v>
      </c>
      <c r="I101" t="s">
        <v>63</v>
      </c>
      <c r="J101" t="s">
        <v>29</v>
      </c>
    </row>
    <row r="102" spans="1:10" x14ac:dyDescent="0.25">
      <c r="A102" t="s">
        <v>139</v>
      </c>
      <c r="B102" s="1">
        <v>45333</v>
      </c>
      <c r="C102" t="s">
        <v>11</v>
      </c>
      <c r="D102" t="s">
        <v>41</v>
      </c>
      <c r="E102">
        <v>39195</v>
      </c>
      <c r="F102">
        <v>29224</v>
      </c>
      <c r="G102">
        <v>9971</v>
      </c>
      <c r="H102" t="s">
        <v>13</v>
      </c>
      <c r="I102" t="s">
        <v>60</v>
      </c>
      <c r="J102" t="s">
        <v>42</v>
      </c>
    </row>
    <row r="103" spans="1:10" x14ac:dyDescent="0.25">
      <c r="A103" t="s">
        <v>140</v>
      </c>
      <c r="B103" s="1">
        <v>45135</v>
      </c>
      <c r="C103" t="s">
        <v>26</v>
      </c>
      <c r="D103" t="s">
        <v>41</v>
      </c>
      <c r="E103">
        <v>37432</v>
      </c>
      <c r="F103">
        <v>26793</v>
      </c>
      <c r="G103">
        <v>10639</v>
      </c>
      <c r="H103" t="s">
        <v>13</v>
      </c>
      <c r="I103" t="s">
        <v>14</v>
      </c>
      <c r="J103" t="s">
        <v>24</v>
      </c>
    </row>
    <row r="104" spans="1:10" x14ac:dyDescent="0.25">
      <c r="A104" t="s">
        <v>141</v>
      </c>
      <c r="B104" s="1">
        <v>45620</v>
      </c>
      <c r="C104" t="s">
        <v>44</v>
      </c>
      <c r="D104" t="s">
        <v>33</v>
      </c>
      <c r="E104">
        <v>10316</v>
      </c>
      <c r="F104">
        <v>3415</v>
      </c>
      <c r="G104">
        <v>6901</v>
      </c>
      <c r="H104" t="s">
        <v>13</v>
      </c>
      <c r="I104" t="s">
        <v>20</v>
      </c>
      <c r="J104" t="s">
        <v>29</v>
      </c>
    </row>
    <row r="105" spans="1:10" x14ac:dyDescent="0.25">
      <c r="A105" t="s">
        <v>142</v>
      </c>
      <c r="B105" s="1">
        <v>45500</v>
      </c>
      <c r="C105" t="s">
        <v>44</v>
      </c>
      <c r="D105" t="s">
        <v>36</v>
      </c>
      <c r="E105">
        <v>19152</v>
      </c>
      <c r="F105">
        <v>6232</v>
      </c>
      <c r="G105">
        <v>12920</v>
      </c>
      <c r="H105" t="s">
        <v>38</v>
      </c>
      <c r="I105" t="s">
        <v>45</v>
      </c>
      <c r="J105" t="s">
        <v>29</v>
      </c>
    </row>
    <row r="106" spans="1:10" x14ac:dyDescent="0.25">
      <c r="A106" t="s">
        <v>143</v>
      </c>
      <c r="B106" s="1">
        <v>45573</v>
      </c>
      <c r="C106" t="s">
        <v>44</v>
      </c>
      <c r="D106" t="s">
        <v>18</v>
      </c>
      <c r="E106">
        <v>15194</v>
      </c>
      <c r="F106">
        <v>4716</v>
      </c>
      <c r="G106">
        <v>10478</v>
      </c>
      <c r="H106" t="s">
        <v>38</v>
      </c>
      <c r="I106" t="s">
        <v>63</v>
      </c>
      <c r="J106" t="s">
        <v>42</v>
      </c>
    </row>
    <row r="107" spans="1:10" x14ac:dyDescent="0.25">
      <c r="A107" t="s">
        <v>144</v>
      </c>
      <c r="B107" s="1">
        <v>45289</v>
      </c>
      <c r="C107" t="s">
        <v>44</v>
      </c>
      <c r="D107" t="s">
        <v>18</v>
      </c>
      <c r="E107">
        <v>11589</v>
      </c>
      <c r="F107">
        <v>2569</v>
      </c>
      <c r="G107">
        <v>9020</v>
      </c>
      <c r="H107" t="s">
        <v>27</v>
      </c>
      <c r="I107" t="s">
        <v>23</v>
      </c>
      <c r="J107" t="s">
        <v>15</v>
      </c>
    </row>
    <row r="108" spans="1:10" x14ac:dyDescent="0.25">
      <c r="A108" t="s">
        <v>145</v>
      </c>
      <c r="B108" s="1">
        <v>46077</v>
      </c>
      <c r="C108" t="s">
        <v>17</v>
      </c>
      <c r="D108" t="s">
        <v>36</v>
      </c>
      <c r="E108">
        <v>36936</v>
      </c>
      <c r="F108">
        <v>27890</v>
      </c>
      <c r="G108">
        <v>9046</v>
      </c>
      <c r="H108" t="s">
        <v>27</v>
      </c>
      <c r="I108" t="s">
        <v>78</v>
      </c>
      <c r="J108" t="s">
        <v>53</v>
      </c>
    </row>
    <row r="109" spans="1:10" x14ac:dyDescent="0.25">
      <c r="A109" t="s">
        <v>146</v>
      </c>
      <c r="B109" s="1">
        <v>46088</v>
      </c>
      <c r="C109" t="s">
        <v>17</v>
      </c>
      <c r="D109" t="s">
        <v>18</v>
      </c>
      <c r="E109">
        <v>37292</v>
      </c>
      <c r="F109">
        <v>31035</v>
      </c>
      <c r="G109">
        <v>6257</v>
      </c>
      <c r="H109" t="s">
        <v>27</v>
      </c>
      <c r="I109" t="s">
        <v>20</v>
      </c>
      <c r="J109" t="s">
        <v>42</v>
      </c>
    </row>
    <row r="110" spans="1:10" x14ac:dyDescent="0.25">
      <c r="A110" t="s">
        <v>147</v>
      </c>
      <c r="B110" s="1">
        <v>45351</v>
      </c>
      <c r="C110" t="s">
        <v>22</v>
      </c>
      <c r="D110" t="s">
        <v>18</v>
      </c>
      <c r="E110">
        <v>23598</v>
      </c>
      <c r="F110">
        <v>6847</v>
      </c>
      <c r="G110">
        <v>16751</v>
      </c>
      <c r="H110" t="s">
        <v>27</v>
      </c>
      <c r="I110" t="s">
        <v>23</v>
      </c>
      <c r="J110" t="s">
        <v>15</v>
      </c>
    </row>
    <row r="111" spans="1:10" x14ac:dyDescent="0.25">
      <c r="A111" t="s">
        <v>148</v>
      </c>
      <c r="B111" s="1">
        <v>45644</v>
      </c>
      <c r="C111" t="s">
        <v>26</v>
      </c>
      <c r="D111" t="s">
        <v>18</v>
      </c>
      <c r="E111">
        <v>12190</v>
      </c>
      <c r="F111">
        <v>1341</v>
      </c>
      <c r="G111">
        <v>10849</v>
      </c>
      <c r="H111" t="s">
        <v>13</v>
      </c>
      <c r="I111" t="s">
        <v>23</v>
      </c>
      <c r="J111" t="s">
        <v>42</v>
      </c>
    </row>
    <row r="112" spans="1:10" x14ac:dyDescent="0.25">
      <c r="A112" t="s">
        <v>149</v>
      </c>
      <c r="B112" s="1">
        <v>45300</v>
      </c>
      <c r="C112" t="s">
        <v>44</v>
      </c>
      <c r="D112" t="s">
        <v>12</v>
      </c>
      <c r="E112">
        <v>38567</v>
      </c>
      <c r="F112">
        <v>26129</v>
      </c>
      <c r="G112">
        <v>12438</v>
      </c>
      <c r="H112" t="s">
        <v>19</v>
      </c>
      <c r="I112" t="s">
        <v>60</v>
      </c>
      <c r="J112" t="s">
        <v>29</v>
      </c>
    </row>
    <row r="113" spans="1:10" x14ac:dyDescent="0.25">
      <c r="A113" t="s">
        <v>150</v>
      </c>
      <c r="B113" s="1">
        <v>45947</v>
      </c>
      <c r="C113" t="s">
        <v>22</v>
      </c>
      <c r="D113" t="s">
        <v>41</v>
      </c>
      <c r="E113">
        <v>15867</v>
      </c>
      <c r="F113">
        <v>8310</v>
      </c>
      <c r="G113">
        <v>7557</v>
      </c>
      <c r="H113" t="s">
        <v>38</v>
      </c>
      <c r="I113" t="s">
        <v>45</v>
      </c>
      <c r="J113" t="s">
        <v>15</v>
      </c>
    </row>
    <row r="114" spans="1:10" x14ac:dyDescent="0.25">
      <c r="A114" t="s">
        <v>151</v>
      </c>
      <c r="B114" s="1">
        <v>45750</v>
      </c>
      <c r="C114" t="s">
        <v>11</v>
      </c>
      <c r="D114" t="s">
        <v>36</v>
      </c>
      <c r="E114">
        <v>19164</v>
      </c>
      <c r="F114">
        <v>2015</v>
      </c>
      <c r="G114">
        <v>17149</v>
      </c>
      <c r="H114" t="s">
        <v>13</v>
      </c>
      <c r="I114" t="s">
        <v>14</v>
      </c>
      <c r="J114" t="s">
        <v>29</v>
      </c>
    </row>
    <row r="115" spans="1:10" x14ac:dyDescent="0.25">
      <c r="A115" t="s">
        <v>152</v>
      </c>
      <c r="B115" s="1">
        <v>45825</v>
      </c>
      <c r="C115" t="s">
        <v>44</v>
      </c>
      <c r="D115" t="s">
        <v>12</v>
      </c>
      <c r="E115">
        <v>46903</v>
      </c>
      <c r="F115">
        <v>43709</v>
      </c>
      <c r="G115">
        <v>3194</v>
      </c>
      <c r="H115" t="s">
        <v>13</v>
      </c>
      <c r="I115" t="s">
        <v>45</v>
      </c>
      <c r="J115" t="s">
        <v>29</v>
      </c>
    </row>
    <row r="116" spans="1:10" x14ac:dyDescent="0.25">
      <c r="A116" t="s">
        <v>153</v>
      </c>
      <c r="B116" s="1">
        <v>45816</v>
      </c>
      <c r="C116" t="s">
        <v>11</v>
      </c>
      <c r="D116" t="s">
        <v>33</v>
      </c>
      <c r="E116">
        <v>38655</v>
      </c>
      <c r="F116">
        <v>30640</v>
      </c>
      <c r="G116">
        <v>8015</v>
      </c>
      <c r="H116" t="s">
        <v>19</v>
      </c>
      <c r="I116" t="s">
        <v>23</v>
      </c>
      <c r="J116" t="s">
        <v>24</v>
      </c>
    </row>
    <row r="117" spans="1:10" x14ac:dyDescent="0.25">
      <c r="A117" t="s">
        <v>154</v>
      </c>
      <c r="B117" s="1">
        <v>46004</v>
      </c>
      <c r="C117" t="s">
        <v>22</v>
      </c>
      <c r="D117" t="s">
        <v>12</v>
      </c>
      <c r="E117">
        <v>37872</v>
      </c>
      <c r="F117">
        <v>26572</v>
      </c>
      <c r="G117">
        <v>11300</v>
      </c>
      <c r="H117" t="s">
        <v>38</v>
      </c>
      <c r="I117" t="s">
        <v>60</v>
      </c>
      <c r="J117" t="s">
        <v>29</v>
      </c>
    </row>
    <row r="118" spans="1:10" x14ac:dyDescent="0.25">
      <c r="A118" t="s">
        <v>155</v>
      </c>
      <c r="B118" s="1">
        <v>45425</v>
      </c>
      <c r="C118" t="s">
        <v>44</v>
      </c>
      <c r="D118" t="s">
        <v>12</v>
      </c>
      <c r="E118">
        <v>10005</v>
      </c>
      <c r="F118">
        <v>2627</v>
      </c>
      <c r="G118">
        <v>7378</v>
      </c>
      <c r="H118" t="s">
        <v>27</v>
      </c>
      <c r="I118" t="s">
        <v>23</v>
      </c>
      <c r="J118" t="s">
        <v>15</v>
      </c>
    </row>
    <row r="119" spans="1:10" x14ac:dyDescent="0.25">
      <c r="A119" t="s">
        <v>156</v>
      </c>
      <c r="B119" s="1">
        <v>46105</v>
      </c>
      <c r="C119" t="s">
        <v>26</v>
      </c>
      <c r="D119" t="s">
        <v>18</v>
      </c>
      <c r="E119">
        <v>14165</v>
      </c>
      <c r="F119">
        <v>13598</v>
      </c>
      <c r="G119">
        <v>567</v>
      </c>
      <c r="H119" t="s">
        <v>13</v>
      </c>
      <c r="I119" t="s">
        <v>63</v>
      </c>
      <c r="J119" t="s">
        <v>53</v>
      </c>
    </row>
    <row r="120" spans="1:10" x14ac:dyDescent="0.25">
      <c r="A120" t="s">
        <v>157</v>
      </c>
      <c r="B120" s="1">
        <v>45978</v>
      </c>
      <c r="C120" t="s">
        <v>17</v>
      </c>
      <c r="D120" t="s">
        <v>36</v>
      </c>
      <c r="E120">
        <v>40160</v>
      </c>
      <c r="F120">
        <v>37752</v>
      </c>
      <c r="G120">
        <v>2408</v>
      </c>
      <c r="H120" t="s">
        <v>38</v>
      </c>
      <c r="I120" t="s">
        <v>34</v>
      </c>
      <c r="J120" t="s">
        <v>53</v>
      </c>
    </row>
    <row r="121" spans="1:10" x14ac:dyDescent="0.25">
      <c r="A121" t="s">
        <v>158</v>
      </c>
      <c r="B121" s="1">
        <v>46163</v>
      </c>
      <c r="C121" t="s">
        <v>11</v>
      </c>
      <c r="D121" t="s">
        <v>12</v>
      </c>
      <c r="E121">
        <v>22155</v>
      </c>
      <c r="F121">
        <v>4730</v>
      </c>
      <c r="G121">
        <v>17425</v>
      </c>
      <c r="H121" t="s">
        <v>19</v>
      </c>
      <c r="I121" t="s">
        <v>60</v>
      </c>
      <c r="J121" t="s">
        <v>24</v>
      </c>
    </row>
    <row r="122" spans="1:10" x14ac:dyDescent="0.25">
      <c r="A122" t="s">
        <v>159</v>
      </c>
      <c r="B122" s="1">
        <v>45130</v>
      </c>
      <c r="C122" t="s">
        <v>17</v>
      </c>
      <c r="D122" t="s">
        <v>41</v>
      </c>
      <c r="E122">
        <v>44586</v>
      </c>
      <c r="F122">
        <v>34133</v>
      </c>
      <c r="G122">
        <v>10453</v>
      </c>
      <c r="H122" t="s">
        <v>19</v>
      </c>
      <c r="I122" t="s">
        <v>28</v>
      </c>
      <c r="J122" t="s">
        <v>15</v>
      </c>
    </row>
    <row r="123" spans="1:10" x14ac:dyDescent="0.25">
      <c r="A123" t="s">
        <v>160</v>
      </c>
      <c r="B123" s="1">
        <v>46106</v>
      </c>
      <c r="C123" t="s">
        <v>17</v>
      </c>
      <c r="D123" t="s">
        <v>36</v>
      </c>
      <c r="E123">
        <v>48515</v>
      </c>
      <c r="F123">
        <v>46387</v>
      </c>
      <c r="G123">
        <v>2128</v>
      </c>
      <c r="H123" t="s">
        <v>19</v>
      </c>
      <c r="I123" t="s">
        <v>20</v>
      </c>
      <c r="J123" t="s">
        <v>29</v>
      </c>
    </row>
    <row r="124" spans="1:10" x14ac:dyDescent="0.25">
      <c r="A124" t="s">
        <v>161</v>
      </c>
      <c r="B124" s="1">
        <v>45277</v>
      </c>
      <c r="C124" t="s">
        <v>17</v>
      </c>
      <c r="D124" t="s">
        <v>41</v>
      </c>
      <c r="E124">
        <v>39745</v>
      </c>
      <c r="F124">
        <v>37495</v>
      </c>
      <c r="G124">
        <v>2250</v>
      </c>
      <c r="H124" t="s">
        <v>38</v>
      </c>
      <c r="I124" t="s">
        <v>60</v>
      </c>
      <c r="J124" t="s">
        <v>15</v>
      </c>
    </row>
    <row r="125" spans="1:10" x14ac:dyDescent="0.25">
      <c r="A125" t="s">
        <v>162</v>
      </c>
      <c r="B125" s="1">
        <v>46074</v>
      </c>
      <c r="C125" t="s">
        <v>44</v>
      </c>
      <c r="D125" t="s">
        <v>41</v>
      </c>
      <c r="E125">
        <v>24321</v>
      </c>
      <c r="F125">
        <v>8173</v>
      </c>
      <c r="G125">
        <v>16148</v>
      </c>
      <c r="H125" t="s">
        <v>38</v>
      </c>
      <c r="I125" t="s">
        <v>45</v>
      </c>
      <c r="J125" t="s">
        <v>42</v>
      </c>
    </row>
    <row r="126" spans="1:10" x14ac:dyDescent="0.25">
      <c r="A126" t="s">
        <v>163</v>
      </c>
      <c r="B126" s="1">
        <v>45377</v>
      </c>
      <c r="C126" t="s">
        <v>11</v>
      </c>
      <c r="D126" t="s">
        <v>36</v>
      </c>
      <c r="E126">
        <v>6710</v>
      </c>
      <c r="F126">
        <v>1961</v>
      </c>
      <c r="G126">
        <v>4749</v>
      </c>
      <c r="H126" t="s">
        <v>27</v>
      </c>
      <c r="I126" t="s">
        <v>60</v>
      </c>
      <c r="J126" t="s">
        <v>42</v>
      </c>
    </row>
    <row r="127" spans="1:10" x14ac:dyDescent="0.25">
      <c r="A127" t="s">
        <v>164</v>
      </c>
      <c r="B127" s="1">
        <v>46090</v>
      </c>
      <c r="C127" t="s">
        <v>11</v>
      </c>
      <c r="D127" t="s">
        <v>36</v>
      </c>
      <c r="E127">
        <v>38030</v>
      </c>
      <c r="F127">
        <v>28996</v>
      </c>
      <c r="G127">
        <v>9034</v>
      </c>
      <c r="H127" t="s">
        <v>38</v>
      </c>
      <c r="I127" t="s">
        <v>31</v>
      </c>
      <c r="J127" t="s">
        <v>15</v>
      </c>
    </row>
    <row r="128" spans="1:10" x14ac:dyDescent="0.25">
      <c r="A128" t="s">
        <v>165</v>
      </c>
      <c r="B128" s="1">
        <v>45420</v>
      </c>
      <c r="C128" t="s">
        <v>44</v>
      </c>
      <c r="D128" t="s">
        <v>12</v>
      </c>
      <c r="E128">
        <v>13088</v>
      </c>
      <c r="F128">
        <v>385</v>
      </c>
      <c r="G128">
        <v>12703</v>
      </c>
      <c r="H128" t="s">
        <v>38</v>
      </c>
      <c r="I128" t="s">
        <v>14</v>
      </c>
      <c r="J128" t="s">
        <v>29</v>
      </c>
    </row>
    <row r="129" spans="1:10" x14ac:dyDescent="0.25">
      <c r="A129" t="s">
        <v>166</v>
      </c>
      <c r="B129" s="1">
        <v>45715</v>
      </c>
      <c r="C129" t="s">
        <v>17</v>
      </c>
      <c r="D129" t="s">
        <v>33</v>
      </c>
      <c r="E129">
        <v>41323</v>
      </c>
      <c r="F129">
        <v>31810</v>
      </c>
      <c r="G129">
        <v>9513</v>
      </c>
      <c r="H129" t="s">
        <v>13</v>
      </c>
      <c r="I129" t="s">
        <v>14</v>
      </c>
      <c r="J129" t="s">
        <v>42</v>
      </c>
    </row>
    <row r="130" spans="1:10" x14ac:dyDescent="0.25">
      <c r="A130" t="s">
        <v>167</v>
      </c>
      <c r="B130" s="1">
        <v>45303</v>
      </c>
      <c r="C130" t="s">
        <v>44</v>
      </c>
      <c r="D130" t="s">
        <v>41</v>
      </c>
      <c r="E130">
        <v>37135</v>
      </c>
      <c r="F130">
        <v>19593</v>
      </c>
      <c r="G130">
        <v>17542</v>
      </c>
      <c r="H130" t="s">
        <v>13</v>
      </c>
      <c r="I130" t="s">
        <v>63</v>
      </c>
      <c r="J130" t="s">
        <v>53</v>
      </c>
    </row>
    <row r="131" spans="1:10" x14ac:dyDescent="0.25">
      <c r="A131" t="s">
        <v>168</v>
      </c>
      <c r="B131" s="1">
        <v>45438</v>
      </c>
      <c r="C131" t="s">
        <v>22</v>
      </c>
      <c r="D131" t="s">
        <v>18</v>
      </c>
      <c r="E131">
        <v>20661</v>
      </c>
      <c r="F131">
        <v>14539</v>
      </c>
      <c r="G131">
        <v>6122</v>
      </c>
      <c r="H131" t="s">
        <v>19</v>
      </c>
      <c r="I131" t="s">
        <v>34</v>
      </c>
      <c r="J131" t="s">
        <v>53</v>
      </c>
    </row>
    <row r="132" spans="1:10" x14ac:dyDescent="0.25">
      <c r="A132" t="s">
        <v>169</v>
      </c>
      <c r="B132" s="1">
        <v>46096</v>
      </c>
      <c r="C132" t="s">
        <v>26</v>
      </c>
      <c r="D132" t="s">
        <v>12</v>
      </c>
      <c r="E132">
        <v>38302</v>
      </c>
      <c r="F132">
        <v>24820</v>
      </c>
      <c r="G132">
        <v>13482</v>
      </c>
      <c r="H132" t="s">
        <v>27</v>
      </c>
      <c r="I132" t="s">
        <v>31</v>
      </c>
      <c r="J132" t="s">
        <v>29</v>
      </c>
    </row>
    <row r="133" spans="1:10" x14ac:dyDescent="0.25">
      <c r="A133" t="s">
        <v>170</v>
      </c>
      <c r="B133" s="1">
        <v>46162</v>
      </c>
      <c r="C133" t="s">
        <v>44</v>
      </c>
      <c r="D133" t="s">
        <v>33</v>
      </c>
      <c r="E133">
        <v>16076</v>
      </c>
      <c r="F133">
        <v>6360</v>
      </c>
      <c r="G133">
        <v>9716</v>
      </c>
      <c r="H133" t="s">
        <v>27</v>
      </c>
      <c r="I133" t="s">
        <v>28</v>
      </c>
      <c r="J133" t="s">
        <v>29</v>
      </c>
    </row>
    <row r="134" spans="1:10" x14ac:dyDescent="0.25">
      <c r="A134" t="s">
        <v>171</v>
      </c>
      <c r="B134" s="1">
        <v>45897</v>
      </c>
      <c r="C134" t="s">
        <v>11</v>
      </c>
      <c r="D134" t="s">
        <v>36</v>
      </c>
      <c r="E134">
        <v>24374</v>
      </c>
      <c r="F134">
        <v>11496</v>
      </c>
      <c r="G134">
        <v>12878</v>
      </c>
      <c r="H134" t="s">
        <v>27</v>
      </c>
      <c r="I134" t="s">
        <v>14</v>
      </c>
      <c r="J134" t="s">
        <v>24</v>
      </c>
    </row>
    <row r="135" spans="1:10" x14ac:dyDescent="0.25">
      <c r="A135" t="s">
        <v>172</v>
      </c>
      <c r="B135" s="1">
        <v>45119</v>
      </c>
      <c r="C135" t="s">
        <v>26</v>
      </c>
      <c r="D135" t="s">
        <v>33</v>
      </c>
      <c r="E135">
        <v>17684</v>
      </c>
      <c r="F135">
        <v>15430</v>
      </c>
      <c r="G135">
        <v>2254</v>
      </c>
      <c r="H135" t="s">
        <v>27</v>
      </c>
      <c r="I135" t="s">
        <v>31</v>
      </c>
      <c r="J135" t="s">
        <v>53</v>
      </c>
    </row>
    <row r="136" spans="1:10" x14ac:dyDescent="0.25">
      <c r="A136" t="s">
        <v>173</v>
      </c>
      <c r="B136" s="1">
        <v>45848</v>
      </c>
      <c r="C136" t="s">
        <v>11</v>
      </c>
      <c r="D136" t="s">
        <v>18</v>
      </c>
      <c r="E136">
        <v>47468</v>
      </c>
      <c r="F136">
        <v>44776</v>
      </c>
      <c r="G136">
        <v>2692</v>
      </c>
      <c r="H136" t="s">
        <v>38</v>
      </c>
      <c r="I136" t="s">
        <v>34</v>
      </c>
      <c r="J136" t="s">
        <v>53</v>
      </c>
    </row>
    <row r="137" spans="1:10" x14ac:dyDescent="0.25">
      <c r="A137" t="s">
        <v>174</v>
      </c>
      <c r="B137" s="1">
        <v>45231</v>
      </c>
      <c r="C137" t="s">
        <v>17</v>
      </c>
      <c r="D137" t="s">
        <v>33</v>
      </c>
      <c r="E137">
        <v>31905</v>
      </c>
      <c r="F137">
        <v>16646</v>
      </c>
      <c r="G137">
        <v>15259</v>
      </c>
      <c r="H137" t="s">
        <v>38</v>
      </c>
      <c r="I137" t="s">
        <v>34</v>
      </c>
      <c r="J137" t="s">
        <v>42</v>
      </c>
    </row>
    <row r="138" spans="1:10" x14ac:dyDescent="0.25">
      <c r="A138" t="s">
        <v>175</v>
      </c>
      <c r="B138" s="1">
        <v>45436</v>
      </c>
      <c r="C138" t="s">
        <v>22</v>
      </c>
      <c r="D138" t="s">
        <v>12</v>
      </c>
      <c r="E138">
        <v>6216</v>
      </c>
      <c r="F138">
        <v>2924</v>
      </c>
      <c r="G138">
        <v>3292</v>
      </c>
      <c r="H138" t="s">
        <v>13</v>
      </c>
      <c r="I138" t="s">
        <v>20</v>
      </c>
      <c r="J138" t="s">
        <v>24</v>
      </c>
    </row>
    <row r="139" spans="1:10" x14ac:dyDescent="0.25">
      <c r="A139" t="s">
        <v>176</v>
      </c>
      <c r="B139" s="1">
        <v>45400</v>
      </c>
      <c r="C139" t="s">
        <v>44</v>
      </c>
      <c r="D139" t="s">
        <v>18</v>
      </c>
      <c r="E139">
        <v>45119</v>
      </c>
      <c r="F139">
        <v>25405</v>
      </c>
      <c r="G139">
        <v>19714</v>
      </c>
      <c r="H139" t="s">
        <v>19</v>
      </c>
      <c r="I139" t="s">
        <v>14</v>
      </c>
      <c r="J139" t="s">
        <v>24</v>
      </c>
    </row>
    <row r="140" spans="1:10" x14ac:dyDescent="0.25">
      <c r="A140" t="s">
        <v>177</v>
      </c>
      <c r="B140" s="1">
        <v>45940</v>
      </c>
      <c r="C140" t="s">
        <v>17</v>
      </c>
      <c r="D140" t="s">
        <v>36</v>
      </c>
      <c r="E140">
        <v>7821</v>
      </c>
      <c r="F140">
        <v>3055</v>
      </c>
      <c r="G140">
        <v>4766</v>
      </c>
      <c r="H140" t="s">
        <v>19</v>
      </c>
      <c r="I140" t="s">
        <v>14</v>
      </c>
      <c r="J140" t="s">
        <v>42</v>
      </c>
    </row>
    <row r="141" spans="1:10" x14ac:dyDescent="0.25">
      <c r="A141" t="s">
        <v>178</v>
      </c>
      <c r="B141" s="1">
        <v>45661</v>
      </c>
      <c r="C141" t="s">
        <v>17</v>
      </c>
      <c r="D141" t="s">
        <v>36</v>
      </c>
      <c r="E141">
        <v>17534</v>
      </c>
      <c r="F141">
        <v>12989</v>
      </c>
      <c r="G141">
        <v>4545</v>
      </c>
      <c r="H141" t="s">
        <v>27</v>
      </c>
      <c r="I141" t="s">
        <v>14</v>
      </c>
      <c r="J141" t="s">
        <v>15</v>
      </c>
    </row>
    <row r="142" spans="1:10" x14ac:dyDescent="0.25">
      <c r="A142" t="s">
        <v>179</v>
      </c>
      <c r="B142" s="1">
        <v>45441</v>
      </c>
      <c r="C142" t="s">
        <v>26</v>
      </c>
      <c r="D142" t="s">
        <v>33</v>
      </c>
      <c r="E142">
        <v>37102</v>
      </c>
      <c r="F142">
        <v>36227</v>
      </c>
      <c r="G142">
        <v>875</v>
      </c>
      <c r="H142" t="s">
        <v>19</v>
      </c>
      <c r="I142" t="s">
        <v>63</v>
      </c>
      <c r="J142" t="s">
        <v>29</v>
      </c>
    </row>
    <row r="143" spans="1:10" x14ac:dyDescent="0.25">
      <c r="A143" t="s">
        <v>180</v>
      </c>
      <c r="B143" s="1">
        <v>45764</v>
      </c>
      <c r="C143" t="s">
        <v>11</v>
      </c>
      <c r="D143" t="s">
        <v>18</v>
      </c>
      <c r="E143">
        <v>35102</v>
      </c>
      <c r="F143">
        <v>28095</v>
      </c>
      <c r="G143">
        <v>7007</v>
      </c>
      <c r="H143" t="s">
        <v>13</v>
      </c>
      <c r="I143" t="s">
        <v>45</v>
      </c>
      <c r="J143" t="s">
        <v>53</v>
      </c>
    </row>
    <row r="144" spans="1:10" x14ac:dyDescent="0.25">
      <c r="A144" t="s">
        <v>181</v>
      </c>
      <c r="B144" s="1">
        <v>45726</v>
      </c>
      <c r="C144" t="s">
        <v>44</v>
      </c>
      <c r="D144" t="s">
        <v>36</v>
      </c>
      <c r="E144">
        <v>33479</v>
      </c>
      <c r="F144">
        <v>24573</v>
      </c>
      <c r="G144">
        <v>8906</v>
      </c>
      <c r="H144" t="s">
        <v>19</v>
      </c>
      <c r="I144" t="s">
        <v>14</v>
      </c>
      <c r="J144" t="s">
        <v>42</v>
      </c>
    </row>
    <row r="145" spans="1:10" x14ac:dyDescent="0.25">
      <c r="A145" t="s">
        <v>182</v>
      </c>
      <c r="B145" s="1">
        <v>45373</v>
      </c>
      <c r="C145" t="s">
        <v>44</v>
      </c>
      <c r="D145" t="s">
        <v>33</v>
      </c>
      <c r="E145">
        <v>31223</v>
      </c>
      <c r="F145">
        <v>20007</v>
      </c>
      <c r="G145">
        <v>11216</v>
      </c>
      <c r="H145" t="s">
        <v>13</v>
      </c>
      <c r="I145" t="s">
        <v>63</v>
      </c>
      <c r="J145" t="s">
        <v>24</v>
      </c>
    </row>
    <row r="146" spans="1:10" x14ac:dyDescent="0.25">
      <c r="A146" t="s">
        <v>183</v>
      </c>
      <c r="B146" s="1">
        <v>46110</v>
      </c>
      <c r="C146" t="s">
        <v>22</v>
      </c>
      <c r="D146" t="s">
        <v>18</v>
      </c>
      <c r="E146">
        <v>20235</v>
      </c>
      <c r="F146">
        <v>6226</v>
      </c>
      <c r="G146">
        <v>14009</v>
      </c>
      <c r="H146" t="s">
        <v>19</v>
      </c>
      <c r="I146" t="s">
        <v>28</v>
      </c>
      <c r="J146" t="s">
        <v>42</v>
      </c>
    </row>
    <row r="147" spans="1:10" x14ac:dyDescent="0.25">
      <c r="A147" t="s">
        <v>184</v>
      </c>
      <c r="B147" s="1">
        <v>46068</v>
      </c>
      <c r="C147" t="s">
        <v>11</v>
      </c>
      <c r="D147" t="s">
        <v>41</v>
      </c>
      <c r="E147">
        <v>40720</v>
      </c>
      <c r="F147">
        <v>36971</v>
      </c>
      <c r="G147">
        <v>3749</v>
      </c>
      <c r="H147" t="s">
        <v>13</v>
      </c>
      <c r="I147" t="s">
        <v>34</v>
      </c>
      <c r="J147" t="s">
        <v>15</v>
      </c>
    </row>
    <row r="148" spans="1:10" x14ac:dyDescent="0.25">
      <c r="A148" t="s">
        <v>185</v>
      </c>
      <c r="B148" s="1">
        <v>45766</v>
      </c>
      <c r="C148" t="s">
        <v>22</v>
      </c>
      <c r="D148" t="s">
        <v>18</v>
      </c>
      <c r="E148">
        <v>23371</v>
      </c>
      <c r="F148">
        <v>16739</v>
      </c>
      <c r="G148">
        <v>6632</v>
      </c>
      <c r="H148" t="s">
        <v>13</v>
      </c>
      <c r="I148" t="s">
        <v>23</v>
      </c>
      <c r="J148" t="s">
        <v>29</v>
      </c>
    </row>
    <row r="149" spans="1:10" x14ac:dyDescent="0.25">
      <c r="A149" t="s">
        <v>186</v>
      </c>
      <c r="B149" s="1">
        <v>45844</v>
      </c>
      <c r="C149" t="s">
        <v>44</v>
      </c>
      <c r="D149" t="s">
        <v>41</v>
      </c>
      <c r="E149">
        <v>23632</v>
      </c>
      <c r="F149">
        <v>21446</v>
      </c>
      <c r="G149">
        <v>2186</v>
      </c>
      <c r="H149" t="s">
        <v>19</v>
      </c>
      <c r="I149" t="s">
        <v>34</v>
      </c>
      <c r="J149" t="s">
        <v>15</v>
      </c>
    </row>
    <row r="150" spans="1:10" x14ac:dyDescent="0.25">
      <c r="A150" t="s">
        <v>187</v>
      </c>
      <c r="B150" s="1">
        <v>45243</v>
      </c>
      <c r="C150" t="s">
        <v>11</v>
      </c>
      <c r="D150" t="s">
        <v>33</v>
      </c>
      <c r="E150">
        <v>5446</v>
      </c>
      <c r="F150">
        <v>1473</v>
      </c>
      <c r="G150">
        <v>3973</v>
      </c>
      <c r="H150" t="s">
        <v>27</v>
      </c>
      <c r="I150" t="s">
        <v>31</v>
      </c>
      <c r="J150" t="s">
        <v>29</v>
      </c>
    </row>
    <row r="151" spans="1:10" x14ac:dyDescent="0.25">
      <c r="A151" t="s">
        <v>188</v>
      </c>
      <c r="B151" s="1">
        <v>45755</v>
      </c>
      <c r="C151" t="s">
        <v>11</v>
      </c>
      <c r="D151" t="s">
        <v>33</v>
      </c>
      <c r="E151">
        <v>22576</v>
      </c>
      <c r="F151">
        <v>8844</v>
      </c>
      <c r="G151">
        <v>13732</v>
      </c>
      <c r="H151" t="s">
        <v>13</v>
      </c>
      <c r="I151" t="s">
        <v>60</v>
      </c>
      <c r="J151" t="s">
        <v>53</v>
      </c>
    </row>
    <row r="152" spans="1:10" x14ac:dyDescent="0.25">
      <c r="A152" t="s">
        <v>189</v>
      </c>
      <c r="B152" s="1">
        <v>45938</v>
      </c>
      <c r="C152" t="s">
        <v>44</v>
      </c>
      <c r="D152" t="s">
        <v>36</v>
      </c>
      <c r="E152">
        <v>10364</v>
      </c>
      <c r="F152">
        <v>3919</v>
      </c>
      <c r="G152">
        <v>6445</v>
      </c>
      <c r="H152" t="s">
        <v>19</v>
      </c>
      <c r="I152" t="s">
        <v>31</v>
      </c>
      <c r="J152" t="s">
        <v>24</v>
      </c>
    </row>
    <row r="153" spans="1:10" x14ac:dyDescent="0.25">
      <c r="A153" t="s">
        <v>190</v>
      </c>
      <c r="B153" s="1">
        <v>45262</v>
      </c>
      <c r="C153" t="s">
        <v>17</v>
      </c>
      <c r="D153" t="s">
        <v>36</v>
      </c>
      <c r="E153">
        <v>20608</v>
      </c>
      <c r="F153">
        <v>6345</v>
      </c>
      <c r="G153">
        <v>14263</v>
      </c>
      <c r="H153" t="s">
        <v>27</v>
      </c>
      <c r="I153" t="s">
        <v>20</v>
      </c>
      <c r="J153" t="s">
        <v>53</v>
      </c>
    </row>
    <row r="154" spans="1:10" x14ac:dyDescent="0.25">
      <c r="A154" t="s">
        <v>191</v>
      </c>
      <c r="B154" s="1">
        <v>45957</v>
      </c>
      <c r="C154" t="s">
        <v>11</v>
      </c>
      <c r="D154" t="s">
        <v>41</v>
      </c>
      <c r="E154">
        <v>15436</v>
      </c>
      <c r="F154">
        <v>7387</v>
      </c>
      <c r="G154">
        <v>8049</v>
      </c>
      <c r="H154" t="s">
        <v>27</v>
      </c>
      <c r="I154" t="s">
        <v>45</v>
      </c>
      <c r="J154" t="s">
        <v>29</v>
      </c>
    </row>
    <row r="155" spans="1:10" x14ac:dyDescent="0.25">
      <c r="A155" t="s">
        <v>192</v>
      </c>
      <c r="B155" s="1">
        <v>45622</v>
      </c>
      <c r="C155" t="s">
        <v>22</v>
      </c>
      <c r="D155" t="s">
        <v>41</v>
      </c>
      <c r="E155">
        <v>46376</v>
      </c>
      <c r="F155">
        <v>34179</v>
      </c>
      <c r="G155">
        <v>12197</v>
      </c>
      <c r="H155" t="s">
        <v>38</v>
      </c>
      <c r="I155" t="s">
        <v>34</v>
      </c>
      <c r="J155" t="s">
        <v>15</v>
      </c>
    </row>
    <row r="156" spans="1:10" x14ac:dyDescent="0.25">
      <c r="A156" t="s">
        <v>193</v>
      </c>
      <c r="B156" s="1">
        <v>45809</v>
      </c>
      <c r="C156" t="s">
        <v>44</v>
      </c>
      <c r="D156" t="s">
        <v>18</v>
      </c>
      <c r="E156">
        <v>47585</v>
      </c>
      <c r="F156">
        <v>38305</v>
      </c>
      <c r="G156">
        <v>9280</v>
      </c>
      <c r="H156" t="s">
        <v>38</v>
      </c>
      <c r="I156" t="s">
        <v>20</v>
      </c>
      <c r="J156" t="s">
        <v>53</v>
      </c>
    </row>
    <row r="157" spans="1:10" x14ac:dyDescent="0.25">
      <c r="A157" t="s">
        <v>194</v>
      </c>
      <c r="B157" s="1">
        <v>45903</v>
      </c>
      <c r="C157" t="s">
        <v>17</v>
      </c>
      <c r="D157" t="s">
        <v>41</v>
      </c>
      <c r="E157">
        <v>24825</v>
      </c>
      <c r="F157">
        <v>9310</v>
      </c>
      <c r="G157">
        <v>15515</v>
      </c>
      <c r="H157" t="s">
        <v>13</v>
      </c>
      <c r="I157" t="s">
        <v>20</v>
      </c>
      <c r="J157" t="s">
        <v>29</v>
      </c>
    </row>
    <row r="158" spans="1:10" x14ac:dyDescent="0.25">
      <c r="A158" t="s">
        <v>195</v>
      </c>
      <c r="B158" s="1">
        <v>45413</v>
      </c>
      <c r="C158" t="s">
        <v>44</v>
      </c>
      <c r="D158" t="s">
        <v>33</v>
      </c>
      <c r="E158">
        <v>9650</v>
      </c>
      <c r="F158">
        <v>8273</v>
      </c>
      <c r="G158">
        <v>1377</v>
      </c>
      <c r="H158" t="s">
        <v>19</v>
      </c>
      <c r="I158" t="s">
        <v>23</v>
      </c>
      <c r="J158" t="s">
        <v>53</v>
      </c>
    </row>
    <row r="159" spans="1:10" x14ac:dyDescent="0.25">
      <c r="A159" t="s">
        <v>196</v>
      </c>
      <c r="B159" s="1">
        <v>45567</v>
      </c>
      <c r="C159" t="s">
        <v>17</v>
      </c>
      <c r="D159" t="s">
        <v>12</v>
      </c>
      <c r="E159">
        <v>6877</v>
      </c>
      <c r="F159">
        <v>2641</v>
      </c>
      <c r="G159">
        <v>4236</v>
      </c>
      <c r="H159" t="s">
        <v>13</v>
      </c>
      <c r="I159" t="s">
        <v>45</v>
      </c>
      <c r="J159" t="s">
        <v>29</v>
      </c>
    </row>
    <row r="160" spans="1:10" x14ac:dyDescent="0.25">
      <c r="A160" t="s">
        <v>197</v>
      </c>
      <c r="B160" s="1">
        <v>46023</v>
      </c>
      <c r="C160" t="s">
        <v>26</v>
      </c>
      <c r="D160" t="s">
        <v>41</v>
      </c>
      <c r="E160">
        <v>35474</v>
      </c>
      <c r="F160">
        <v>30685</v>
      </c>
      <c r="G160">
        <v>4789</v>
      </c>
      <c r="H160" t="s">
        <v>38</v>
      </c>
      <c r="I160" t="s">
        <v>20</v>
      </c>
      <c r="J160" t="s">
        <v>24</v>
      </c>
    </row>
    <row r="161" spans="1:10" x14ac:dyDescent="0.25">
      <c r="A161" t="s">
        <v>198</v>
      </c>
      <c r="B161" s="1">
        <v>45307</v>
      </c>
      <c r="C161" t="s">
        <v>11</v>
      </c>
      <c r="D161" t="s">
        <v>12</v>
      </c>
      <c r="E161">
        <v>23782</v>
      </c>
      <c r="F161">
        <v>13918</v>
      </c>
      <c r="G161">
        <v>9864</v>
      </c>
      <c r="H161" t="s">
        <v>13</v>
      </c>
      <c r="I161" t="s">
        <v>31</v>
      </c>
      <c r="J161" t="s">
        <v>53</v>
      </c>
    </row>
    <row r="162" spans="1:10" x14ac:dyDescent="0.25">
      <c r="A162" t="s">
        <v>199</v>
      </c>
      <c r="B162" s="1">
        <v>45577</v>
      </c>
      <c r="C162" t="s">
        <v>26</v>
      </c>
      <c r="D162" t="s">
        <v>18</v>
      </c>
      <c r="E162">
        <v>48963</v>
      </c>
      <c r="F162">
        <v>37100</v>
      </c>
      <c r="G162">
        <v>11863</v>
      </c>
      <c r="H162" t="s">
        <v>13</v>
      </c>
      <c r="I162" t="s">
        <v>78</v>
      </c>
      <c r="J162" t="s">
        <v>42</v>
      </c>
    </row>
    <row r="163" spans="1:10" x14ac:dyDescent="0.25">
      <c r="A163" t="s">
        <v>200</v>
      </c>
      <c r="B163" s="1">
        <v>45964</v>
      </c>
      <c r="C163" t="s">
        <v>44</v>
      </c>
      <c r="D163" t="s">
        <v>18</v>
      </c>
      <c r="E163">
        <v>30842</v>
      </c>
      <c r="F163">
        <v>15072</v>
      </c>
      <c r="G163">
        <v>15770</v>
      </c>
      <c r="H163" t="s">
        <v>13</v>
      </c>
      <c r="I163" t="s">
        <v>31</v>
      </c>
      <c r="J163" t="s">
        <v>15</v>
      </c>
    </row>
    <row r="164" spans="1:10" x14ac:dyDescent="0.25">
      <c r="A164" t="s">
        <v>201</v>
      </c>
      <c r="B164" s="1">
        <v>45604</v>
      </c>
      <c r="C164" t="s">
        <v>44</v>
      </c>
      <c r="D164" t="s">
        <v>36</v>
      </c>
      <c r="E164">
        <v>46845</v>
      </c>
      <c r="F164">
        <v>43232</v>
      </c>
      <c r="G164">
        <v>3613</v>
      </c>
      <c r="H164" t="s">
        <v>38</v>
      </c>
      <c r="I164" t="s">
        <v>31</v>
      </c>
      <c r="J164" t="s">
        <v>15</v>
      </c>
    </row>
    <row r="165" spans="1:10" x14ac:dyDescent="0.25">
      <c r="A165" t="s">
        <v>202</v>
      </c>
      <c r="B165" s="1">
        <v>45486</v>
      </c>
      <c r="C165" t="s">
        <v>26</v>
      </c>
      <c r="D165" t="s">
        <v>18</v>
      </c>
      <c r="E165">
        <v>29435</v>
      </c>
      <c r="F165">
        <v>24237</v>
      </c>
      <c r="G165">
        <v>5198</v>
      </c>
      <c r="H165" t="s">
        <v>38</v>
      </c>
      <c r="I165" t="s">
        <v>45</v>
      </c>
      <c r="J165" t="s">
        <v>53</v>
      </c>
    </row>
    <row r="166" spans="1:10" x14ac:dyDescent="0.25">
      <c r="A166" t="s">
        <v>203</v>
      </c>
      <c r="B166" s="1">
        <v>45443</v>
      </c>
      <c r="C166" t="s">
        <v>26</v>
      </c>
      <c r="D166" t="s">
        <v>18</v>
      </c>
      <c r="E166">
        <v>13600</v>
      </c>
      <c r="F166">
        <v>12557</v>
      </c>
      <c r="G166">
        <v>1043</v>
      </c>
      <c r="H166" t="s">
        <v>27</v>
      </c>
      <c r="I166" t="s">
        <v>63</v>
      </c>
      <c r="J166" t="s">
        <v>42</v>
      </c>
    </row>
    <row r="167" spans="1:10" x14ac:dyDescent="0.25">
      <c r="A167" t="s">
        <v>204</v>
      </c>
      <c r="B167" s="1">
        <v>45562</v>
      </c>
      <c r="C167" t="s">
        <v>17</v>
      </c>
      <c r="D167" t="s">
        <v>18</v>
      </c>
      <c r="E167">
        <v>16449</v>
      </c>
      <c r="F167">
        <v>3742</v>
      </c>
      <c r="G167">
        <v>12707</v>
      </c>
      <c r="H167" t="s">
        <v>38</v>
      </c>
      <c r="I167" t="s">
        <v>14</v>
      </c>
      <c r="J167" t="s">
        <v>42</v>
      </c>
    </row>
    <row r="168" spans="1:10" x14ac:dyDescent="0.25">
      <c r="A168" t="s">
        <v>205</v>
      </c>
      <c r="B168" s="1">
        <v>45398</v>
      </c>
      <c r="C168" t="s">
        <v>11</v>
      </c>
      <c r="D168" t="s">
        <v>12</v>
      </c>
      <c r="E168">
        <v>27201</v>
      </c>
      <c r="F168">
        <v>13444</v>
      </c>
      <c r="G168">
        <v>13757</v>
      </c>
      <c r="H168" t="s">
        <v>27</v>
      </c>
      <c r="I168" t="s">
        <v>14</v>
      </c>
      <c r="J168" t="s">
        <v>42</v>
      </c>
    </row>
    <row r="169" spans="1:10" x14ac:dyDescent="0.25">
      <c r="A169" t="s">
        <v>206</v>
      </c>
      <c r="B169" s="1">
        <v>45608</v>
      </c>
      <c r="C169" t="s">
        <v>17</v>
      </c>
      <c r="D169" t="s">
        <v>33</v>
      </c>
      <c r="E169">
        <v>5500</v>
      </c>
      <c r="F169">
        <v>3869</v>
      </c>
      <c r="G169">
        <v>1631</v>
      </c>
      <c r="H169" t="s">
        <v>38</v>
      </c>
      <c r="I169" t="s">
        <v>28</v>
      </c>
      <c r="J169" t="s">
        <v>42</v>
      </c>
    </row>
    <row r="170" spans="1:10" x14ac:dyDescent="0.25">
      <c r="A170" t="s">
        <v>207</v>
      </c>
      <c r="B170" s="1">
        <v>46164</v>
      </c>
      <c r="C170" t="s">
        <v>11</v>
      </c>
      <c r="D170" t="s">
        <v>41</v>
      </c>
      <c r="E170">
        <v>10905</v>
      </c>
      <c r="F170">
        <v>733</v>
      </c>
      <c r="G170">
        <v>10172</v>
      </c>
      <c r="H170" t="s">
        <v>38</v>
      </c>
      <c r="I170" t="s">
        <v>23</v>
      </c>
      <c r="J170" t="s">
        <v>15</v>
      </c>
    </row>
    <row r="171" spans="1:10" x14ac:dyDescent="0.25">
      <c r="A171" t="s">
        <v>208</v>
      </c>
      <c r="B171" s="1">
        <v>45863</v>
      </c>
      <c r="C171" t="s">
        <v>11</v>
      </c>
      <c r="D171" t="s">
        <v>33</v>
      </c>
      <c r="E171">
        <v>20291</v>
      </c>
      <c r="F171">
        <v>13778</v>
      </c>
      <c r="G171">
        <v>6513</v>
      </c>
      <c r="H171" t="s">
        <v>38</v>
      </c>
      <c r="I171" t="s">
        <v>78</v>
      </c>
      <c r="J171" t="s">
        <v>24</v>
      </c>
    </row>
    <row r="172" spans="1:10" x14ac:dyDescent="0.25">
      <c r="A172" t="s">
        <v>209</v>
      </c>
      <c r="B172" s="1">
        <v>45726</v>
      </c>
      <c r="C172" t="s">
        <v>44</v>
      </c>
      <c r="D172" t="s">
        <v>18</v>
      </c>
      <c r="E172">
        <v>32091</v>
      </c>
      <c r="F172">
        <v>28474</v>
      </c>
      <c r="G172">
        <v>3617</v>
      </c>
      <c r="H172" t="s">
        <v>27</v>
      </c>
      <c r="I172" t="s">
        <v>60</v>
      </c>
      <c r="J172" t="s">
        <v>42</v>
      </c>
    </row>
    <row r="173" spans="1:10" x14ac:dyDescent="0.25">
      <c r="A173" t="s">
        <v>210</v>
      </c>
      <c r="B173" s="1">
        <v>46164</v>
      </c>
      <c r="C173" t="s">
        <v>22</v>
      </c>
      <c r="D173" t="s">
        <v>18</v>
      </c>
      <c r="E173">
        <v>25679</v>
      </c>
      <c r="F173">
        <v>19089</v>
      </c>
      <c r="G173">
        <v>6590</v>
      </c>
      <c r="H173" t="s">
        <v>19</v>
      </c>
      <c r="I173" t="s">
        <v>63</v>
      </c>
      <c r="J173" t="s">
        <v>29</v>
      </c>
    </row>
    <row r="174" spans="1:10" x14ac:dyDescent="0.25">
      <c r="A174" t="s">
        <v>211</v>
      </c>
      <c r="B174" s="1">
        <v>45586</v>
      </c>
      <c r="C174" t="s">
        <v>26</v>
      </c>
      <c r="D174" t="s">
        <v>18</v>
      </c>
      <c r="E174">
        <v>19697</v>
      </c>
      <c r="F174">
        <v>7037</v>
      </c>
      <c r="G174">
        <v>12660</v>
      </c>
      <c r="H174" t="s">
        <v>19</v>
      </c>
      <c r="I174" t="s">
        <v>28</v>
      </c>
      <c r="J174" t="s">
        <v>15</v>
      </c>
    </row>
    <row r="175" spans="1:10" x14ac:dyDescent="0.25">
      <c r="A175" t="s">
        <v>212</v>
      </c>
      <c r="B175" s="1">
        <v>45302</v>
      </c>
      <c r="C175" t="s">
        <v>26</v>
      </c>
      <c r="D175" t="s">
        <v>12</v>
      </c>
      <c r="E175">
        <v>31169</v>
      </c>
      <c r="F175">
        <v>12943</v>
      </c>
      <c r="G175">
        <v>18226</v>
      </c>
      <c r="H175" t="s">
        <v>19</v>
      </c>
      <c r="I175" t="s">
        <v>60</v>
      </c>
      <c r="J175" t="s">
        <v>15</v>
      </c>
    </row>
    <row r="176" spans="1:10" x14ac:dyDescent="0.25">
      <c r="A176" t="s">
        <v>213</v>
      </c>
      <c r="B176" s="1">
        <v>45620</v>
      </c>
      <c r="C176" t="s">
        <v>26</v>
      </c>
      <c r="D176" t="s">
        <v>12</v>
      </c>
      <c r="E176">
        <v>19498</v>
      </c>
      <c r="F176">
        <v>855</v>
      </c>
      <c r="G176">
        <v>18643</v>
      </c>
      <c r="H176" t="s">
        <v>38</v>
      </c>
      <c r="I176" t="s">
        <v>31</v>
      </c>
      <c r="J176" t="s">
        <v>24</v>
      </c>
    </row>
    <row r="177" spans="1:10" x14ac:dyDescent="0.25">
      <c r="A177" t="s">
        <v>214</v>
      </c>
      <c r="B177" s="1">
        <v>46153</v>
      </c>
      <c r="C177" t="s">
        <v>44</v>
      </c>
      <c r="D177" t="s">
        <v>18</v>
      </c>
      <c r="E177">
        <v>21393</v>
      </c>
      <c r="F177">
        <v>5856</v>
      </c>
      <c r="G177">
        <v>15537</v>
      </c>
      <c r="H177" t="s">
        <v>38</v>
      </c>
      <c r="I177" t="s">
        <v>45</v>
      </c>
      <c r="J177" t="s">
        <v>29</v>
      </c>
    </row>
    <row r="178" spans="1:10" x14ac:dyDescent="0.25">
      <c r="A178" t="s">
        <v>215</v>
      </c>
      <c r="B178" s="1">
        <v>45388</v>
      </c>
      <c r="C178" t="s">
        <v>11</v>
      </c>
      <c r="D178" t="s">
        <v>12</v>
      </c>
      <c r="E178">
        <v>9989</v>
      </c>
      <c r="F178">
        <v>3281</v>
      </c>
      <c r="G178">
        <v>6708</v>
      </c>
      <c r="H178" t="s">
        <v>13</v>
      </c>
      <c r="I178" t="s">
        <v>60</v>
      </c>
      <c r="J178" t="s">
        <v>15</v>
      </c>
    </row>
    <row r="179" spans="1:10" x14ac:dyDescent="0.25">
      <c r="A179" t="s">
        <v>216</v>
      </c>
      <c r="B179" s="1">
        <v>45170</v>
      </c>
      <c r="C179" t="s">
        <v>22</v>
      </c>
      <c r="D179" t="s">
        <v>18</v>
      </c>
      <c r="E179">
        <v>44327</v>
      </c>
      <c r="F179">
        <v>36468</v>
      </c>
      <c r="G179">
        <v>7859</v>
      </c>
      <c r="H179" t="s">
        <v>13</v>
      </c>
      <c r="I179" t="s">
        <v>31</v>
      </c>
      <c r="J179" t="s">
        <v>24</v>
      </c>
    </row>
    <row r="180" spans="1:10" x14ac:dyDescent="0.25">
      <c r="A180" t="s">
        <v>217</v>
      </c>
      <c r="B180" s="1">
        <v>45132</v>
      </c>
      <c r="C180" t="s">
        <v>22</v>
      </c>
      <c r="D180" t="s">
        <v>12</v>
      </c>
      <c r="E180">
        <v>43579</v>
      </c>
      <c r="F180">
        <v>39268</v>
      </c>
      <c r="G180">
        <v>4311</v>
      </c>
      <c r="H180" t="s">
        <v>13</v>
      </c>
      <c r="I180" t="s">
        <v>60</v>
      </c>
      <c r="J180" t="s">
        <v>15</v>
      </c>
    </row>
    <row r="181" spans="1:10" x14ac:dyDescent="0.25">
      <c r="A181" t="s">
        <v>218</v>
      </c>
      <c r="B181" s="1">
        <v>45860</v>
      </c>
      <c r="C181" t="s">
        <v>17</v>
      </c>
      <c r="D181" t="s">
        <v>33</v>
      </c>
      <c r="E181">
        <v>10811</v>
      </c>
      <c r="F181">
        <v>7499</v>
      </c>
      <c r="G181">
        <v>3312</v>
      </c>
      <c r="H181" t="s">
        <v>27</v>
      </c>
      <c r="I181" t="s">
        <v>20</v>
      </c>
      <c r="J181" t="s">
        <v>15</v>
      </c>
    </row>
    <row r="182" spans="1:10" x14ac:dyDescent="0.25">
      <c r="A182" t="s">
        <v>219</v>
      </c>
      <c r="B182" s="1">
        <v>46133</v>
      </c>
      <c r="C182" t="s">
        <v>11</v>
      </c>
      <c r="D182" t="s">
        <v>18</v>
      </c>
      <c r="E182">
        <v>13384</v>
      </c>
      <c r="F182">
        <v>3259</v>
      </c>
      <c r="G182">
        <v>10125</v>
      </c>
      <c r="H182" t="s">
        <v>19</v>
      </c>
      <c r="I182" t="s">
        <v>20</v>
      </c>
      <c r="J182" t="s">
        <v>42</v>
      </c>
    </row>
    <row r="183" spans="1:10" x14ac:dyDescent="0.25">
      <c r="A183" t="s">
        <v>220</v>
      </c>
      <c r="B183" s="1">
        <v>45726</v>
      </c>
      <c r="C183" t="s">
        <v>44</v>
      </c>
      <c r="D183" t="s">
        <v>12</v>
      </c>
      <c r="E183">
        <v>20243</v>
      </c>
      <c r="F183">
        <v>3667</v>
      </c>
      <c r="G183">
        <v>16576</v>
      </c>
      <c r="H183" t="s">
        <v>13</v>
      </c>
      <c r="I183" t="s">
        <v>45</v>
      </c>
      <c r="J183" t="s">
        <v>24</v>
      </c>
    </row>
    <row r="184" spans="1:10" x14ac:dyDescent="0.25">
      <c r="A184" t="s">
        <v>221</v>
      </c>
      <c r="B184" s="1">
        <v>45402</v>
      </c>
      <c r="C184" t="s">
        <v>44</v>
      </c>
      <c r="D184" t="s">
        <v>41</v>
      </c>
      <c r="E184">
        <v>44258</v>
      </c>
      <c r="F184">
        <v>37649</v>
      </c>
      <c r="G184">
        <v>6609</v>
      </c>
      <c r="H184" t="s">
        <v>19</v>
      </c>
      <c r="I184" t="s">
        <v>63</v>
      </c>
      <c r="J184" t="s">
        <v>24</v>
      </c>
    </row>
    <row r="185" spans="1:10" x14ac:dyDescent="0.25">
      <c r="A185" t="s">
        <v>222</v>
      </c>
      <c r="B185" s="1">
        <v>45665</v>
      </c>
      <c r="C185" t="s">
        <v>44</v>
      </c>
      <c r="D185" t="s">
        <v>41</v>
      </c>
      <c r="E185">
        <v>37538</v>
      </c>
      <c r="F185">
        <v>24531</v>
      </c>
      <c r="G185">
        <v>13007</v>
      </c>
      <c r="H185" t="s">
        <v>27</v>
      </c>
      <c r="I185" t="s">
        <v>60</v>
      </c>
      <c r="J185" t="s">
        <v>42</v>
      </c>
    </row>
    <row r="186" spans="1:10" x14ac:dyDescent="0.25">
      <c r="A186" t="s">
        <v>223</v>
      </c>
      <c r="B186" s="1">
        <v>45336</v>
      </c>
      <c r="C186" t="s">
        <v>26</v>
      </c>
      <c r="D186" t="s">
        <v>12</v>
      </c>
      <c r="E186">
        <v>11987</v>
      </c>
      <c r="F186">
        <v>7059</v>
      </c>
      <c r="G186">
        <v>4928</v>
      </c>
      <c r="H186" t="s">
        <v>19</v>
      </c>
      <c r="I186" t="s">
        <v>60</v>
      </c>
      <c r="J186" t="s">
        <v>15</v>
      </c>
    </row>
    <row r="187" spans="1:10" x14ac:dyDescent="0.25">
      <c r="A187" t="s">
        <v>224</v>
      </c>
      <c r="B187" s="1">
        <v>45303</v>
      </c>
      <c r="C187" t="s">
        <v>26</v>
      </c>
      <c r="D187" t="s">
        <v>36</v>
      </c>
      <c r="E187">
        <v>24563</v>
      </c>
      <c r="F187">
        <v>23303</v>
      </c>
      <c r="G187">
        <v>1260</v>
      </c>
      <c r="H187" t="s">
        <v>38</v>
      </c>
      <c r="I187" t="s">
        <v>20</v>
      </c>
      <c r="J187" t="s">
        <v>53</v>
      </c>
    </row>
    <row r="188" spans="1:10" x14ac:dyDescent="0.25">
      <c r="A188" t="s">
        <v>225</v>
      </c>
      <c r="B188" s="1">
        <v>45667</v>
      </c>
      <c r="C188" t="s">
        <v>17</v>
      </c>
      <c r="D188" t="s">
        <v>36</v>
      </c>
      <c r="E188">
        <v>29081</v>
      </c>
      <c r="F188">
        <v>14066</v>
      </c>
      <c r="G188">
        <v>15015</v>
      </c>
      <c r="H188" t="s">
        <v>38</v>
      </c>
      <c r="I188" t="s">
        <v>63</v>
      </c>
      <c r="J188" t="s">
        <v>42</v>
      </c>
    </row>
    <row r="189" spans="1:10" x14ac:dyDescent="0.25">
      <c r="A189" t="s">
        <v>226</v>
      </c>
      <c r="B189" s="1">
        <v>45737</v>
      </c>
      <c r="C189" t="s">
        <v>17</v>
      </c>
      <c r="D189" t="s">
        <v>12</v>
      </c>
      <c r="E189">
        <v>24354</v>
      </c>
      <c r="F189">
        <v>10694</v>
      </c>
      <c r="G189">
        <v>13660</v>
      </c>
      <c r="H189" t="s">
        <v>13</v>
      </c>
      <c r="I189" t="s">
        <v>23</v>
      </c>
      <c r="J189" t="s">
        <v>29</v>
      </c>
    </row>
    <row r="190" spans="1:10" x14ac:dyDescent="0.25">
      <c r="A190" t="s">
        <v>227</v>
      </c>
      <c r="B190" s="1">
        <v>45812</v>
      </c>
      <c r="C190" t="s">
        <v>44</v>
      </c>
      <c r="D190" t="s">
        <v>36</v>
      </c>
      <c r="E190">
        <v>40547</v>
      </c>
      <c r="F190">
        <v>35653</v>
      </c>
      <c r="G190">
        <v>4894</v>
      </c>
      <c r="H190" t="s">
        <v>38</v>
      </c>
      <c r="I190" t="s">
        <v>31</v>
      </c>
      <c r="J190" t="s">
        <v>42</v>
      </c>
    </row>
    <row r="191" spans="1:10" x14ac:dyDescent="0.25">
      <c r="A191" t="s">
        <v>228</v>
      </c>
      <c r="B191" s="1">
        <v>46123</v>
      </c>
      <c r="C191" t="s">
        <v>44</v>
      </c>
      <c r="D191" t="s">
        <v>12</v>
      </c>
      <c r="E191">
        <v>33394</v>
      </c>
      <c r="F191">
        <v>31927</v>
      </c>
      <c r="G191">
        <v>1467</v>
      </c>
      <c r="H191" t="s">
        <v>13</v>
      </c>
      <c r="I191" t="s">
        <v>60</v>
      </c>
      <c r="J191" t="s">
        <v>24</v>
      </c>
    </row>
    <row r="192" spans="1:10" x14ac:dyDescent="0.25">
      <c r="A192" t="s">
        <v>229</v>
      </c>
      <c r="B192" s="1">
        <v>45661</v>
      </c>
      <c r="C192" t="s">
        <v>17</v>
      </c>
      <c r="D192" t="s">
        <v>36</v>
      </c>
      <c r="E192">
        <v>43704</v>
      </c>
      <c r="F192">
        <v>25908</v>
      </c>
      <c r="G192">
        <v>17796</v>
      </c>
      <c r="H192" t="s">
        <v>27</v>
      </c>
      <c r="I192" t="s">
        <v>45</v>
      </c>
      <c r="J192" t="s">
        <v>24</v>
      </c>
    </row>
    <row r="193" spans="1:10" x14ac:dyDescent="0.25">
      <c r="A193" t="s">
        <v>230</v>
      </c>
      <c r="B193" s="1">
        <v>45813</v>
      </c>
      <c r="C193" t="s">
        <v>17</v>
      </c>
      <c r="D193" t="s">
        <v>36</v>
      </c>
      <c r="E193">
        <v>7039</v>
      </c>
      <c r="F193">
        <v>3768</v>
      </c>
      <c r="G193">
        <v>3271</v>
      </c>
      <c r="H193" t="s">
        <v>27</v>
      </c>
      <c r="I193" t="s">
        <v>78</v>
      </c>
      <c r="J193" t="s">
        <v>29</v>
      </c>
    </row>
    <row r="194" spans="1:10" x14ac:dyDescent="0.25">
      <c r="A194" t="s">
        <v>231</v>
      </c>
      <c r="B194" s="1">
        <v>45739</v>
      </c>
      <c r="C194" t="s">
        <v>22</v>
      </c>
      <c r="D194" t="s">
        <v>12</v>
      </c>
      <c r="E194">
        <v>36495</v>
      </c>
      <c r="F194">
        <v>33607</v>
      </c>
      <c r="G194">
        <v>2888</v>
      </c>
      <c r="H194" t="s">
        <v>19</v>
      </c>
      <c r="I194" t="s">
        <v>28</v>
      </c>
      <c r="J194" t="s">
        <v>42</v>
      </c>
    </row>
    <row r="195" spans="1:10" x14ac:dyDescent="0.25">
      <c r="A195" t="s">
        <v>232</v>
      </c>
      <c r="B195" s="1">
        <v>45498</v>
      </c>
      <c r="C195" t="s">
        <v>26</v>
      </c>
      <c r="D195" t="s">
        <v>36</v>
      </c>
      <c r="E195">
        <v>41541</v>
      </c>
      <c r="F195">
        <v>38064</v>
      </c>
      <c r="G195">
        <v>3477</v>
      </c>
      <c r="H195" t="s">
        <v>27</v>
      </c>
      <c r="I195" t="s">
        <v>60</v>
      </c>
      <c r="J195" t="s">
        <v>42</v>
      </c>
    </row>
    <row r="196" spans="1:10" x14ac:dyDescent="0.25">
      <c r="A196" t="s">
        <v>233</v>
      </c>
      <c r="B196" s="1">
        <v>45906</v>
      </c>
      <c r="C196" t="s">
        <v>26</v>
      </c>
      <c r="D196" t="s">
        <v>33</v>
      </c>
      <c r="E196">
        <v>30780</v>
      </c>
      <c r="F196">
        <v>25448</v>
      </c>
      <c r="G196">
        <v>5332</v>
      </c>
      <c r="H196" t="s">
        <v>19</v>
      </c>
      <c r="I196" t="s">
        <v>20</v>
      </c>
      <c r="J196" t="s">
        <v>53</v>
      </c>
    </row>
    <row r="197" spans="1:10" x14ac:dyDescent="0.25">
      <c r="A197" t="s">
        <v>234</v>
      </c>
      <c r="B197" s="1">
        <v>46095</v>
      </c>
      <c r="C197" t="s">
        <v>22</v>
      </c>
      <c r="D197" t="s">
        <v>12</v>
      </c>
      <c r="E197">
        <v>44213</v>
      </c>
      <c r="F197">
        <v>28753</v>
      </c>
      <c r="G197">
        <v>15460</v>
      </c>
      <c r="H197" t="s">
        <v>19</v>
      </c>
      <c r="I197" t="s">
        <v>28</v>
      </c>
      <c r="J197" t="s">
        <v>15</v>
      </c>
    </row>
    <row r="198" spans="1:10" x14ac:dyDescent="0.25">
      <c r="A198" t="s">
        <v>235</v>
      </c>
      <c r="B198" s="1">
        <v>45200</v>
      </c>
      <c r="C198" t="s">
        <v>26</v>
      </c>
      <c r="D198" t="s">
        <v>12</v>
      </c>
      <c r="E198">
        <v>38815</v>
      </c>
      <c r="F198">
        <v>37203</v>
      </c>
      <c r="G198">
        <v>1612</v>
      </c>
      <c r="H198" t="s">
        <v>27</v>
      </c>
      <c r="I198" t="s">
        <v>63</v>
      </c>
      <c r="J198" t="s">
        <v>29</v>
      </c>
    </row>
    <row r="199" spans="1:10" x14ac:dyDescent="0.25">
      <c r="A199" t="s">
        <v>236</v>
      </c>
      <c r="B199" s="1">
        <v>45784</v>
      </c>
      <c r="C199" t="s">
        <v>17</v>
      </c>
      <c r="D199" t="s">
        <v>41</v>
      </c>
      <c r="E199">
        <v>37429</v>
      </c>
      <c r="F199">
        <v>27462</v>
      </c>
      <c r="G199">
        <v>9967</v>
      </c>
      <c r="H199" t="s">
        <v>38</v>
      </c>
      <c r="I199" t="s">
        <v>20</v>
      </c>
      <c r="J199" t="s">
        <v>53</v>
      </c>
    </row>
    <row r="200" spans="1:10" x14ac:dyDescent="0.25">
      <c r="A200" t="s">
        <v>237</v>
      </c>
      <c r="B200" s="1">
        <v>45899</v>
      </c>
      <c r="C200" t="s">
        <v>17</v>
      </c>
      <c r="D200" t="s">
        <v>33</v>
      </c>
      <c r="E200">
        <v>12752</v>
      </c>
      <c r="F200">
        <v>2090</v>
      </c>
      <c r="G200">
        <v>10662</v>
      </c>
      <c r="H200" t="s">
        <v>38</v>
      </c>
      <c r="I200" t="s">
        <v>78</v>
      </c>
      <c r="J200" t="s">
        <v>24</v>
      </c>
    </row>
    <row r="201" spans="1:10" x14ac:dyDescent="0.25">
      <c r="A201" t="s">
        <v>238</v>
      </c>
      <c r="B201" s="1">
        <v>45561</v>
      </c>
      <c r="C201" t="s">
        <v>17</v>
      </c>
      <c r="D201" t="s">
        <v>41</v>
      </c>
      <c r="E201">
        <v>38046</v>
      </c>
      <c r="F201">
        <v>23664</v>
      </c>
      <c r="G201">
        <v>14382</v>
      </c>
      <c r="H201" t="s">
        <v>27</v>
      </c>
      <c r="I201" t="s">
        <v>78</v>
      </c>
      <c r="J201" t="s">
        <v>53</v>
      </c>
    </row>
    <row r="202" spans="1:10" x14ac:dyDescent="0.25">
      <c r="A202" t="s">
        <v>239</v>
      </c>
      <c r="B202" s="1">
        <v>45497</v>
      </c>
      <c r="C202" t="s">
        <v>11</v>
      </c>
      <c r="D202" t="s">
        <v>41</v>
      </c>
      <c r="E202">
        <v>19113</v>
      </c>
      <c r="F202">
        <v>15203</v>
      </c>
      <c r="G202">
        <v>3910</v>
      </c>
      <c r="H202" t="s">
        <v>38</v>
      </c>
      <c r="I202" t="s">
        <v>23</v>
      </c>
      <c r="J202" t="s">
        <v>29</v>
      </c>
    </row>
    <row r="203" spans="1:10" x14ac:dyDescent="0.25">
      <c r="A203" t="s">
        <v>240</v>
      </c>
      <c r="B203" s="1">
        <v>45830</v>
      </c>
      <c r="C203" t="s">
        <v>22</v>
      </c>
      <c r="D203" t="s">
        <v>12</v>
      </c>
      <c r="E203">
        <v>10226</v>
      </c>
      <c r="F203">
        <v>6020</v>
      </c>
      <c r="G203">
        <v>4206</v>
      </c>
      <c r="H203" t="s">
        <v>19</v>
      </c>
      <c r="I203" t="s">
        <v>23</v>
      </c>
      <c r="J203" t="s">
        <v>53</v>
      </c>
    </row>
    <row r="204" spans="1:10" x14ac:dyDescent="0.25">
      <c r="A204" t="s">
        <v>241</v>
      </c>
      <c r="B204" s="1">
        <v>45927</v>
      </c>
      <c r="C204" t="s">
        <v>44</v>
      </c>
      <c r="D204" t="s">
        <v>33</v>
      </c>
      <c r="E204">
        <v>28316</v>
      </c>
      <c r="F204">
        <v>25329</v>
      </c>
      <c r="G204">
        <v>2987</v>
      </c>
      <c r="H204" t="s">
        <v>13</v>
      </c>
      <c r="I204" t="s">
        <v>34</v>
      </c>
      <c r="J204" t="s">
        <v>24</v>
      </c>
    </row>
    <row r="205" spans="1:10" x14ac:dyDescent="0.25">
      <c r="A205" t="s">
        <v>242</v>
      </c>
      <c r="B205" s="1">
        <v>45837</v>
      </c>
      <c r="C205" t="s">
        <v>22</v>
      </c>
      <c r="D205" t="s">
        <v>33</v>
      </c>
      <c r="E205">
        <v>28380</v>
      </c>
      <c r="F205">
        <v>22803</v>
      </c>
      <c r="G205">
        <v>5577</v>
      </c>
      <c r="H205" t="s">
        <v>19</v>
      </c>
      <c r="I205" t="s">
        <v>20</v>
      </c>
      <c r="J205" t="s">
        <v>15</v>
      </c>
    </row>
    <row r="206" spans="1:10" x14ac:dyDescent="0.25">
      <c r="A206" t="s">
        <v>243</v>
      </c>
      <c r="B206" s="1">
        <v>45551</v>
      </c>
      <c r="C206" t="s">
        <v>44</v>
      </c>
      <c r="D206" t="s">
        <v>33</v>
      </c>
      <c r="E206">
        <v>38295</v>
      </c>
      <c r="F206">
        <v>29512</v>
      </c>
      <c r="G206">
        <v>8783</v>
      </c>
      <c r="H206" t="s">
        <v>38</v>
      </c>
      <c r="I206" t="s">
        <v>20</v>
      </c>
      <c r="J206" t="s">
        <v>15</v>
      </c>
    </row>
    <row r="207" spans="1:10" x14ac:dyDescent="0.25">
      <c r="A207" t="s">
        <v>244</v>
      </c>
      <c r="B207" s="1">
        <v>46023</v>
      </c>
      <c r="C207" t="s">
        <v>22</v>
      </c>
      <c r="D207" t="s">
        <v>36</v>
      </c>
      <c r="E207">
        <v>41385</v>
      </c>
      <c r="F207">
        <v>30241</v>
      </c>
      <c r="G207">
        <v>11144</v>
      </c>
      <c r="H207" t="s">
        <v>38</v>
      </c>
      <c r="I207" t="s">
        <v>23</v>
      </c>
      <c r="J207" t="s">
        <v>15</v>
      </c>
    </row>
    <row r="208" spans="1:10" x14ac:dyDescent="0.25">
      <c r="A208" t="s">
        <v>245</v>
      </c>
      <c r="B208" s="1">
        <v>45994</v>
      </c>
      <c r="C208" t="s">
        <v>11</v>
      </c>
      <c r="D208" t="s">
        <v>36</v>
      </c>
      <c r="E208">
        <v>5449</v>
      </c>
      <c r="F208">
        <v>3945</v>
      </c>
      <c r="G208">
        <v>1504</v>
      </c>
      <c r="H208" t="s">
        <v>13</v>
      </c>
      <c r="I208" t="s">
        <v>78</v>
      </c>
      <c r="J208" t="s">
        <v>42</v>
      </c>
    </row>
    <row r="209" spans="1:10" x14ac:dyDescent="0.25">
      <c r="A209" t="s">
        <v>246</v>
      </c>
      <c r="B209" s="1">
        <v>45619</v>
      </c>
      <c r="C209" t="s">
        <v>22</v>
      </c>
      <c r="D209" t="s">
        <v>12</v>
      </c>
      <c r="E209">
        <v>23770</v>
      </c>
      <c r="F209">
        <v>4577</v>
      </c>
      <c r="G209">
        <v>19193</v>
      </c>
      <c r="H209" t="s">
        <v>27</v>
      </c>
      <c r="I209" t="s">
        <v>60</v>
      </c>
      <c r="J209" t="s">
        <v>42</v>
      </c>
    </row>
    <row r="210" spans="1:10" x14ac:dyDescent="0.25">
      <c r="A210" t="s">
        <v>247</v>
      </c>
      <c r="B210" s="1">
        <v>45389</v>
      </c>
      <c r="C210" t="s">
        <v>44</v>
      </c>
      <c r="D210" t="s">
        <v>41</v>
      </c>
      <c r="E210">
        <v>34380</v>
      </c>
      <c r="F210">
        <v>22092</v>
      </c>
      <c r="G210">
        <v>12288</v>
      </c>
      <c r="H210" t="s">
        <v>19</v>
      </c>
      <c r="I210" t="s">
        <v>23</v>
      </c>
      <c r="J210" t="s">
        <v>53</v>
      </c>
    </row>
    <row r="211" spans="1:10" x14ac:dyDescent="0.25">
      <c r="A211" t="s">
        <v>248</v>
      </c>
      <c r="B211" s="1">
        <v>45616</v>
      </c>
      <c r="C211" t="s">
        <v>44</v>
      </c>
      <c r="D211" t="s">
        <v>18</v>
      </c>
      <c r="E211">
        <v>28383</v>
      </c>
      <c r="F211">
        <v>16197</v>
      </c>
      <c r="G211">
        <v>12186</v>
      </c>
      <c r="H211" t="s">
        <v>13</v>
      </c>
      <c r="I211" t="s">
        <v>60</v>
      </c>
      <c r="J211" t="s">
        <v>42</v>
      </c>
    </row>
    <row r="212" spans="1:10" x14ac:dyDescent="0.25">
      <c r="A212" t="s">
        <v>249</v>
      </c>
      <c r="B212" s="1">
        <v>45292</v>
      </c>
      <c r="C212" t="s">
        <v>11</v>
      </c>
      <c r="D212" t="s">
        <v>36</v>
      </c>
      <c r="E212">
        <v>22003</v>
      </c>
      <c r="F212">
        <v>12792</v>
      </c>
      <c r="G212">
        <v>9211</v>
      </c>
      <c r="H212" t="s">
        <v>27</v>
      </c>
      <c r="I212" t="s">
        <v>63</v>
      </c>
      <c r="J212" t="s">
        <v>42</v>
      </c>
    </row>
    <row r="213" spans="1:10" x14ac:dyDescent="0.25">
      <c r="A213" t="s">
        <v>250</v>
      </c>
      <c r="B213" s="1">
        <v>45557</v>
      </c>
      <c r="C213" t="s">
        <v>11</v>
      </c>
      <c r="D213" t="s">
        <v>41</v>
      </c>
      <c r="E213">
        <v>18359</v>
      </c>
      <c r="F213">
        <v>8467</v>
      </c>
      <c r="G213">
        <v>9892</v>
      </c>
      <c r="H213" t="s">
        <v>19</v>
      </c>
      <c r="I213" t="s">
        <v>23</v>
      </c>
      <c r="J213" t="s">
        <v>15</v>
      </c>
    </row>
    <row r="214" spans="1:10" x14ac:dyDescent="0.25">
      <c r="A214" t="s">
        <v>251</v>
      </c>
      <c r="B214" s="1">
        <v>46119</v>
      </c>
      <c r="C214" t="s">
        <v>11</v>
      </c>
      <c r="D214" t="s">
        <v>36</v>
      </c>
      <c r="E214">
        <v>12543</v>
      </c>
      <c r="F214">
        <v>6225</v>
      </c>
      <c r="G214">
        <v>6318</v>
      </c>
      <c r="H214" t="s">
        <v>19</v>
      </c>
      <c r="I214" t="s">
        <v>78</v>
      </c>
      <c r="J214" t="s">
        <v>24</v>
      </c>
    </row>
    <row r="215" spans="1:10" x14ac:dyDescent="0.25">
      <c r="A215" t="s">
        <v>252</v>
      </c>
      <c r="B215" s="1">
        <v>45596</v>
      </c>
      <c r="C215" t="s">
        <v>44</v>
      </c>
      <c r="D215" t="s">
        <v>41</v>
      </c>
      <c r="E215">
        <v>19950</v>
      </c>
      <c r="F215">
        <v>16464</v>
      </c>
      <c r="G215">
        <v>3486</v>
      </c>
      <c r="H215" t="s">
        <v>38</v>
      </c>
      <c r="I215" t="s">
        <v>28</v>
      </c>
      <c r="J215" t="s">
        <v>53</v>
      </c>
    </row>
    <row r="216" spans="1:10" x14ac:dyDescent="0.25">
      <c r="A216" t="s">
        <v>253</v>
      </c>
      <c r="B216" s="1">
        <v>46101</v>
      </c>
      <c r="C216" t="s">
        <v>17</v>
      </c>
      <c r="D216" t="s">
        <v>12</v>
      </c>
      <c r="E216">
        <v>23379</v>
      </c>
      <c r="F216">
        <v>5091</v>
      </c>
      <c r="G216">
        <v>18288</v>
      </c>
      <c r="H216" t="s">
        <v>19</v>
      </c>
      <c r="I216" t="s">
        <v>45</v>
      </c>
      <c r="J216" t="s">
        <v>53</v>
      </c>
    </row>
    <row r="217" spans="1:10" x14ac:dyDescent="0.25">
      <c r="A217" t="s">
        <v>254</v>
      </c>
      <c r="B217" s="1">
        <v>45732</v>
      </c>
      <c r="C217" t="s">
        <v>17</v>
      </c>
      <c r="D217" t="s">
        <v>33</v>
      </c>
      <c r="E217">
        <v>14008</v>
      </c>
      <c r="F217">
        <v>11865</v>
      </c>
      <c r="G217">
        <v>2143</v>
      </c>
      <c r="H217" t="s">
        <v>13</v>
      </c>
      <c r="I217" t="s">
        <v>63</v>
      </c>
      <c r="J217" t="s">
        <v>15</v>
      </c>
    </row>
    <row r="218" spans="1:10" x14ac:dyDescent="0.25">
      <c r="A218" t="s">
        <v>255</v>
      </c>
      <c r="B218" s="1">
        <v>45160</v>
      </c>
      <c r="C218" t="s">
        <v>44</v>
      </c>
      <c r="D218" t="s">
        <v>33</v>
      </c>
      <c r="E218">
        <v>35108</v>
      </c>
      <c r="F218">
        <v>16352</v>
      </c>
      <c r="G218">
        <v>18756</v>
      </c>
      <c r="H218" t="s">
        <v>13</v>
      </c>
      <c r="I218" t="s">
        <v>60</v>
      </c>
      <c r="J218" t="s">
        <v>29</v>
      </c>
    </row>
    <row r="219" spans="1:10" x14ac:dyDescent="0.25">
      <c r="A219" t="s">
        <v>256</v>
      </c>
      <c r="B219" s="1">
        <v>45667</v>
      </c>
      <c r="C219" t="s">
        <v>26</v>
      </c>
      <c r="D219" t="s">
        <v>41</v>
      </c>
      <c r="E219">
        <v>45616</v>
      </c>
      <c r="F219">
        <v>37739</v>
      </c>
      <c r="G219">
        <v>7877</v>
      </c>
      <c r="H219" t="s">
        <v>13</v>
      </c>
      <c r="I219" t="s">
        <v>28</v>
      </c>
      <c r="J219" t="s">
        <v>15</v>
      </c>
    </row>
    <row r="220" spans="1:10" x14ac:dyDescent="0.25">
      <c r="A220" t="s">
        <v>257</v>
      </c>
      <c r="B220" s="1">
        <v>45799</v>
      </c>
      <c r="C220" t="s">
        <v>17</v>
      </c>
      <c r="D220" t="s">
        <v>18</v>
      </c>
      <c r="E220">
        <v>36487</v>
      </c>
      <c r="F220">
        <v>23385</v>
      </c>
      <c r="G220">
        <v>13102</v>
      </c>
      <c r="H220" t="s">
        <v>19</v>
      </c>
      <c r="I220" t="s">
        <v>63</v>
      </c>
      <c r="J220" t="s">
        <v>53</v>
      </c>
    </row>
    <row r="221" spans="1:10" x14ac:dyDescent="0.25">
      <c r="A221" t="s">
        <v>258</v>
      </c>
      <c r="B221" s="1">
        <v>45467</v>
      </c>
      <c r="C221" t="s">
        <v>11</v>
      </c>
      <c r="D221" t="s">
        <v>36</v>
      </c>
      <c r="E221">
        <v>28227</v>
      </c>
      <c r="F221">
        <v>23846</v>
      </c>
      <c r="G221">
        <v>4381</v>
      </c>
      <c r="H221" t="s">
        <v>27</v>
      </c>
      <c r="I221" t="s">
        <v>63</v>
      </c>
      <c r="J221" t="s">
        <v>29</v>
      </c>
    </row>
    <row r="222" spans="1:10" x14ac:dyDescent="0.25">
      <c r="A222" t="s">
        <v>259</v>
      </c>
      <c r="B222" s="1">
        <v>45707</v>
      </c>
      <c r="C222" t="s">
        <v>17</v>
      </c>
      <c r="D222" t="s">
        <v>33</v>
      </c>
      <c r="E222">
        <v>29370</v>
      </c>
      <c r="F222">
        <v>23306</v>
      </c>
      <c r="G222">
        <v>6064</v>
      </c>
      <c r="H222" t="s">
        <v>27</v>
      </c>
      <c r="I222" t="s">
        <v>45</v>
      </c>
      <c r="J222" t="s">
        <v>15</v>
      </c>
    </row>
    <row r="223" spans="1:10" x14ac:dyDescent="0.25">
      <c r="A223" t="s">
        <v>260</v>
      </c>
      <c r="B223" s="1">
        <v>45233</v>
      </c>
      <c r="C223" t="s">
        <v>26</v>
      </c>
      <c r="D223" t="s">
        <v>18</v>
      </c>
      <c r="E223">
        <v>49017</v>
      </c>
      <c r="F223">
        <v>37036</v>
      </c>
      <c r="G223">
        <v>11981</v>
      </c>
      <c r="H223" t="s">
        <v>13</v>
      </c>
      <c r="I223" t="s">
        <v>78</v>
      </c>
      <c r="J223" t="s">
        <v>29</v>
      </c>
    </row>
    <row r="224" spans="1:10" x14ac:dyDescent="0.25">
      <c r="A224" t="s">
        <v>261</v>
      </c>
      <c r="B224" s="1">
        <v>46204</v>
      </c>
      <c r="C224" t="s">
        <v>26</v>
      </c>
      <c r="D224" t="s">
        <v>36</v>
      </c>
      <c r="E224">
        <v>38449</v>
      </c>
      <c r="F224">
        <v>28040</v>
      </c>
      <c r="G224">
        <v>10409</v>
      </c>
      <c r="H224" t="s">
        <v>19</v>
      </c>
      <c r="I224" t="s">
        <v>14</v>
      </c>
      <c r="J224" t="s">
        <v>53</v>
      </c>
    </row>
    <row r="225" spans="1:10" x14ac:dyDescent="0.25">
      <c r="A225" t="s">
        <v>262</v>
      </c>
      <c r="B225" s="1">
        <v>45585</v>
      </c>
      <c r="C225" t="s">
        <v>11</v>
      </c>
      <c r="D225" t="s">
        <v>12</v>
      </c>
      <c r="E225">
        <v>48160</v>
      </c>
      <c r="F225">
        <v>34991</v>
      </c>
      <c r="G225">
        <v>13169</v>
      </c>
      <c r="H225" t="s">
        <v>19</v>
      </c>
      <c r="I225" t="s">
        <v>20</v>
      </c>
      <c r="J225" t="s">
        <v>29</v>
      </c>
    </row>
    <row r="226" spans="1:10" x14ac:dyDescent="0.25">
      <c r="A226" t="s">
        <v>263</v>
      </c>
      <c r="B226" s="1">
        <v>45284</v>
      </c>
      <c r="C226" t="s">
        <v>44</v>
      </c>
      <c r="D226" t="s">
        <v>41</v>
      </c>
      <c r="E226">
        <v>38825</v>
      </c>
      <c r="F226">
        <v>32620</v>
      </c>
      <c r="G226">
        <v>6205</v>
      </c>
      <c r="H226" t="s">
        <v>19</v>
      </c>
      <c r="I226" t="s">
        <v>28</v>
      </c>
      <c r="J226" t="s">
        <v>42</v>
      </c>
    </row>
    <row r="227" spans="1:10" x14ac:dyDescent="0.25">
      <c r="A227" t="s">
        <v>264</v>
      </c>
      <c r="B227" s="1">
        <v>46023</v>
      </c>
      <c r="C227" t="s">
        <v>26</v>
      </c>
      <c r="D227" t="s">
        <v>41</v>
      </c>
      <c r="E227">
        <v>30843</v>
      </c>
      <c r="F227">
        <v>12479</v>
      </c>
      <c r="G227">
        <v>18364</v>
      </c>
      <c r="H227" t="s">
        <v>38</v>
      </c>
      <c r="I227" t="s">
        <v>34</v>
      </c>
      <c r="J227" t="s">
        <v>42</v>
      </c>
    </row>
    <row r="228" spans="1:10" x14ac:dyDescent="0.25">
      <c r="A228" t="s">
        <v>265</v>
      </c>
      <c r="B228" s="1">
        <v>45948</v>
      </c>
      <c r="C228" t="s">
        <v>11</v>
      </c>
      <c r="D228" t="s">
        <v>12</v>
      </c>
      <c r="E228">
        <v>6290</v>
      </c>
      <c r="F228">
        <v>866</v>
      </c>
      <c r="G228">
        <v>5424</v>
      </c>
      <c r="H228" t="s">
        <v>13</v>
      </c>
      <c r="I228" t="s">
        <v>45</v>
      </c>
      <c r="J228" t="s">
        <v>42</v>
      </c>
    </row>
    <row r="229" spans="1:10" x14ac:dyDescent="0.25">
      <c r="A229" t="s">
        <v>266</v>
      </c>
      <c r="B229" s="1">
        <v>45613</v>
      </c>
      <c r="C229" t="s">
        <v>26</v>
      </c>
      <c r="D229" t="s">
        <v>18</v>
      </c>
      <c r="E229">
        <v>44920</v>
      </c>
      <c r="F229">
        <v>41388</v>
      </c>
      <c r="G229">
        <v>3532</v>
      </c>
      <c r="H229" t="s">
        <v>13</v>
      </c>
      <c r="I229" t="s">
        <v>63</v>
      </c>
      <c r="J229" t="s">
        <v>29</v>
      </c>
    </row>
    <row r="230" spans="1:10" x14ac:dyDescent="0.25">
      <c r="A230" t="s">
        <v>267</v>
      </c>
      <c r="B230" s="1">
        <v>46106</v>
      </c>
      <c r="C230" t="s">
        <v>22</v>
      </c>
      <c r="D230" t="s">
        <v>36</v>
      </c>
      <c r="E230">
        <v>46543</v>
      </c>
      <c r="F230">
        <v>33977</v>
      </c>
      <c r="G230">
        <v>12566</v>
      </c>
      <c r="H230" t="s">
        <v>38</v>
      </c>
      <c r="I230" t="s">
        <v>78</v>
      </c>
      <c r="J230" t="s">
        <v>15</v>
      </c>
    </row>
    <row r="231" spans="1:10" x14ac:dyDescent="0.25">
      <c r="A231" t="s">
        <v>268</v>
      </c>
      <c r="B231" s="1">
        <v>45985</v>
      </c>
      <c r="C231" t="s">
        <v>22</v>
      </c>
      <c r="D231" t="s">
        <v>33</v>
      </c>
      <c r="E231">
        <v>46050</v>
      </c>
      <c r="F231">
        <v>45285</v>
      </c>
      <c r="G231">
        <v>765</v>
      </c>
      <c r="H231" t="s">
        <v>27</v>
      </c>
      <c r="I231" t="s">
        <v>14</v>
      </c>
      <c r="J231" t="s">
        <v>15</v>
      </c>
    </row>
    <row r="232" spans="1:10" x14ac:dyDescent="0.25">
      <c r="A232" t="s">
        <v>269</v>
      </c>
      <c r="B232" s="1">
        <v>45352</v>
      </c>
      <c r="C232" t="s">
        <v>26</v>
      </c>
      <c r="D232" t="s">
        <v>33</v>
      </c>
      <c r="E232">
        <v>7033</v>
      </c>
      <c r="F232">
        <v>2629</v>
      </c>
      <c r="G232">
        <v>4404</v>
      </c>
      <c r="H232" t="s">
        <v>38</v>
      </c>
      <c r="I232" t="s">
        <v>78</v>
      </c>
      <c r="J232" t="s">
        <v>24</v>
      </c>
    </row>
    <row r="233" spans="1:10" x14ac:dyDescent="0.25">
      <c r="A233" t="s">
        <v>270</v>
      </c>
      <c r="B233" s="1">
        <v>45492</v>
      </c>
      <c r="C233" t="s">
        <v>44</v>
      </c>
      <c r="D233" t="s">
        <v>18</v>
      </c>
      <c r="E233">
        <v>48185</v>
      </c>
      <c r="F233">
        <v>32383</v>
      </c>
      <c r="G233">
        <v>15802</v>
      </c>
      <c r="H233" t="s">
        <v>19</v>
      </c>
      <c r="I233" t="s">
        <v>63</v>
      </c>
      <c r="J233" t="s">
        <v>53</v>
      </c>
    </row>
    <row r="234" spans="1:10" x14ac:dyDescent="0.25">
      <c r="A234" t="s">
        <v>271</v>
      </c>
      <c r="B234" s="1">
        <v>45750</v>
      </c>
      <c r="C234" t="s">
        <v>11</v>
      </c>
      <c r="D234" t="s">
        <v>41</v>
      </c>
      <c r="E234">
        <v>41463</v>
      </c>
      <c r="F234">
        <v>21807</v>
      </c>
      <c r="G234">
        <v>19656</v>
      </c>
      <c r="H234" t="s">
        <v>19</v>
      </c>
      <c r="I234" t="s">
        <v>60</v>
      </c>
      <c r="J234" t="s">
        <v>53</v>
      </c>
    </row>
    <row r="235" spans="1:10" x14ac:dyDescent="0.25">
      <c r="A235" t="s">
        <v>272</v>
      </c>
      <c r="B235" s="1">
        <v>46030</v>
      </c>
      <c r="C235" t="s">
        <v>44</v>
      </c>
      <c r="D235" t="s">
        <v>18</v>
      </c>
      <c r="E235">
        <v>48679</v>
      </c>
      <c r="F235">
        <v>40725</v>
      </c>
      <c r="G235">
        <v>7954</v>
      </c>
      <c r="H235" t="s">
        <v>13</v>
      </c>
      <c r="I235" t="s">
        <v>28</v>
      </c>
      <c r="J235" t="s">
        <v>29</v>
      </c>
    </row>
    <row r="236" spans="1:10" x14ac:dyDescent="0.25">
      <c r="A236" t="s">
        <v>273</v>
      </c>
      <c r="B236" s="1">
        <v>45727</v>
      </c>
      <c r="C236" t="s">
        <v>26</v>
      </c>
      <c r="D236" t="s">
        <v>18</v>
      </c>
      <c r="E236">
        <v>5832</v>
      </c>
      <c r="F236">
        <v>4307</v>
      </c>
      <c r="G236">
        <v>1525</v>
      </c>
      <c r="H236" t="s">
        <v>38</v>
      </c>
      <c r="I236" t="s">
        <v>63</v>
      </c>
      <c r="J236" t="s">
        <v>15</v>
      </c>
    </row>
    <row r="237" spans="1:10" x14ac:dyDescent="0.25">
      <c r="A237" t="s">
        <v>274</v>
      </c>
      <c r="B237" s="1">
        <v>46141</v>
      </c>
      <c r="C237" t="s">
        <v>17</v>
      </c>
      <c r="D237" t="s">
        <v>41</v>
      </c>
      <c r="E237">
        <v>26930</v>
      </c>
      <c r="F237">
        <v>10272</v>
      </c>
      <c r="G237">
        <v>16658</v>
      </c>
      <c r="H237" t="s">
        <v>19</v>
      </c>
      <c r="I237" t="s">
        <v>31</v>
      </c>
      <c r="J237" t="s">
        <v>29</v>
      </c>
    </row>
    <row r="238" spans="1:10" x14ac:dyDescent="0.25">
      <c r="A238" t="s">
        <v>275</v>
      </c>
      <c r="B238" s="1">
        <v>46046</v>
      </c>
      <c r="C238" t="s">
        <v>44</v>
      </c>
      <c r="D238" t="s">
        <v>12</v>
      </c>
      <c r="E238">
        <v>48571</v>
      </c>
      <c r="F238">
        <v>42615</v>
      </c>
      <c r="G238">
        <v>5956</v>
      </c>
      <c r="H238" t="s">
        <v>27</v>
      </c>
      <c r="I238" t="s">
        <v>63</v>
      </c>
      <c r="J238" t="s">
        <v>24</v>
      </c>
    </row>
    <row r="239" spans="1:10" x14ac:dyDescent="0.25">
      <c r="A239" t="s">
        <v>276</v>
      </c>
      <c r="B239" s="1">
        <v>45676</v>
      </c>
      <c r="C239" t="s">
        <v>11</v>
      </c>
      <c r="D239" t="s">
        <v>36</v>
      </c>
      <c r="E239">
        <v>26826</v>
      </c>
      <c r="F239">
        <v>20368</v>
      </c>
      <c r="G239">
        <v>6458</v>
      </c>
      <c r="H239" t="s">
        <v>27</v>
      </c>
      <c r="I239" t="s">
        <v>28</v>
      </c>
      <c r="J239" t="s">
        <v>53</v>
      </c>
    </row>
    <row r="240" spans="1:10" x14ac:dyDescent="0.25">
      <c r="A240" t="s">
        <v>277</v>
      </c>
      <c r="B240" s="1">
        <v>45297</v>
      </c>
      <c r="C240" t="s">
        <v>17</v>
      </c>
      <c r="D240" t="s">
        <v>33</v>
      </c>
      <c r="E240">
        <v>39238</v>
      </c>
      <c r="F240">
        <v>19262</v>
      </c>
      <c r="G240">
        <v>19976</v>
      </c>
      <c r="H240" t="s">
        <v>38</v>
      </c>
      <c r="I240" t="s">
        <v>34</v>
      </c>
      <c r="J240" t="s">
        <v>29</v>
      </c>
    </row>
    <row r="241" spans="1:10" x14ac:dyDescent="0.25">
      <c r="A241" t="s">
        <v>278</v>
      </c>
      <c r="B241" s="1">
        <v>45910</v>
      </c>
      <c r="C241" t="s">
        <v>44</v>
      </c>
      <c r="D241" t="s">
        <v>36</v>
      </c>
      <c r="E241">
        <v>14308</v>
      </c>
      <c r="F241">
        <v>9999</v>
      </c>
      <c r="G241">
        <v>4309</v>
      </c>
      <c r="H241" t="s">
        <v>19</v>
      </c>
      <c r="I241" t="s">
        <v>14</v>
      </c>
      <c r="J241" t="s">
        <v>24</v>
      </c>
    </row>
    <row r="242" spans="1:10" x14ac:dyDescent="0.25">
      <c r="A242" t="s">
        <v>279</v>
      </c>
      <c r="B242" s="1">
        <v>46193</v>
      </c>
      <c r="C242" t="s">
        <v>22</v>
      </c>
      <c r="D242" t="s">
        <v>41</v>
      </c>
      <c r="E242">
        <v>34660</v>
      </c>
      <c r="F242">
        <v>33523</v>
      </c>
      <c r="G242">
        <v>1137</v>
      </c>
      <c r="H242" t="s">
        <v>19</v>
      </c>
      <c r="I242" t="s">
        <v>28</v>
      </c>
      <c r="J242" t="s">
        <v>15</v>
      </c>
    </row>
    <row r="243" spans="1:10" x14ac:dyDescent="0.25">
      <c r="A243" t="s">
        <v>280</v>
      </c>
      <c r="B243" s="1">
        <v>45115</v>
      </c>
      <c r="C243" t="s">
        <v>26</v>
      </c>
      <c r="D243" t="s">
        <v>33</v>
      </c>
      <c r="E243">
        <v>30699</v>
      </c>
      <c r="F243">
        <v>17158</v>
      </c>
      <c r="G243">
        <v>13541</v>
      </c>
      <c r="H243" t="s">
        <v>13</v>
      </c>
      <c r="I243" t="s">
        <v>63</v>
      </c>
      <c r="J243" t="s">
        <v>24</v>
      </c>
    </row>
    <row r="244" spans="1:10" x14ac:dyDescent="0.25">
      <c r="A244" t="s">
        <v>281</v>
      </c>
      <c r="B244" s="1">
        <v>45267</v>
      </c>
      <c r="C244" t="s">
        <v>44</v>
      </c>
      <c r="D244" t="s">
        <v>36</v>
      </c>
      <c r="E244">
        <v>19126</v>
      </c>
      <c r="F244">
        <v>10545</v>
      </c>
      <c r="G244">
        <v>8581</v>
      </c>
      <c r="H244" t="s">
        <v>38</v>
      </c>
      <c r="I244" t="s">
        <v>34</v>
      </c>
      <c r="J244" t="s">
        <v>42</v>
      </c>
    </row>
    <row r="245" spans="1:10" x14ac:dyDescent="0.25">
      <c r="A245" t="s">
        <v>282</v>
      </c>
      <c r="B245" s="1">
        <v>45954</v>
      </c>
      <c r="C245" t="s">
        <v>17</v>
      </c>
      <c r="D245" t="s">
        <v>41</v>
      </c>
      <c r="E245">
        <v>45017</v>
      </c>
      <c r="F245">
        <v>37813</v>
      </c>
      <c r="G245">
        <v>7204</v>
      </c>
      <c r="H245" t="s">
        <v>13</v>
      </c>
      <c r="I245" t="s">
        <v>28</v>
      </c>
      <c r="J245" t="s">
        <v>29</v>
      </c>
    </row>
    <row r="246" spans="1:10" x14ac:dyDescent="0.25">
      <c r="A246" t="s">
        <v>283</v>
      </c>
      <c r="B246" s="1">
        <v>46005</v>
      </c>
      <c r="C246" t="s">
        <v>44</v>
      </c>
      <c r="D246" t="s">
        <v>41</v>
      </c>
      <c r="E246">
        <v>11284</v>
      </c>
      <c r="F246">
        <v>7769</v>
      </c>
      <c r="G246">
        <v>3515</v>
      </c>
      <c r="H246" t="s">
        <v>38</v>
      </c>
      <c r="I246" t="s">
        <v>14</v>
      </c>
      <c r="J246" t="s">
        <v>24</v>
      </c>
    </row>
    <row r="247" spans="1:10" x14ac:dyDescent="0.25">
      <c r="A247" t="s">
        <v>284</v>
      </c>
      <c r="B247" s="1">
        <v>45235</v>
      </c>
      <c r="C247" t="s">
        <v>26</v>
      </c>
      <c r="D247" t="s">
        <v>33</v>
      </c>
      <c r="E247">
        <v>38920</v>
      </c>
      <c r="F247">
        <v>20153</v>
      </c>
      <c r="G247">
        <v>18767</v>
      </c>
      <c r="H247" t="s">
        <v>19</v>
      </c>
      <c r="I247" t="s">
        <v>78</v>
      </c>
      <c r="J247" t="s">
        <v>53</v>
      </c>
    </row>
    <row r="248" spans="1:10" x14ac:dyDescent="0.25">
      <c r="A248" t="s">
        <v>285</v>
      </c>
      <c r="B248" s="1">
        <v>45562</v>
      </c>
      <c r="C248" t="s">
        <v>26</v>
      </c>
      <c r="D248" t="s">
        <v>12</v>
      </c>
      <c r="E248">
        <v>46433</v>
      </c>
      <c r="F248">
        <v>31043</v>
      </c>
      <c r="G248">
        <v>15390</v>
      </c>
      <c r="H248" t="s">
        <v>13</v>
      </c>
      <c r="I248" t="s">
        <v>60</v>
      </c>
      <c r="J248" t="s">
        <v>53</v>
      </c>
    </row>
    <row r="249" spans="1:10" x14ac:dyDescent="0.25">
      <c r="A249" t="s">
        <v>286</v>
      </c>
      <c r="B249" s="1">
        <v>45763</v>
      </c>
      <c r="C249" t="s">
        <v>17</v>
      </c>
      <c r="D249" t="s">
        <v>33</v>
      </c>
      <c r="E249">
        <v>44113</v>
      </c>
      <c r="F249">
        <v>32130</v>
      </c>
      <c r="G249">
        <v>11983</v>
      </c>
      <c r="H249" t="s">
        <v>38</v>
      </c>
      <c r="I249" t="s">
        <v>60</v>
      </c>
      <c r="J249" t="s">
        <v>53</v>
      </c>
    </row>
    <row r="250" spans="1:10" x14ac:dyDescent="0.25">
      <c r="A250" t="s">
        <v>287</v>
      </c>
      <c r="B250" s="1">
        <v>45622</v>
      </c>
      <c r="C250" t="s">
        <v>44</v>
      </c>
      <c r="D250" t="s">
        <v>12</v>
      </c>
      <c r="E250">
        <v>24605</v>
      </c>
      <c r="F250">
        <v>9826</v>
      </c>
      <c r="G250">
        <v>14779</v>
      </c>
      <c r="H250" t="s">
        <v>13</v>
      </c>
      <c r="I250" t="s">
        <v>60</v>
      </c>
      <c r="J250" t="s">
        <v>53</v>
      </c>
    </row>
    <row r="251" spans="1:10" x14ac:dyDescent="0.25">
      <c r="A251" t="s">
        <v>288</v>
      </c>
      <c r="B251" s="1">
        <v>45905</v>
      </c>
      <c r="C251" t="s">
        <v>11</v>
      </c>
      <c r="D251" t="s">
        <v>33</v>
      </c>
      <c r="E251">
        <v>34989</v>
      </c>
      <c r="F251">
        <v>19783</v>
      </c>
      <c r="G251">
        <v>15206</v>
      </c>
      <c r="H251" t="s">
        <v>27</v>
      </c>
      <c r="I251" t="s">
        <v>14</v>
      </c>
      <c r="J251" t="s">
        <v>15</v>
      </c>
    </row>
    <row r="252" spans="1:10" x14ac:dyDescent="0.25">
      <c r="A252" t="s">
        <v>289</v>
      </c>
      <c r="B252" s="1">
        <v>45937</v>
      </c>
      <c r="C252" t="s">
        <v>44</v>
      </c>
      <c r="D252" t="s">
        <v>33</v>
      </c>
      <c r="E252">
        <v>33095</v>
      </c>
      <c r="F252">
        <v>24381</v>
      </c>
      <c r="G252">
        <v>8714</v>
      </c>
      <c r="H252" t="s">
        <v>13</v>
      </c>
      <c r="I252" t="s">
        <v>28</v>
      </c>
      <c r="J252" t="s">
        <v>15</v>
      </c>
    </row>
    <row r="253" spans="1:10" x14ac:dyDescent="0.25">
      <c r="A253" t="s">
        <v>290</v>
      </c>
      <c r="B253" s="1">
        <v>46176</v>
      </c>
      <c r="C253" t="s">
        <v>17</v>
      </c>
      <c r="D253" t="s">
        <v>41</v>
      </c>
      <c r="E253">
        <v>32632</v>
      </c>
      <c r="F253">
        <v>28340</v>
      </c>
      <c r="G253">
        <v>4292</v>
      </c>
      <c r="H253" t="s">
        <v>19</v>
      </c>
      <c r="I253" t="s">
        <v>78</v>
      </c>
      <c r="J253" t="s">
        <v>15</v>
      </c>
    </row>
    <row r="254" spans="1:10" x14ac:dyDescent="0.25">
      <c r="A254" t="s">
        <v>291</v>
      </c>
      <c r="B254" s="1">
        <v>45461</v>
      </c>
      <c r="C254" t="s">
        <v>17</v>
      </c>
      <c r="D254" t="s">
        <v>12</v>
      </c>
      <c r="E254">
        <v>27770</v>
      </c>
      <c r="F254">
        <v>16470</v>
      </c>
      <c r="G254">
        <v>11300</v>
      </c>
      <c r="H254" t="s">
        <v>38</v>
      </c>
      <c r="I254" t="s">
        <v>14</v>
      </c>
      <c r="J254" t="s">
        <v>29</v>
      </c>
    </row>
    <row r="255" spans="1:10" x14ac:dyDescent="0.25">
      <c r="A255" t="s">
        <v>292</v>
      </c>
      <c r="B255" s="1">
        <v>45444</v>
      </c>
      <c r="C255" t="s">
        <v>22</v>
      </c>
      <c r="D255" t="s">
        <v>18</v>
      </c>
      <c r="E255">
        <v>9514</v>
      </c>
      <c r="F255">
        <v>905</v>
      </c>
      <c r="G255">
        <v>8609</v>
      </c>
      <c r="H255" t="s">
        <v>38</v>
      </c>
      <c r="I255" t="s">
        <v>31</v>
      </c>
      <c r="J255" t="s">
        <v>24</v>
      </c>
    </row>
    <row r="256" spans="1:10" x14ac:dyDescent="0.25">
      <c r="A256" t="s">
        <v>293</v>
      </c>
      <c r="B256" s="1">
        <v>45810</v>
      </c>
      <c r="C256" t="s">
        <v>44</v>
      </c>
      <c r="D256" t="s">
        <v>33</v>
      </c>
      <c r="E256">
        <v>32515</v>
      </c>
      <c r="F256">
        <v>21916</v>
      </c>
      <c r="G256">
        <v>10599</v>
      </c>
      <c r="H256" t="s">
        <v>27</v>
      </c>
      <c r="I256" t="s">
        <v>78</v>
      </c>
      <c r="J256" t="s">
        <v>29</v>
      </c>
    </row>
    <row r="257" spans="1:10" x14ac:dyDescent="0.25">
      <c r="A257" t="s">
        <v>294</v>
      </c>
      <c r="B257" s="1">
        <v>45156</v>
      </c>
      <c r="C257" t="s">
        <v>22</v>
      </c>
      <c r="D257" t="s">
        <v>36</v>
      </c>
      <c r="E257">
        <v>16853</v>
      </c>
      <c r="F257">
        <v>13308</v>
      </c>
      <c r="G257">
        <v>3545</v>
      </c>
      <c r="H257" t="s">
        <v>38</v>
      </c>
      <c r="I257" t="s">
        <v>60</v>
      </c>
      <c r="J257" t="s">
        <v>29</v>
      </c>
    </row>
    <row r="258" spans="1:10" x14ac:dyDescent="0.25">
      <c r="A258" t="s">
        <v>295</v>
      </c>
      <c r="B258" s="1">
        <v>45927</v>
      </c>
      <c r="C258" t="s">
        <v>17</v>
      </c>
      <c r="D258" t="s">
        <v>36</v>
      </c>
      <c r="E258">
        <v>27490</v>
      </c>
      <c r="F258">
        <v>25687</v>
      </c>
      <c r="G258">
        <v>1803</v>
      </c>
      <c r="H258" t="s">
        <v>38</v>
      </c>
      <c r="I258" t="s">
        <v>78</v>
      </c>
      <c r="J258" t="s">
        <v>15</v>
      </c>
    </row>
    <row r="259" spans="1:10" x14ac:dyDescent="0.25">
      <c r="A259" t="s">
        <v>296</v>
      </c>
      <c r="B259" s="1">
        <v>45228</v>
      </c>
      <c r="C259" t="s">
        <v>22</v>
      </c>
      <c r="D259" t="s">
        <v>12</v>
      </c>
      <c r="E259">
        <v>14042</v>
      </c>
      <c r="F259">
        <v>5983</v>
      </c>
      <c r="G259">
        <v>8059</v>
      </c>
      <c r="H259" t="s">
        <v>38</v>
      </c>
      <c r="I259" t="s">
        <v>34</v>
      </c>
      <c r="J259" t="s">
        <v>42</v>
      </c>
    </row>
    <row r="260" spans="1:10" x14ac:dyDescent="0.25">
      <c r="A260" t="s">
        <v>297</v>
      </c>
      <c r="B260" s="1">
        <v>45905</v>
      </c>
      <c r="C260" t="s">
        <v>44</v>
      </c>
      <c r="D260" t="s">
        <v>18</v>
      </c>
      <c r="E260">
        <v>14656</v>
      </c>
      <c r="F260">
        <v>1213</v>
      </c>
      <c r="G260">
        <v>13443</v>
      </c>
      <c r="H260" t="s">
        <v>27</v>
      </c>
      <c r="I260" t="s">
        <v>60</v>
      </c>
      <c r="J260" t="s">
        <v>42</v>
      </c>
    </row>
    <row r="261" spans="1:10" x14ac:dyDescent="0.25">
      <c r="A261" t="s">
        <v>298</v>
      </c>
      <c r="B261" s="1">
        <v>45973</v>
      </c>
      <c r="C261" t="s">
        <v>26</v>
      </c>
      <c r="D261" t="s">
        <v>41</v>
      </c>
      <c r="E261">
        <v>32518</v>
      </c>
      <c r="F261">
        <v>23852</v>
      </c>
      <c r="G261">
        <v>8666</v>
      </c>
      <c r="H261" t="s">
        <v>19</v>
      </c>
      <c r="I261" t="s">
        <v>20</v>
      </c>
      <c r="J261" t="s">
        <v>29</v>
      </c>
    </row>
    <row r="262" spans="1:10" x14ac:dyDescent="0.25">
      <c r="A262" t="s">
        <v>299</v>
      </c>
      <c r="B262" s="1">
        <v>45298</v>
      </c>
      <c r="C262" t="s">
        <v>11</v>
      </c>
      <c r="D262" t="s">
        <v>41</v>
      </c>
      <c r="E262">
        <v>24910</v>
      </c>
      <c r="F262">
        <v>6780</v>
      </c>
      <c r="G262">
        <v>18130</v>
      </c>
      <c r="H262" t="s">
        <v>38</v>
      </c>
      <c r="I262" t="s">
        <v>14</v>
      </c>
      <c r="J262" t="s">
        <v>53</v>
      </c>
    </row>
    <row r="263" spans="1:10" x14ac:dyDescent="0.25">
      <c r="A263" t="s">
        <v>300</v>
      </c>
      <c r="B263" s="1">
        <v>45163</v>
      </c>
      <c r="C263" t="s">
        <v>17</v>
      </c>
      <c r="D263" t="s">
        <v>18</v>
      </c>
      <c r="E263">
        <v>41603</v>
      </c>
      <c r="F263">
        <v>36563</v>
      </c>
      <c r="G263">
        <v>5040</v>
      </c>
      <c r="H263" t="s">
        <v>38</v>
      </c>
      <c r="I263" t="s">
        <v>60</v>
      </c>
      <c r="J263" t="s">
        <v>53</v>
      </c>
    </row>
    <row r="264" spans="1:10" x14ac:dyDescent="0.25">
      <c r="A264" t="s">
        <v>301</v>
      </c>
      <c r="B264" s="1">
        <v>46181</v>
      </c>
      <c r="C264" t="s">
        <v>44</v>
      </c>
      <c r="D264" t="s">
        <v>12</v>
      </c>
      <c r="E264">
        <v>15730</v>
      </c>
      <c r="F264">
        <v>14050</v>
      </c>
      <c r="G264">
        <v>1680</v>
      </c>
      <c r="H264" t="s">
        <v>13</v>
      </c>
      <c r="I264" t="s">
        <v>63</v>
      </c>
      <c r="J264" t="s">
        <v>42</v>
      </c>
    </row>
    <row r="265" spans="1:10" x14ac:dyDescent="0.25">
      <c r="A265" t="s">
        <v>302</v>
      </c>
      <c r="B265" s="1">
        <v>45389</v>
      </c>
      <c r="C265" t="s">
        <v>11</v>
      </c>
      <c r="D265" t="s">
        <v>18</v>
      </c>
      <c r="E265">
        <v>48834</v>
      </c>
      <c r="F265">
        <v>44264</v>
      </c>
      <c r="G265">
        <v>4570</v>
      </c>
      <c r="H265" t="s">
        <v>27</v>
      </c>
      <c r="I265" t="s">
        <v>34</v>
      </c>
      <c r="J265" t="s">
        <v>15</v>
      </c>
    </row>
    <row r="266" spans="1:10" x14ac:dyDescent="0.25">
      <c r="A266" t="s">
        <v>303</v>
      </c>
      <c r="B266" s="1">
        <v>45287</v>
      </c>
      <c r="C266" t="s">
        <v>11</v>
      </c>
      <c r="D266" t="s">
        <v>41</v>
      </c>
      <c r="E266">
        <v>13619</v>
      </c>
      <c r="F266">
        <v>12690</v>
      </c>
      <c r="G266">
        <v>929</v>
      </c>
      <c r="H266" t="s">
        <v>13</v>
      </c>
      <c r="I266" t="s">
        <v>60</v>
      </c>
      <c r="J266" t="s">
        <v>42</v>
      </c>
    </row>
    <row r="267" spans="1:10" x14ac:dyDescent="0.25">
      <c r="A267" t="s">
        <v>304</v>
      </c>
      <c r="B267" s="1">
        <v>46081</v>
      </c>
      <c r="C267" t="s">
        <v>44</v>
      </c>
      <c r="D267" t="s">
        <v>18</v>
      </c>
      <c r="E267">
        <v>26734</v>
      </c>
      <c r="F267">
        <v>12201</v>
      </c>
      <c r="G267">
        <v>14533</v>
      </c>
      <c r="H267" t="s">
        <v>38</v>
      </c>
      <c r="I267" t="s">
        <v>63</v>
      </c>
      <c r="J267" t="s">
        <v>24</v>
      </c>
    </row>
    <row r="268" spans="1:10" x14ac:dyDescent="0.25">
      <c r="A268" t="s">
        <v>305</v>
      </c>
      <c r="B268" s="1">
        <v>45584</v>
      </c>
      <c r="C268" t="s">
        <v>11</v>
      </c>
      <c r="D268" t="s">
        <v>33</v>
      </c>
      <c r="E268">
        <v>5078</v>
      </c>
      <c r="F268">
        <v>225</v>
      </c>
      <c r="G268">
        <v>4853</v>
      </c>
      <c r="H268" t="s">
        <v>13</v>
      </c>
      <c r="I268" t="s">
        <v>31</v>
      </c>
      <c r="J268" t="s">
        <v>15</v>
      </c>
    </row>
    <row r="269" spans="1:10" x14ac:dyDescent="0.25">
      <c r="A269" t="s">
        <v>306</v>
      </c>
      <c r="B269" s="1">
        <v>45897</v>
      </c>
      <c r="C269" t="s">
        <v>17</v>
      </c>
      <c r="D269" t="s">
        <v>41</v>
      </c>
      <c r="E269">
        <v>27775</v>
      </c>
      <c r="F269">
        <v>11752</v>
      </c>
      <c r="G269">
        <v>16023</v>
      </c>
      <c r="H269" t="s">
        <v>19</v>
      </c>
      <c r="I269" t="s">
        <v>31</v>
      </c>
      <c r="J269" t="s">
        <v>15</v>
      </c>
    </row>
    <row r="270" spans="1:10" x14ac:dyDescent="0.25">
      <c r="A270" t="s">
        <v>307</v>
      </c>
      <c r="B270" s="1">
        <v>45985</v>
      </c>
      <c r="C270" t="s">
        <v>22</v>
      </c>
      <c r="D270" t="s">
        <v>18</v>
      </c>
      <c r="E270">
        <v>14601</v>
      </c>
      <c r="F270">
        <v>139</v>
      </c>
      <c r="G270">
        <v>14462</v>
      </c>
      <c r="H270" t="s">
        <v>27</v>
      </c>
      <c r="I270" t="s">
        <v>28</v>
      </c>
      <c r="J270" t="s">
        <v>53</v>
      </c>
    </row>
    <row r="271" spans="1:10" x14ac:dyDescent="0.25">
      <c r="A271" t="s">
        <v>308</v>
      </c>
      <c r="B271" s="1">
        <v>45538</v>
      </c>
      <c r="C271" t="s">
        <v>22</v>
      </c>
      <c r="D271" t="s">
        <v>41</v>
      </c>
      <c r="E271">
        <v>13906</v>
      </c>
      <c r="F271">
        <v>5665</v>
      </c>
      <c r="G271">
        <v>8241</v>
      </c>
      <c r="H271" t="s">
        <v>19</v>
      </c>
      <c r="I271" t="s">
        <v>63</v>
      </c>
      <c r="J271" t="s">
        <v>29</v>
      </c>
    </row>
    <row r="272" spans="1:10" x14ac:dyDescent="0.25">
      <c r="A272" t="s">
        <v>309</v>
      </c>
      <c r="B272" s="1">
        <v>45836</v>
      </c>
      <c r="C272" t="s">
        <v>17</v>
      </c>
      <c r="D272" t="s">
        <v>41</v>
      </c>
      <c r="E272">
        <v>15049</v>
      </c>
      <c r="F272">
        <v>8540</v>
      </c>
      <c r="G272">
        <v>6509</v>
      </c>
      <c r="H272" t="s">
        <v>27</v>
      </c>
      <c r="I272" t="s">
        <v>63</v>
      </c>
      <c r="J272" t="s">
        <v>29</v>
      </c>
    </row>
    <row r="273" spans="1:10" x14ac:dyDescent="0.25">
      <c r="A273" t="s">
        <v>310</v>
      </c>
      <c r="B273" s="1">
        <v>46045</v>
      </c>
      <c r="C273" t="s">
        <v>26</v>
      </c>
      <c r="D273" t="s">
        <v>41</v>
      </c>
      <c r="E273">
        <v>9719</v>
      </c>
      <c r="F273">
        <v>1916</v>
      </c>
      <c r="G273">
        <v>7803</v>
      </c>
      <c r="H273" t="s">
        <v>19</v>
      </c>
      <c r="I273" t="s">
        <v>20</v>
      </c>
      <c r="J273" t="s">
        <v>42</v>
      </c>
    </row>
    <row r="274" spans="1:10" x14ac:dyDescent="0.25">
      <c r="A274" t="s">
        <v>311</v>
      </c>
      <c r="B274" s="1">
        <v>45530</v>
      </c>
      <c r="C274" t="s">
        <v>17</v>
      </c>
      <c r="D274" t="s">
        <v>12</v>
      </c>
      <c r="E274">
        <v>47467</v>
      </c>
      <c r="F274">
        <v>34250</v>
      </c>
      <c r="G274">
        <v>13217</v>
      </c>
      <c r="H274" t="s">
        <v>13</v>
      </c>
      <c r="I274" t="s">
        <v>45</v>
      </c>
      <c r="J274" t="s">
        <v>15</v>
      </c>
    </row>
    <row r="275" spans="1:10" x14ac:dyDescent="0.25">
      <c r="A275" t="s">
        <v>312</v>
      </c>
      <c r="B275" s="1">
        <v>45719</v>
      </c>
      <c r="C275" t="s">
        <v>26</v>
      </c>
      <c r="D275" t="s">
        <v>33</v>
      </c>
      <c r="E275">
        <v>16394</v>
      </c>
      <c r="F275">
        <v>10221</v>
      </c>
      <c r="G275">
        <v>6173</v>
      </c>
      <c r="H275" t="s">
        <v>13</v>
      </c>
      <c r="I275" t="s">
        <v>23</v>
      </c>
      <c r="J275" t="s">
        <v>24</v>
      </c>
    </row>
    <row r="276" spans="1:10" x14ac:dyDescent="0.25">
      <c r="A276" t="s">
        <v>313</v>
      </c>
      <c r="B276" s="1">
        <v>46085</v>
      </c>
      <c r="C276" t="s">
        <v>44</v>
      </c>
      <c r="D276" t="s">
        <v>33</v>
      </c>
      <c r="E276">
        <v>19944</v>
      </c>
      <c r="F276">
        <v>8234</v>
      </c>
      <c r="G276">
        <v>11710</v>
      </c>
      <c r="H276" t="s">
        <v>27</v>
      </c>
      <c r="I276" t="s">
        <v>20</v>
      </c>
      <c r="J276" t="s">
        <v>53</v>
      </c>
    </row>
    <row r="277" spans="1:10" x14ac:dyDescent="0.25">
      <c r="A277" t="s">
        <v>314</v>
      </c>
      <c r="B277" s="1">
        <v>46020</v>
      </c>
      <c r="C277" t="s">
        <v>11</v>
      </c>
      <c r="D277" t="s">
        <v>18</v>
      </c>
      <c r="E277">
        <v>23750</v>
      </c>
      <c r="F277">
        <v>5315</v>
      </c>
      <c r="G277">
        <v>18435</v>
      </c>
      <c r="H277" t="s">
        <v>27</v>
      </c>
      <c r="I277" t="s">
        <v>60</v>
      </c>
      <c r="J277" t="s">
        <v>24</v>
      </c>
    </row>
    <row r="278" spans="1:10" x14ac:dyDescent="0.25">
      <c r="A278" t="s">
        <v>315</v>
      </c>
      <c r="B278" s="1">
        <v>45400</v>
      </c>
      <c r="C278" t="s">
        <v>22</v>
      </c>
      <c r="D278" t="s">
        <v>41</v>
      </c>
      <c r="E278">
        <v>25467</v>
      </c>
      <c r="F278">
        <v>15085</v>
      </c>
      <c r="G278">
        <v>10382</v>
      </c>
      <c r="H278" t="s">
        <v>19</v>
      </c>
      <c r="I278" t="s">
        <v>23</v>
      </c>
      <c r="J278" t="s">
        <v>42</v>
      </c>
    </row>
    <row r="279" spans="1:10" x14ac:dyDescent="0.25">
      <c r="A279" t="s">
        <v>316</v>
      </c>
      <c r="B279" s="1">
        <v>46015</v>
      </c>
      <c r="C279" t="s">
        <v>17</v>
      </c>
      <c r="D279" t="s">
        <v>36</v>
      </c>
      <c r="E279">
        <v>38850</v>
      </c>
      <c r="F279">
        <v>31701</v>
      </c>
      <c r="G279">
        <v>7149</v>
      </c>
      <c r="H279" t="s">
        <v>19</v>
      </c>
      <c r="I279" t="s">
        <v>78</v>
      </c>
      <c r="J279" t="s">
        <v>24</v>
      </c>
    </row>
    <row r="280" spans="1:10" x14ac:dyDescent="0.25">
      <c r="A280" t="s">
        <v>317</v>
      </c>
      <c r="B280" s="1">
        <v>45182</v>
      </c>
      <c r="C280" t="s">
        <v>44</v>
      </c>
      <c r="D280" t="s">
        <v>36</v>
      </c>
      <c r="E280">
        <v>30615</v>
      </c>
      <c r="F280">
        <v>23976</v>
      </c>
      <c r="G280">
        <v>6639</v>
      </c>
      <c r="H280" t="s">
        <v>13</v>
      </c>
      <c r="I280" t="s">
        <v>23</v>
      </c>
      <c r="J280" t="s">
        <v>42</v>
      </c>
    </row>
    <row r="281" spans="1:10" x14ac:dyDescent="0.25">
      <c r="A281" t="s">
        <v>318</v>
      </c>
      <c r="B281" s="1">
        <v>46182</v>
      </c>
      <c r="C281" t="s">
        <v>44</v>
      </c>
      <c r="D281" t="s">
        <v>33</v>
      </c>
      <c r="E281">
        <v>5008</v>
      </c>
      <c r="F281">
        <v>492</v>
      </c>
      <c r="G281">
        <v>4516</v>
      </c>
      <c r="H281" t="s">
        <v>27</v>
      </c>
      <c r="I281" t="s">
        <v>31</v>
      </c>
      <c r="J281" t="s">
        <v>29</v>
      </c>
    </row>
    <row r="282" spans="1:10" x14ac:dyDescent="0.25">
      <c r="A282" t="s">
        <v>319</v>
      </c>
      <c r="B282" s="1">
        <v>46190</v>
      </c>
      <c r="C282" t="s">
        <v>17</v>
      </c>
      <c r="D282" t="s">
        <v>36</v>
      </c>
      <c r="E282">
        <v>13437</v>
      </c>
      <c r="F282">
        <v>2780</v>
      </c>
      <c r="G282">
        <v>10657</v>
      </c>
      <c r="H282" t="s">
        <v>13</v>
      </c>
      <c r="I282" t="s">
        <v>34</v>
      </c>
      <c r="J282" t="s">
        <v>15</v>
      </c>
    </row>
    <row r="283" spans="1:10" x14ac:dyDescent="0.25">
      <c r="A283" t="s">
        <v>320</v>
      </c>
      <c r="B283" s="1">
        <v>45749</v>
      </c>
      <c r="C283" t="s">
        <v>17</v>
      </c>
      <c r="D283" t="s">
        <v>33</v>
      </c>
      <c r="E283">
        <v>7959</v>
      </c>
      <c r="F283">
        <v>1111</v>
      </c>
      <c r="G283">
        <v>6848</v>
      </c>
      <c r="H283" t="s">
        <v>27</v>
      </c>
      <c r="I283" t="s">
        <v>63</v>
      </c>
      <c r="J283" t="s">
        <v>29</v>
      </c>
    </row>
    <row r="284" spans="1:10" x14ac:dyDescent="0.25">
      <c r="A284" t="s">
        <v>321</v>
      </c>
      <c r="B284" s="1">
        <v>45615</v>
      </c>
      <c r="C284" t="s">
        <v>17</v>
      </c>
      <c r="D284" t="s">
        <v>33</v>
      </c>
      <c r="E284">
        <v>27400</v>
      </c>
      <c r="F284">
        <v>11689</v>
      </c>
      <c r="G284">
        <v>15711</v>
      </c>
      <c r="H284" t="s">
        <v>19</v>
      </c>
      <c r="I284" t="s">
        <v>78</v>
      </c>
      <c r="J284" t="s">
        <v>24</v>
      </c>
    </row>
    <row r="285" spans="1:10" x14ac:dyDescent="0.25">
      <c r="A285" t="s">
        <v>322</v>
      </c>
      <c r="B285" s="1">
        <v>45365</v>
      </c>
      <c r="C285" t="s">
        <v>44</v>
      </c>
      <c r="D285" t="s">
        <v>12</v>
      </c>
      <c r="E285">
        <v>13725</v>
      </c>
      <c r="F285">
        <v>2461</v>
      </c>
      <c r="G285">
        <v>11264</v>
      </c>
      <c r="H285" t="s">
        <v>27</v>
      </c>
      <c r="I285" t="s">
        <v>28</v>
      </c>
      <c r="J285" t="s">
        <v>15</v>
      </c>
    </row>
    <row r="286" spans="1:10" x14ac:dyDescent="0.25">
      <c r="A286" t="s">
        <v>323</v>
      </c>
      <c r="B286" s="1">
        <v>46001</v>
      </c>
      <c r="C286" t="s">
        <v>17</v>
      </c>
      <c r="D286" t="s">
        <v>18</v>
      </c>
      <c r="E286">
        <v>12796</v>
      </c>
      <c r="F286">
        <v>10490</v>
      </c>
      <c r="G286">
        <v>2306</v>
      </c>
      <c r="H286" t="s">
        <v>13</v>
      </c>
      <c r="I286" t="s">
        <v>31</v>
      </c>
      <c r="J286" t="s">
        <v>24</v>
      </c>
    </row>
    <row r="287" spans="1:10" x14ac:dyDescent="0.25">
      <c r="A287" t="s">
        <v>324</v>
      </c>
      <c r="B287" s="1">
        <v>45475</v>
      </c>
      <c r="C287" t="s">
        <v>17</v>
      </c>
      <c r="D287" t="s">
        <v>33</v>
      </c>
      <c r="E287">
        <v>39346</v>
      </c>
      <c r="F287">
        <v>20947</v>
      </c>
      <c r="G287">
        <v>18399</v>
      </c>
      <c r="H287" t="s">
        <v>13</v>
      </c>
      <c r="I287" t="s">
        <v>45</v>
      </c>
      <c r="J287" t="s">
        <v>24</v>
      </c>
    </row>
    <row r="288" spans="1:10" x14ac:dyDescent="0.25">
      <c r="A288" t="s">
        <v>325</v>
      </c>
      <c r="B288" s="1">
        <v>45978</v>
      </c>
      <c r="C288" t="s">
        <v>44</v>
      </c>
      <c r="D288" t="s">
        <v>12</v>
      </c>
      <c r="E288">
        <v>33936</v>
      </c>
      <c r="F288">
        <v>22126</v>
      </c>
      <c r="G288">
        <v>11810</v>
      </c>
      <c r="H288" t="s">
        <v>19</v>
      </c>
      <c r="I288" t="s">
        <v>34</v>
      </c>
      <c r="J288" t="s">
        <v>15</v>
      </c>
    </row>
    <row r="289" spans="1:10" x14ac:dyDescent="0.25">
      <c r="A289" t="s">
        <v>326</v>
      </c>
      <c r="B289" s="1">
        <v>45504</v>
      </c>
      <c r="C289" t="s">
        <v>17</v>
      </c>
      <c r="D289" t="s">
        <v>36</v>
      </c>
      <c r="E289">
        <v>26479</v>
      </c>
      <c r="F289">
        <v>13677</v>
      </c>
      <c r="G289">
        <v>12802</v>
      </c>
      <c r="H289" t="s">
        <v>19</v>
      </c>
      <c r="I289" t="s">
        <v>28</v>
      </c>
      <c r="J289" t="s">
        <v>24</v>
      </c>
    </row>
    <row r="290" spans="1:10" x14ac:dyDescent="0.25">
      <c r="A290" t="s">
        <v>327</v>
      </c>
      <c r="B290" s="1">
        <v>45209</v>
      </c>
      <c r="C290" t="s">
        <v>26</v>
      </c>
      <c r="D290" t="s">
        <v>33</v>
      </c>
      <c r="E290">
        <v>39753</v>
      </c>
      <c r="F290">
        <v>20975</v>
      </c>
      <c r="G290">
        <v>18778</v>
      </c>
      <c r="H290" t="s">
        <v>38</v>
      </c>
      <c r="I290" t="s">
        <v>34</v>
      </c>
      <c r="J290" t="s">
        <v>53</v>
      </c>
    </row>
    <row r="291" spans="1:10" x14ac:dyDescent="0.25">
      <c r="A291" t="s">
        <v>328</v>
      </c>
      <c r="B291" s="1">
        <v>45245</v>
      </c>
      <c r="C291" t="s">
        <v>11</v>
      </c>
      <c r="D291" t="s">
        <v>36</v>
      </c>
      <c r="E291">
        <v>20579</v>
      </c>
      <c r="F291">
        <v>10375</v>
      </c>
      <c r="G291">
        <v>10204</v>
      </c>
      <c r="H291" t="s">
        <v>38</v>
      </c>
      <c r="I291" t="s">
        <v>34</v>
      </c>
      <c r="J291" t="s">
        <v>42</v>
      </c>
    </row>
    <row r="292" spans="1:10" x14ac:dyDescent="0.25">
      <c r="A292" t="s">
        <v>329</v>
      </c>
      <c r="B292" s="1">
        <v>45960</v>
      </c>
      <c r="C292" t="s">
        <v>26</v>
      </c>
      <c r="D292" t="s">
        <v>41</v>
      </c>
      <c r="E292">
        <v>34396</v>
      </c>
      <c r="F292">
        <v>17089</v>
      </c>
      <c r="G292">
        <v>17307</v>
      </c>
      <c r="H292" t="s">
        <v>27</v>
      </c>
      <c r="I292" t="s">
        <v>60</v>
      </c>
      <c r="J292" t="s">
        <v>29</v>
      </c>
    </row>
    <row r="293" spans="1:10" x14ac:dyDescent="0.25">
      <c r="A293" t="s">
        <v>330</v>
      </c>
      <c r="B293" s="1">
        <v>45719</v>
      </c>
      <c r="C293" t="s">
        <v>44</v>
      </c>
      <c r="D293" t="s">
        <v>33</v>
      </c>
      <c r="E293">
        <v>38611</v>
      </c>
      <c r="F293">
        <v>36626</v>
      </c>
      <c r="G293">
        <v>1985</v>
      </c>
      <c r="H293" t="s">
        <v>27</v>
      </c>
      <c r="I293" t="s">
        <v>60</v>
      </c>
      <c r="J293" t="s">
        <v>29</v>
      </c>
    </row>
    <row r="294" spans="1:10" x14ac:dyDescent="0.25">
      <c r="A294" t="s">
        <v>331</v>
      </c>
      <c r="B294" s="1">
        <v>46110</v>
      </c>
      <c r="C294" t="s">
        <v>17</v>
      </c>
      <c r="D294" t="s">
        <v>36</v>
      </c>
      <c r="E294">
        <v>23399</v>
      </c>
      <c r="F294">
        <v>8889</v>
      </c>
      <c r="G294">
        <v>14510</v>
      </c>
      <c r="H294" t="s">
        <v>38</v>
      </c>
      <c r="I294" t="s">
        <v>34</v>
      </c>
      <c r="J294" t="s">
        <v>29</v>
      </c>
    </row>
    <row r="295" spans="1:10" x14ac:dyDescent="0.25">
      <c r="A295" t="s">
        <v>332</v>
      </c>
      <c r="B295" s="1">
        <v>45629</v>
      </c>
      <c r="C295" t="s">
        <v>11</v>
      </c>
      <c r="D295" t="s">
        <v>36</v>
      </c>
      <c r="E295">
        <v>7478</v>
      </c>
      <c r="F295">
        <v>4244</v>
      </c>
      <c r="G295">
        <v>3234</v>
      </c>
      <c r="H295" t="s">
        <v>38</v>
      </c>
      <c r="I295" t="s">
        <v>14</v>
      </c>
      <c r="J295" t="s">
        <v>53</v>
      </c>
    </row>
    <row r="296" spans="1:10" x14ac:dyDescent="0.25">
      <c r="A296" t="s">
        <v>333</v>
      </c>
      <c r="B296" s="1">
        <v>45204</v>
      </c>
      <c r="C296" t="s">
        <v>44</v>
      </c>
      <c r="D296" t="s">
        <v>18</v>
      </c>
      <c r="E296">
        <v>34245</v>
      </c>
      <c r="F296">
        <v>19290</v>
      </c>
      <c r="G296">
        <v>14955</v>
      </c>
      <c r="H296" t="s">
        <v>27</v>
      </c>
      <c r="I296" t="s">
        <v>23</v>
      </c>
      <c r="J296" t="s">
        <v>24</v>
      </c>
    </row>
    <row r="297" spans="1:10" x14ac:dyDescent="0.25">
      <c r="A297" t="s">
        <v>334</v>
      </c>
      <c r="B297" s="1">
        <v>45753</v>
      </c>
      <c r="C297" t="s">
        <v>44</v>
      </c>
      <c r="D297" t="s">
        <v>41</v>
      </c>
      <c r="E297">
        <v>34870</v>
      </c>
      <c r="F297">
        <v>20232</v>
      </c>
      <c r="G297">
        <v>14638</v>
      </c>
      <c r="H297" t="s">
        <v>13</v>
      </c>
      <c r="I297" t="s">
        <v>23</v>
      </c>
      <c r="J297" t="s">
        <v>24</v>
      </c>
    </row>
    <row r="298" spans="1:10" x14ac:dyDescent="0.25">
      <c r="A298" t="s">
        <v>335</v>
      </c>
      <c r="B298" s="1">
        <v>45150</v>
      </c>
      <c r="C298" t="s">
        <v>11</v>
      </c>
      <c r="D298" t="s">
        <v>12</v>
      </c>
      <c r="E298">
        <v>42545</v>
      </c>
      <c r="F298">
        <v>28895</v>
      </c>
      <c r="G298">
        <v>13650</v>
      </c>
      <c r="H298" t="s">
        <v>19</v>
      </c>
      <c r="I298" t="s">
        <v>31</v>
      </c>
      <c r="J298" t="s">
        <v>29</v>
      </c>
    </row>
    <row r="299" spans="1:10" x14ac:dyDescent="0.25">
      <c r="A299" t="s">
        <v>336</v>
      </c>
      <c r="B299" s="1">
        <v>45151</v>
      </c>
      <c r="C299" t="s">
        <v>17</v>
      </c>
      <c r="D299" t="s">
        <v>36</v>
      </c>
      <c r="E299">
        <v>5903</v>
      </c>
      <c r="F299">
        <v>5069</v>
      </c>
      <c r="G299">
        <v>834</v>
      </c>
      <c r="H299" t="s">
        <v>19</v>
      </c>
      <c r="I299" t="s">
        <v>45</v>
      </c>
      <c r="J299" t="s">
        <v>42</v>
      </c>
    </row>
    <row r="300" spans="1:10" x14ac:dyDescent="0.25">
      <c r="A300" t="s">
        <v>337</v>
      </c>
      <c r="B300" s="1">
        <v>45851</v>
      </c>
      <c r="C300" t="s">
        <v>26</v>
      </c>
      <c r="D300" t="s">
        <v>18</v>
      </c>
      <c r="E300">
        <v>48096</v>
      </c>
      <c r="F300">
        <v>45936</v>
      </c>
      <c r="G300">
        <v>2160</v>
      </c>
      <c r="H300" t="s">
        <v>13</v>
      </c>
      <c r="I300" t="s">
        <v>34</v>
      </c>
      <c r="J300" t="s">
        <v>24</v>
      </c>
    </row>
    <row r="301" spans="1:10" x14ac:dyDescent="0.25">
      <c r="A301" t="s">
        <v>338</v>
      </c>
      <c r="B301" s="1">
        <v>45996</v>
      </c>
      <c r="C301" t="s">
        <v>22</v>
      </c>
      <c r="D301" t="s">
        <v>18</v>
      </c>
      <c r="E301">
        <v>32568</v>
      </c>
      <c r="F301">
        <v>13332</v>
      </c>
      <c r="G301">
        <v>19236</v>
      </c>
      <c r="H301" t="s">
        <v>13</v>
      </c>
      <c r="I301" t="s">
        <v>34</v>
      </c>
      <c r="J301" t="s">
        <v>15</v>
      </c>
    </row>
    <row r="302" spans="1:10" x14ac:dyDescent="0.25">
      <c r="A302" t="s">
        <v>339</v>
      </c>
      <c r="B302" s="1">
        <v>45671</v>
      </c>
      <c r="C302" t="s">
        <v>22</v>
      </c>
      <c r="D302" t="s">
        <v>36</v>
      </c>
      <c r="E302">
        <v>33166</v>
      </c>
      <c r="F302">
        <v>24753</v>
      </c>
      <c r="G302">
        <v>8413</v>
      </c>
      <c r="H302" t="s">
        <v>38</v>
      </c>
      <c r="I302" t="s">
        <v>20</v>
      </c>
      <c r="J302" t="s">
        <v>42</v>
      </c>
    </row>
    <row r="303" spans="1:10" x14ac:dyDescent="0.25">
      <c r="A303" t="s">
        <v>340</v>
      </c>
      <c r="B303" s="1">
        <v>45458</v>
      </c>
      <c r="C303" t="s">
        <v>22</v>
      </c>
      <c r="D303" t="s">
        <v>12</v>
      </c>
      <c r="E303">
        <v>35382</v>
      </c>
      <c r="F303">
        <v>24909</v>
      </c>
      <c r="G303">
        <v>10473</v>
      </c>
      <c r="H303" t="s">
        <v>13</v>
      </c>
      <c r="I303" t="s">
        <v>63</v>
      </c>
      <c r="J303" t="s">
        <v>53</v>
      </c>
    </row>
    <row r="304" spans="1:10" x14ac:dyDescent="0.25">
      <c r="A304" t="s">
        <v>341</v>
      </c>
      <c r="B304" s="1">
        <v>45521</v>
      </c>
      <c r="C304" t="s">
        <v>17</v>
      </c>
      <c r="D304" t="s">
        <v>33</v>
      </c>
      <c r="E304">
        <v>35965</v>
      </c>
      <c r="F304">
        <v>33205</v>
      </c>
      <c r="G304">
        <v>2760</v>
      </c>
      <c r="H304" t="s">
        <v>13</v>
      </c>
      <c r="I304" t="s">
        <v>63</v>
      </c>
      <c r="J304" t="s">
        <v>29</v>
      </c>
    </row>
    <row r="305" spans="1:10" x14ac:dyDescent="0.25">
      <c r="A305" t="s">
        <v>342</v>
      </c>
      <c r="B305" s="1">
        <v>45755</v>
      </c>
      <c r="C305" t="s">
        <v>22</v>
      </c>
      <c r="D305" t="s">
        <v>33</v>
      </c>
      <c r="E305">
        <v>45412</v>
      </c>
      <c r="F305">
        <v>39847</v>
      </c>
      <c r="G305">
        <v>5565</v>
      </c>
      <c r="H305" t="s">
        <v>38</v>
      </c>
      <c r="I305" t="s">
        <v>63</v>
      </c>
      <c r="J305" t="s">
        <v>15</v>
      </c>
    </row>
    <row r="306" spans="1:10" x14ac:dyDescent="0.25">
      <c r="A306" t="s">
        <v>343</v>
      </c>
      <c r="B306" s="1">
        <v>45525</v>
      </c>
      <c r="C306" t="s">
        <v>17</v>
      </c>
      <c r="D306" t="s">
        <v>41</v>
      </c>
      <c r="E306">
        <v>18189</v>
      </c>
      <c r="F306">
        <v>8015</v>
      </c>
      <c r="G306">
        <v>10174</v>
      </c>
      <c r="H306" t="s">
        <v>38</v>
      </c>
      <c r="I306" t="s">
        <v>60</v>
      </c>
      <c r="J306" t="s">
        <v>15</v>
      </c>
    </row>
    <row r="307" spans="1:10" x14ac:dyDescent="0.25">
      <c r="A307" t="s">
        <v>344</v>
      </c>
      <c r="B307" s="1">
        <v>45408</v>
      </c>
      <c r="C307" t="s">
        <v>11</v>
      </c>
      <c r="D307" t="s">
        <v>12</v>
      </c>
      <c r="E307">
        <v>23811</v>
      </c>
      <c r="F307">
        <v>12891</v>
      </c>
      <c r="G307">
        <v>10920</v>
      </c>
      <c r="H307" t="s">
        <v>27</v>
      </c>
      <c r="I307" t="s">
        <v>20</v>
      </c>
      <c r="J307" t="s">
        <v>29</v>
      </c>
    </row>
    <row r="308" spans="1:10" x14ac:dyDescent="0.25">
      <c r="A308" t="s">
        <v>345</v>
      </c>
      <c r="B308" s="1">
        <v>46069</v>
      </c>
      <c r="C308" t="s">
        <v>11</v>
      </c>
      <c r="D308" t="s">
        <v>12</v>
      </c>
      <c r="E308">
        <v>38234</v>
      </c>
      <c r="F308">
        <v>33290</v>
      </c>
      <c r="G308">
        <v>4944</v>
      </c>
      <c r="H308" t="s">
        <v>38</v>
      </c>
      <c r="I308" t="s">
        <v>63</v>
      </c>
      <c r="J308" t="s">
        <v>53</v>
      </c>
    </row>
    <row r="309" spans="1:10" x14ac:dyDescent="0.25">
      <c r="A309" t="s">
        <v>346</v>
      </c>
      <c r="B309" s="1">
        <v>45220</v>
      </c>
      <c r="C309" t="s">
        <v>11</v>
      </c>
      <c r="D309" t="s">
        <v>18</v>
      </c>
      <c r="E309">
        <v>21003</v>
      </c>
      <c r="F309">
        <v>15961</v>
      </c>
      <c r="G309">
        <v>5042</v>
      </c>
      <c r="H309" t="s">
        <v>27</v>
      </c>
      <c r="I309" t="s">
        <v>78</v>
      </c>
      <c r="J309" t="s">
        <v>42</v>
      </c>
    </row>
    <row r="310" spans="1:10" x14ac:dyDescent="0.25">
      <c r="A310" t="s">
        <v>347</v>
      </c>
      <c r="B310" s="1">
        <v>45285</v>
      </c>
      <c r="C310" t="s">
        <v>17</v>
      </c>
      <c r="D310" t="s">
        <v>18</v>
      </c>
      <c r="E310">
        <v>28941</v>
      </c>
      <c r="F310">
        <v>11366</v>
      </c>
      <c r="G310">
        <v>17575</v>
      </c>
      <c r="H310" t="s">
        <v>38</v>
      </c>
      <c r="I310" t="s">
        <v>60</v>
      </c>
      <c r="J310" t="s">
        <v>15</v>
      </c>
    </row>
    <row r="311" spans="1:10" x14ac:dyDescent="0.25">
      <c r="A311" t="s">
        <v>348</v>
      </c>
      <c r="B311" s="1">
        <v>45420</v>
      </c>
      <c r="C311" t="s">
        <v>17</v>
      </c>
      <c r="D311" t="s">
        <v>36</v>
      </c>
      <c r="E311">
        <v>47044</v>
      </c>
      <c r="F311">
        <v>40596</v>
      </c>
      <c r="G311">
        <v>6448</v>
      </c>
      <c r="H311" t="s">
        <v>13</v>
      </c>
      <c r="I311" t="s">
        <v>60</v>
      </c>
      <c r="J311" t="s">
        <v>29</v>
      </c>
    </row>
    <row r="312" spans="1:10" x14ac:dyDescent="0.25">
      <c r="A312" t="s">
        <v>349</v>
      </c>
      <c r="B312" s="1">
        <v>45438</v>
      </c>
      <c r="C312" t="s">
        <v>17</v>
      </c>
      <c r="D312" t="s">
        <v>33</v>
      </c>
      <c r="E312">
        <v>16039</v>
      </c>
      <c r="F312">
        <v>6460</v>
      </c>
      <c r="G312">
        <v>9579</v>
      </c>
      <c r="H312" t="s">
        <v>19</v>
      </c>
      <c r="I312" t="s">
        <v>31</v>
      </c>
      <c r="J312" t="s">
        <v>42</v>
      </c>
    </row>
    <row r="313" spans="1:10" x14ac:dyDescent="0.25">
      <c r="A313" t="s">
        <v>350</v>
      </c>
      <c r="B313" s="1">
        <v>45841</v>
      </c>
      <c r="C313" t="s">
        <v>17</v>
      </c>
      <c r="D313" t="s">
        <v>12</v>
      </c>
      <c r="E313">
        <v>9812</v>
      </c>
      <c r="F313">
        <v>663</v>
      </c>
      <c r="G313">
        <v>9149</v>
      </c>
      <c r="H313" t="s">
        <v>19</v>
      </c>
      <c r="I313" t="s">
        <v>31</v>
      </c>
      <c r="J313" t="s">
        <v>15</v>
      </c>
    </row>
    <row r="314" spans="1:10" x14ac:dyDescent="0.25">
      <c r="A314" t="s">
        <v>351</v>
      </c>
      <c r="B314" s="1">
        <v>45792</v>
      </c>
      <c r="C314" t="s">
        <v>17</v>
      </c>
      <c r="D314" t="s">
        <v>36</v>
      </c>
      <c r="E314">
        <v>38876</v>
      </c>
      <c r="F314">
        <v>36649</v>
      </c>
      <c r="G314">
        <v>2227</v>
      </c>
      <c r="H314" t="s">
        <v>19</v>
      </c>
      <c r="I314" t="s">
        <v>20</v>
      </c>
      <c r="J314" t="s">
        <v>53</v>
      </c>
    </row>
    <row r="315" spans="1:10" x14ac:dyDescent="0.25">
      <c r="A315" t="s">
        <v>352</v>
      </c>
      <c r="B315" s="1">
        <v>45134</v>
      </c>
      <c r="C315" t="s">
        <v>17</v>
      </c>
      <c r="D315" t="s">
        <v>36</v>
      </c>
      <c r="E315">
        <v>16405</v>
      </c>
      <c r="F315">
        <v>15161</v>
      </c>
      <c r="G315">
        <v>1244</v>
      </c>
      <c r="H315" t="s">
        <v>27</v>
      </c>
      <c r="I315" t="s">
        <v>45</v>
      </c>
      <c r="J315" t="s">
        <v>42</v>
      </c>
    </row>
    <row r="316" spans="1:10" x14ac:dyDescent="0.25">
      <c r="A316" t="s">
        <v>353</v>
      </c>
      <c r="B316" s="1">
        <v>45151</v>
      </c>
      <c r="C316" t="s">
        <v>11</v>
      </c>
      <c r="D316" t="s">
        <v>33</v>
      </c>
      <c r="E316">
        <v>25749</v>
      </c>
      <c r="F316">
        <v>17074</v>
      </c>
      <c r="G316">
        <v>8675</v>
      </c>
      <c r="H316" t="s">
        <v>13</v>
      </c>
      <c r="I316" t="s">
        <v>63</v>
      </c>
      <c r="J316" t="s">
        <v>42</v>
      </c>
    </row>
    <row r="317" spans="1:10" x14ac:dyDescent="0.25">
      <c r="A317" t="s">
        <v>354</v>
      </c>
      <c r="B317" s="1">
        <v>45528</v>
      </c>
      <c r="C317" t="s">
        <v>44</v>
      </c>
      <c r="D317" t="s">
        <v>33</v>
      </c>
      <c r="E317">
        <v>36669</v>
      </c>
      <c r="F317">
        <v>26186</v>
      </c>
      <c r="G317">
        <v>10483</v>
      </c>
      <c r="H317" t="s">
        <v>38</v>
      </c>
      <c r="I317" t="s">
        <v>31</v>
      </c>
      <c r="J317" t="s">
        <v>24</v>
      </c>
    </row>
    <row r="318" spans="1:10" x14ac:dyDescent="0.25">
      <c r="A318" t="s">
        <v>355</v>
      </c>
      <c r="B318" s="1">
        <v>45183</v>
      </c>
      <c r="C318" t="s">
        <v>26</v>
      </c>
      <c r="D318" t="s">
        <v>18</v>
      </c>
      <c r="E318">
        <v>7866</v>
      </c>
      <c r="F318">
        <v>5532</v>
      </c>
      <c r="G318">
        <v>2334</v>
      </c>
      <c r="H318" t="s">
        <v>13</v>
      </c>
      <c r="I318" t="s">
        <v>14</v>
      </c>
      <c r="J318" t="s">
        <v>29</v>
      </c>
    </row>
    <row r="319" spans="1:10" x14ac:dyDescent="0.25">
      <c r="A319" t="s">
        <v>356</v>
      </c>
      <c r="B319" s="1">
        <v>46020</v>
      </c>
      <c r="C319" t="s">
        <v>17</v>
      </c>
      <c r="D319" t="s">
        <v>33</v>
      </c>
      <c r="E319">
        <v>30772</v>
      </c>
      <c r="F319">
        <v>24098</v>
      </c>
      <c r="G319">
        <v>6674</v>
      </c>
      <c r="H319" t="s">
        <v>27</v>
      </c>
      <c r="I319" t="s">
        <v>31</v>
      </c>
      <c r="J319" t="s">
        <v>29</v>
      </c>
    </row>
    <row r="320" spans="1:10" x14ac:dyDescent="0.25">
      <c r="A320" t="s">
        <v>357</v>
      </c>
      <c r="B320" s="1">
        <v>45244</v>
      </c>
      <c r="C320" t="s">
        <v>17</v>
      </c>
      <c r="D320" t="s">
        <v>12</v>
      </c>
      <c r="E320">
        <v>38929</v>
      </c>
      <c r="F320">
        <v>38149</v>
      </c>
      <c r="G320">
        <v>780</v>
      </c>
      <c r="H320" t="s">
        <v>19</v>
      </c>
      <c r="I320" t="s">
        <v>63</v>
      </c>
      <c r="J320" t="s">
        <v>15</v>
      </c>
    </row>
    <row r="321" spans="1:10" x14ac:dyDescent="0.25">
      <c r="A321" t="s">
        <v>358</v>
      </c>
      <c r="B321" s="1">
        <v>45734</v>
      </c>
      <c r="C321" t="s">
        <v>22</v>
      </c>
      <c r="D321" t="s">
        <v>18</v>
      </c>
      <c r="E321">
        <v>35474</v>
      </c>
      <c r="F321">
        <v>34077</v>
      </c>
      <c r="G321">
        <v>1397</v>
      </c>
      <c r="H321" t="s">
        <v>27</v>
      </c>
      <c r="I321" t="s">
        <v>34</v>
      </c>
      <c r="J321" t="s">
        <v>15</v>
      </c>
    </row>
    <row r="322" spans="1:10" x14ac:dyDescent="0.25">
      <c r="A322" t="s">
        <v>359</v>
      </c>
      <c r="B322" s="1">
        <v>45670</v>
      </c>
      <c r="C322" t="s">
        <v>22</v>
      </c>
      <c r="D322" t="s">
        <v>41</v>
      </c>
      <c r="E322">
        <v>11941</v>
      </c>
      <c r="F322">
        <v>7380</v>
      </c>
      <c r="G322">
        <v>4561</v>
      </c>
      <c r="H322" t="s">
        <v>13</v>
      </c>
      <c r="I322" t="s">
        <v>78</v>
      </c>
      <c r="J322" t="s">
        <v>29</v>
      </c>
    </row>
    <row r="323" spans="1:10" x14ac:dyDescent="0.25">
      <c r="A323" t="s">
        <v>360</v>
      </c>
      <c r="B323" s="1">
        <v>45514</v>
      </c>
      <c r="C323" t="s">
        <v>17</v>
      </c>
      <c r="D323" t="s">
        <v>33</v>
      </c>
      <c r="E323">
        <v>17139</v>
      </c>
      <c r="F323">
        <v>917</v>
      </c>
      <c r="G323">
        <v>16222</v>
      </c>
      <c r="H323" t="s">
        <v>27</v>
      </c>
      <c r="I323" t="s">
        <v>63</v>
      </c>
      <c r="J323" t="s">
        <v>29</v>
      </c>
    </row>
    <row r="324" spans="1:10" x14ac:dyDescent="0.25">
      <c r="A324" t="s">
        <v>361</v>
      </c>
      <c r="B324" s="1">
        <v>46048</v>
      </c>
      <c r="C324" t="s">
        <v>22</v>
      </c>
      <c r="D324" t="s">
        <v>12</v>
      </c>
      <c r="E324">
        <v>24863</v>
      </c>
      <c r="F324">
        <v>10287</v>
      </c>
      <c r="G324">
        <v>14576</v>
      </c>
      <c r="H324" t="s">
        <v>38</v>
      </c>
      <c r="I324" t="s">
        <v>45</v>
      </c>
      <c r="J324" t="s">
        <v>24</v>
      </c>
    </row>
    <row r="325" spans="1:10" x14ac:dyDescent="0.25">
      <c r="A325" t="s">
        <v>362</v>
      </c>
      <c r="B325" s="1">
        <v>45739</v>
      </c>
      <c r="C325" t="s">
        <v>17</v>
      </c>
      <c r="D325" t="s">
        <v>18</v>
      </c>
      <c r="E325">
        <v>5616</v>
      </c>
      <c r="F325">
        <v>4503</v>
      </c>
      <c r="G325">
        <v>1113</v>
      </c>
      <c r="H325" t="s">
        <v>19</v>
      </c>
      <c r="I325" t="s">
        <v>63</v>
      </c>
      <c r="J325" t="s">
        <v>42</v>
      </c>
    </row>
    <row r="326" spans="1:10" x14ac:dyDescent="0.25">
      <c r="A326" t="s">
        <v>363</v>
      </c>
      <c r="B326" s="1">
        <v>45900</v>
      </c>
      <c r="C326" t="s">
        <v>44</v>
      </c>
      <c r="D326" t="s">
        <v>18</v>
      </c>
      <c r="E326">
        <v>11220</v>
      </c>
      <c r="F326">
        <v>6887</v>
      </c>
      <c r="G326">
        <v>4333</v>
      </c>
      <c r="H326" t="s">
        <v>13</v>
      </c>
      <c r="I326" t="s">
        <v>63</v>
      </c>
      <c r="J326" t="s">
        <v>42</v>
      </c>
    </row>
    <row r="327" spans="1:10" x14ac:dyDescent="0.25">
      <c r="A327" t="s">
        <v>364</v>
      </c>
      <c r="B327" s="1">
        <v>45840</v>
      </c>
      <c r="C327" t="s">
        <v>11</v>
      </c>
      <c r="D327" t="s">
        <v>41</v>
      </c>
      <c r="E327">
        <v>41478</v>
      </c>
      <c r="F327">
        <v>38701</v>
      </c>
      <c r="G327">
        <v>2777</v>
      </c>
      <c r="H327" t="s">
        <v>13</v>
      </c>
      <c r="I327" t="s">
        <v>23</v>
      </c>
      <c r="J327" t="s">
        <v>24</v>
      </c>
    </row>
    <row r="328" spans="1:10" x14ac:dyDescent="0.25">
      <c r="A328" t="s">
        <v>365</v>
      </c>
      <c r="B328" s="1">
        <v>45121</v>
      </c>
      <c r="C328" t="s">
        <v>22</v>
      </c>
      <c r="D328" t="s">
        <v>12</v>
      </c>
      <c r="E328">
        <v>6655</v>
      </c>
      <c r="F328">
        <v>1230</v>
      </c>
      <c r="G328">
        <v>5425</v>
      </c>
      <c r="H328" t="s">
        <v>38</v>
      </c>
      <c r="I328" t="s">
        <v>45</v>
      </c>
      <c r="J328" t="s">
        <v>15</v>
      </c>
    </row>
    <row r="329" spans="1:10" x14ac:dyDescent="0.25">
      <c r="A329" t="s">
        <v>366</v>
      </c>
      <c r="B329" s="1">
        <v>46072</v>
      </c>
      <c r="C329" t="s">
        <v>26</v>
      </c>
      <c r="D329" t="s">
        <v>33</v>
      </c>
      <c r="E329">
        <v>9521</v>
      </c>
      <c r="F329">
        <v>8216</v>
      </c>
      <c r="G329">
        <v>1305</v>
      </c>
      <c r="H329" t="s">
        <v>13</v>
      </c>
      <c r="I329" t="s">
        <v>34</v>
      </c>
      <c r="J329" t="s">
        <v>53</v>
      </c>
    </row>
    <row r="330" spans="1:10" x14ac:dyDescent="0.25">
      <c r="A330" t="s">
        <v>367</v>
      </c>
      <c r="B330" s="1">
        <v>45501</v>
      </c>
      <c r="C330" t="s">
        <v>17</v>
      </c>
      <c r="D330" t="s">
        <v>18</v>
      </c>
      <c r="E330">
        <v>12621</v>
      </c>
      <c r="F330">
        <v>6953</v>
      </c>
      <c r="G330">
        <v>5668</v>
      </c>
      <c r="H330" t="s">
        <v>27</v>
      </c>
      <c r="I330" t="s">
        <v>63</v>
      </c>
      <c r="J330" t="s">
        <v>53</v>
      </c>
    </row>
    <row r="331" spans="1:10" x14ac:dyDescent="0.25">
      <c r="A331" t="s">
        <v>368</v>
      </c>
      <c r="B331" s="1">
        <v>45472</v>
      </c>
      <c r="C331" t="s">
        <v>22</v>
      </c>
      <c r="D331" t="s">
        <v>36</v>
      </c>
      <c r="E331">
        <v>34587</v>
      </c>
      <c r="F331">
        <v>31056</v>
      </c>
      <c r="G331">
        <v>3531</v>
      </c>
      <c r="H331" t="s">
        <v>13</v>
      </c>
      <c r="I331" t="s">
        <v>14</v>
      </c>
      <c r="J331" t="s">
        <v>42</v>
      </c>
    </row>
    <row r="332" spans="1:10" x14ac:dyDescent="0.25">
      <c r="A332" t="s">
        <v>369</v>
      </c>
      <c r="B332" s="1">
        <v>45483</v>
      </c>
      <c r="C332" t="s">
        <v>26</v>
      </c>
      <c r="D332" t="s">
        <v>41</v>
      </c>
      <c r="E332">
        <v>13178</v>
      </c>
      <c r="F332">
        <v>12382</v>
      </c>
      <c r="G332">
        <v>796</v>
      </c>
      <c r="H332" t="s">
        <v>19</v>
      </c>
      <c r="I332" t="s">
        <v>28</v>
      </c>
      <c r="J332" t="s">
        <v>53</v>
      </c>
    </row>
    <row r="333" spans="1:10" x14ac:dyDescent="0.25">
      <c r="A333" t="s">
        <v>370</v>
      </c>
      <c r="B333" s="1">
        <v>45271</v>
      </c>
      <c r="C333" t="s">
        <v>17</v>
      </c>
      <c r="D333" t="s">
        <v>41</v>
      </c>
      <c r="E333">
        <v>16413</v>
      </c>
      <c r="F333">
        <v>9924</v>
      </c>
      <c r="G333">
        <v>6489</v>
      </c>
      <c r="H333" t="s">
        <v>19</v>
      </c>
      <c r="I333" t="s">
        <v>34</v>
      </c>
      <c r="J333" t="s">
        <v>53</v>
      </c>
    </row>
    <row r="334" spans="1:10" x14ac:dyDescent="0.25">
      <c r="A334" t="s">
        <v>371</v>
      </c>
      <c r="B334" s="1">
        <v>45172</v>
      </c>
      <c r="C334" t="s">
        <v>17</v>
      </c>
      <c r="D334" t="s">
        <v>41</v>
      </c>
      <c r="E334">
        <v>49772</v>
      </c>
      <c r="F334">
        <v>36410</v>
      </c>
      <c r="G334">
        <v>13362</v>
      </c>
      <c r="H334" t="s">
        <v>38</v>
      </c>
      <c r="I334" t="s">
        <v>28</v>
      </c>
      <c r="J334" t="s">
        <v>24</v>
      </c>
    </row>
    <row r="335" spans="1:10" x14ac:dyDescent="0.25">
      <c r="A335" t="s">
        <v>372</v>
      </c>
      <c r="B335" s="1">
        <v>45417</v>
      </c>
      <c r="C335" t="s">
        <v>44</v>
      </c>
      <c r="D335" t="s">
        <v>33</v>
      </c>
      <c r="E335">
        <v>8588</v>
      </c>
      <c r="F335">
        <v>4382</v>
      </c>
      <c r="G335">
        <v>4206</v>
      </c>
      <c r="H335" t="s">
        <v>13</v>
      </c>
      <c r="I335" t="s">
        <v>31</v>
      </c>
      <c r="J335" t="s">
        <v>24</v>
      </c>
    </row>
    <row r="336" spans="1:10" x14ac:dyDescent="0.25">
      <c r="A336" t="s">
        <v>373</v>
      </c>
      <c r="B336" s="1">
        <v>45948</v>
      </c>
      <c r="C336" t="s">
        <v>17</v>
      </c>
      <c r="D336" t="s">
        <v>33</v>
      </c>
      <c r="E336">
        <v>42903</v>
      </c>
      <c r="F336">
        <v>40587</v>
      </c>
      <c r="G336">
        <v>2316</v>
      </c>
      <c r="H336" t="s">
        <v>19</v>
      </c>
      <c r="I336" t="s">
        <v>23</v>
      </c>
      <c r="J336" t="s">
        <v>42</v>
      </c>
    </row>
    <row r="337" spans="1:10" x14ac:dyDescent="0.25">
      <c r="A337" t="s">
        <v>374</v>
      </c>
      <c r="B337" s="1">
        <v>45958</v>
      </c>
      <c r="C337" t="s">
        <v>11</v>
      </c>
      <c r="D337" t="s">
        <v>18</v>
      </c>
      <c r="E337">
        <v>33903</v>
      </c>
      <c r="F337">
        <v>32487</v>
      </c>
      <c r="G337">
        <v>1416</v>
      </c>
      <c r="H337" t="s">
        <v>27</v>
      </c>
      <c r="I337" t="s">
        <v>28</v>
      </c>
      <c r="J337" t="s">
        <v>29</v>
      </c>
    </row>
    <row r="338" spans="1:10" x14ac:dyDescent="0.25">
      <c r="A338" t="s">
        <v>375</v>
      </c>
      <c r="B338" s="1">
        <v>45374</v>
      </c>
      <c r="C338" t="s">
        <v>44</v>
      </c>
      <c r="D338" t="s">
        <v>41</v>
      </c>
      <c r="E338">
        <v>13980</v>
      </c>
      <c r="F338">
        <v>1582</v>
      </c>
      <c r="G338">
        <v>12398</v>
      </c>
      <c r="H338" t="s">
        <v>38</v>
      </c>
      <c r="I338" t="s">
        <v>20</v>
      </c>
      <c r="J338" t="s">
        <v>53</v>
      </c>
    </row>
    <row r="339" spans="1:10" x14ac:dyDescent="0.25">
      <c r="A339" t="s">
        <v>376</v>
      </c>
      <c r="B339" s="1">
        <v>46195</v>
      </c>
      <c r="C339" t="s">
        <v>22</v>
      </c>
      <c r="D339" t="s">
        <v>12</v>
      </c>
      <c r="E339">
        <v>31192</v>
      </c>
      <c r="F339">
        <v>18947</v>
      </c>
      <c r="G339">
        <v>12245</v>
      </c>
      <c r="H339" t="s">
        <v>38</v>
      </c>
      <c r="I339" t="s">
        <v>34</v>
      </c>
      <c r="J339" t="s">
        <v>53</v>
      </c>
    </row>
    <row r="340" spans="1:10" x14ac:dyDescent="0.25">
      <c r="A340" t="s">
        <v>377</v>
      </c>
      <c r="B340" s="1">
        <v>45721</v>
      </c>
      <c r="C340" t="s">
        <v>11</v>
      </c>
      <c r="D340" t="s">
        <v>18</v>
      </c>
      <c r="E340">
        <v>48515</v>
      </c>
      <c r="F340">
        <v>44531</v>
      </c>
      <c r="G340">
        <v>3984</v>
      </c>
      <c r="H340" t="s">
        <v>19</v>
      </c>
      <c r="I340" t="s">
        <v>31</v>
      </c>
      <c r="J340" t="s">
        <v>24</v>
      </c>
    </row>
    <row r="341" spans="1:10" x14ac:dyDescent="0.25">
      <c r="A341" t="s">
        <v>378</v>
      </c>
      <c r="B341" s="1">
        <v>45311</v>
      </c>
      <c r="C341" t="s">
        <v>22</v>
      </c>
      <c r="D341" t="s">
        <v>36</v>
      </c>
      <c r="E341">
        <v>45355</v>
      </c>
      <c r="F341">
        <v>38801</v>
      </c>
      <c r="G341">
        <v>6554</v>
      </c>
      <c r="H341" t="s">
        <v>13</v>
      </c>
      <c r="I341" t="s">
        <v>14</v>
      </c>
      <c r="J341" t="s">
        <v>15</v>
      </c>
    </row>
    <row r="342" spans="1:10" x14ac:dyDescent="0.25">
      <c r="A342" t="s">
        <v>379</v>
      </c>
      <c r="B342" s="1">
        <v>45788</v>
      </c>
      <c r="C342" t="s">
        <v>17</v>
      </c>
      <c r="D342" t="s">
        <v>36</v>
      </c>
      <c r="E342">
        <v>25957</v>
      </c>
      <c r="F342">
        <v>8398</v>
      </c>
      <c r="G342">
        <v>17559</v>
      </c>
      <c r="H342" t="s">
        <v>38</v>
      </c>
      <c r="I342" t="s">
        <v>31</v>
      </c>
      <c r="J342" t="s">
        <v>24</v>
      </c>
    </row>
    <row r="343" spans="1:10" x14ac:dyDescent="0.25">
      <c r="A343" t="s">
        <v>380</v>
      </c>
      <c r="B343" s="1">
        <v>45175</v>
      </c>
      <c r="C343" t="s">
        <v>22</v>
      </c>
      <c r="D343" t="s">
        <v>12</v>
      </c>
      <c r="E343">
        <v>35674</v>
      </c>
      <c r="F343">
        <v>34841</v>
      </c>
      <c r="G343">
        <v>833</v>
      </c>
      <c r="H343" t="s">
        <v>27</v>
      </c>
      <c r="I343" t="s">
        <v>34</v>
      </c>
      <c r="J343" t="s">
        <v>24</v>
      </c>
    </row>
    <row r="344" spans="1:10" x14ac:dyDescent="0.25">
      <c r="A344" t="s">
        <v>381</v>
      </c>
      <c r="B344" s="1">
        <v>46198</v>
      </c>
      <c r="C344" t="s">
        <v>22</v>
      </c>
      <c r="D344" t="s">
        <v>41</v>
      </c>
      <c r="E344">
        <v>15270</v>
      </c>
      <c r="F344">
        <v>1790</v>
      </c>
      <c r="G344">
        <v>13480</v>
      </c>
      <c r="H344" t="s">
        <v>19</v>
      </c>
      <c r="I344" t="s">
        <v>14</v>
      </c>
      <c r="J344" t="s">
        <v>53</v>
      </c>
    </row>
    <row r="345" spans="1:10" x14ac:dyDescent="0.25">
      <c r="A345" t="s">
        <v>382</v>
      </c>
      <c r="B345" s="1">
        <v>45755</v>
      </c>
      <c r="C345" t="s">
        <v>17</v>
      </c>
      <c r="D345" t="s">
        <v>18</v>
      </c>
      <c r="E345">
        <v>8051</v>
      </c>
      <c r="F345">
        <v>2230</v>
      </c>
      <c r="G345">
        <v>5821</v>
      </c>
      <c r="H345" t="s">
        <v>19</v>
      </c>
      <c r="I345" t="s">
        <v>78</v>
      </c>
      <c r="J345" t="s">
        <v>24</v>
      </c>
    </row>
    <row r="346" spans="1:10" x14ac:dyDescent="0.25">
      <c r="A346" t="s">
        <v>383</v>
      </c>
      <c r="B346" s="1">
        <v>46207</v>
      </c>
      <c r="C346" t="s">
        <v>17</v>
      </c>
      <c r="D346" t="s">
        <v>41</v>
      </c>
      <c r="E346">
        <v>5471</v>
      </c>
      <c r="F346">
        <v>1806</v>
      </c>
      <c r="G346">
        <v>3665</v>
      </c>
      <c r="H346" t="s">
        <v>27</v>
      </c>
      <c r="I346" t="s">
        <v>63</v>
      </c>
      <c r="J346" t="s">
        <v>15</v>
      </c>
    </row>
    <row r="347" spans="1:10" x14ac:dyDescent="0.25">
      <c r="A347" t="s">
        <v>384</v>
      </c>
      <c r="B347" s="1">
        <v>45200</v>
      </c>
      <c r="C347" t="s">
        <v>11</v>
      </c>
      <c r="D347" t="s">
        <v>18</v>
      </c>
      <c r="E347">
        <v>44869</v>
      </c>
      <c r="F347">
        <v>33953</v>
      </c>
      <c r="G347">
        <v>10916</v>
      </c>
      <c r="H347" t="s">
        <v>19</v>
      </c>
      <c r="I347" t="s">
        <v>28</v>
      </c>
      <c r="J347" t="s">
        <v>42</v>
      </c>
    </row>
    <row r="348" spans="1:10" x14ac:dyDescent="0.25">
      <c r="A348" t="s">
        <v>385</v>
      </c>
      <c r="B348" s="1">
        <v>45404</v>
      </c>
      <c r="C348" t="s">
        <v>11</v>
      </c>
      <c r="D348" t="s">
        <v>33</v>
      </c>
      <c r="E348">
        <v>13362</v>
      </c>
      <c r="F348">
        <v>11969</v>
      </c>
      <c r="G348">
        <v>1393</v>
      </c>
      <c r="H348" t="s">
        <v>27</v>
      </c>
      <c r="I348" t="s">
        <v>60</v>
      </c>
      <c r="J348" t="s">
        <v>29</v>
      </c>
    </row>
    <row r="349" spans="1:10" x14ac:dyDescent="0.25">
      <c r="A349" t="s">
        <v>386</v>
      </c>
      <c r="B349" s="1">
        <v>46039</v>
      </c>
      <c r="C349" t="s">
        <v>11</v>
      </c>
      <c r="D349" t="s">
        <v>18</v>
      </c>
      <c r="E349">
        <v>18674</v>
      </c>
      <c r="F349">
        <v>11213</v>
      </c>
      <c r="G349">
        <v>7461</v>
      </c>
      <c r="H349" t="s">
        <v>19</v>
      </c>
      <c r="I349" t="s">
        <v>34</v>
      </c>
      <c r="J349" t="s">
        <v>15</v>
      </c>
    </row>
    <row r="350" spans="1:10" x14ac:dyDescent="0.25">
      <c r="A350" t="s">
        <v>387</v>
      </c>
      <c r="B350" s="1">
        <v>45662</v>
      </c>
      <c r="C350" t="s">
        <v>44</v>
      </c>
      <c r="D350" t="s">
        <v>33</v>
      </c>
      <c r="E350">
        <v>23050</v>
      </c>
      <c r="F350">
        <v>19917</v>
      </c>
      <c r="G350">
        <v>3133</v>
      </c>
      <c r="H350" t="s">
        <v>27</v>
      </c>
      <c r="I350" t="s">
        <v>34</v>
      </c>
      <c r="J350" t="s">
        <v>42</v>
      </c>
    </row>
    <row r="351" spans="1:10" x14ac:dyDescent="0.25">
      <c r="A351" t="s">
        <v>388</v>
      </c>
      <c r="B351" s="1">
        <v>45197</v>
      </c>
      <c r="C351" t="s">
        <v>22</v>
      </c>
      <c r="D351" t="s">
        <v>41</v>
      </c>
      <c r="E351">
        <v>16694</v>
      </c>
      <c r="F351">
        <v>11971</v>
      </c>
      <c r="G351">
        <v>4723</v>
      </c>
      <c r="H351" t="s">
        <v>19</v>
      </c>
      <c r="I351" t="s">
        <v>45</v>
      </c>
      <c r="J351" t="s">
        <v>15</v>
      </c>
    </row>
    <row r="352" spans="1:10" x14ac:dyDescent="0.25">
      <c r="A352" t="s">
        <v>389</v>
      </c>
      <c r="B352" s="1">
        <v>46065</v>
      </c>
      <c r="C352" t="s">
        <v>17</v>
      </c>
      <c r="D352" t="s">
        <v>33</v>
      </c>
      <c r="E352">
        <v>43999</v>
      </c>
      <c r="F352">
        <v>31018</v>
      </c>
      <c r="G352">
        <v>12981</v>
      </c>
      <c r="H352" t="s">
        <v>38</v>
      </c>
      <c r="I352" t="s">
        <v>31</v>
      </c>
      <c r="J352" t="s">
        <v>24</v>
      </c>
    </row>
    <row r="353" spans="1:10" x14ac:dyDescent="0.25">
      <c r="A353" t="s">
        <v>390</v>
      </c>
      <c r="B353" s="1">
        <v>45668</v>
      </c>
      <c r="C353" t="s">
        <v>17</v>
      </c>
      <c r="D353" t="s">
        <v>41</v>
      </c>
      <c r="E353">
        <v>14844</v>
      </c>
      <c r="F353">
        <v>10633</v>
      </c>
      <c r="G353">
        <v>4211</v>
      </c>
      <c r="H353" t="s">
        <v>19</v>
      </c>
      <c r="I353" t="s">
        <v>23</v>
      </c>
      <c r="J353" t="s">
        <v>24</v>
      </c>
    </row>
    <row r="354" spans="1:10" x14ac:dyDescent="0.25">
      <c r="A354" t="s">
        <v>391</v>
      </c>
      <c r="B354" s="1">
        <v>45972</v>
      </c>
      <c r="C354" t="s">
        <v>44</v>
      </c>
      <c r="D354" t="s">
        <v>36</v>
      </c>
      <c r="E354">
        <v>26886</v>
      </c>
      <c r="F354">
        <v>18314</v>
      </c>
      <c r="G354">
        <v>8572</v>
      </c>
      <c r="H354" t="s">
        <v>13</v>
      </c>
      <c r="I354" t="s">
        <v>63</v>
      </c>
      <c r="J354" t="s">
        <v>42</v>
      </c>
    </row>
    <row r="355" spans="1:10" x14ac:dyDescent="0.25">
      <c r="A355" t="s">
        <v>392</v>
      </c>
      <c r="B355" s="1">
        <v>45480</v>
      </c>
      <c r="C355" t="s">
        <v>22</v>
      </c>
      <c r="D355" t="s">
        <v>41</v>
      </c>
      <c r="E355">
        <v>48546</v>
      </c>
      <c r="F355">
        <v>30759</v>
      </c>
      <c r="G355">
        <v>17787</v>
      </c>
      <c r="H355" t="s">
        <v>13</v>
      </c>
      <c r="I355" t="s">
        <v>60</v>
      </c>
      <c r="J355" t="s">
        <v>53</v>
      </c>
    </row>
    <row r="356" spans="1:10" x14ac:dyDescent="0.25">
      <c r="A356" t="s">
        <v>393</v>
      </c>
      <c r="B356" s="1">
        <v>45381</v>
      </c>
      <c r="C356" t="s">
        <v>17</v>
      </c>
      <c r="D356" t="s">
        <v>18</v>
      </c>
      <c r="E356">
        <v>39197</v>
      </c>
      <c r="F356">
        <v>36192</v>
      </c>
      <c r="G356">
        <v>3005</v>
      </c>
      <c r="H356" t="s">
        <v>38</v>
      </c>
      <c r="I356" t="s">
        <v>34</v>
      </c>
      <c r="J356" t="s">
        <v>53</v>
      </c>
    </row>
    <row r="357" spans="1:10" x14ac:dyDescent="0.25">
      <c r="A357" t="s">
        <v>394</v>
      </c>
      <c r="B357" s="1">
        <v>45167</v>
      </c>
      <c r="C357" t="s">
        <v>22</v>
      </c>
      <c r="D357" t="s">
        <v>41</v>
      </c>
      <c r="E357">
        <v>7663</v>
      </c>
      <c r="F357">
        <v>4980</v>
      </c>
      <c r="G357">
        <v>2683</v>
      </c>
      <c r="H357" t="s">
        <v>13</v>
      </c>
      <c r="I357" t="s">
        <v>28</v>
      </c>
      <c r="J357" t="s">
        <v>24</v>
      </c>
    </row>
    <row r="358" spans="1:10" x14ac:dyDescent="0.25">
      <c r="A358" t="s">
        <v>395</v>
      </c>
      <c r="B358" s="1">
        <v>46177</v>
      </c>
      <c r="C358" t="s">
        <v>26</v>
      </c>
      <c r="D358" t="s">
        <v>12</v>
      </c>
      <c r="E358">
        <v>24240</v>
      </c>
      <c r="F358">
        <v>6705</v>
      </c>
      <c r="G358">
        <v>17535</v>
      </c>
      <c r="H358" t="s">
        <v>13</v>
      </c>
      <c r="I358" t="s">
        <v>45</v>
      </c>
      <c r="J358" t="s">
        <v>29</v>
      </c>
    </row>
    <row r="359" spans="1:10" x14ac:dyDescent="0.25">
      <c r="A359" t="s">
        <v>396</v>
      </c>
      <c r="B359" s="1">
        <v>45983</v>
      </c>
      <c r="C359" t="s">
        <v>22</v>
      </c>
      <c r="D359" t="s">
        <v>12</v>
      </c>
      <c r="E359">
        <v>24085</v>
      </c>
      <c r="F359">
        <v>4963</v>
      </c>
      <c r="G359">
        <v>19122</v>
      </c>
      <c r="H359" t="s">
        <v>38</v>
      </c>
      <c r="I359" t="s">
        <v>34</v>
      </c>
      <c r="J359" t="s">
        <v>29</v>
      </c>
    </row>
    <row r="360" spans="1:10" x14ac:dyDescent="0.25">
      <c r="A360" t="s">
        <v>397</v>
      </c>
      <c r="B360" s="1">
        <v>45857</v>
      </c>
      <c r="C360" t="s">
        <v>22</v>
      </c>
      <c r="D360" t="s">
        <v>18</v>
      </c>
      <c r="E360">
        <v>7178</v>
      </c>
      <c r="F360">
        <v>2063</v>
      </c>
      <c r="G360">
        <v>5115</v>
      </c>
      <c r="H360" t="s">
        <v>13</v>
      </c>
      <c r="I360" t="s">
        <v>45</v>
      </c>
      <c r="J360" t="s">
        <v>53</v>
      </c>
    </row>
    <row r="361" spans="1:10" x14ac:dyDescent="0.25">
      <c r="A361" t="s">
        <v>398</v>
      </c>
      <c r="B361" s="1">
        <v>45302</v>
      </c>
      <c r="C361" t="s">
        <v>22</v>
      </c>
      <c r="D361" t="s">
        <v>41</v>
      </c>
      <c r="E361">
        <v>27035</v>
      </c>
      <c r="F361">
        <v>9102</v>
      </c>
      <c r="G361">
        <v>17933</v>
      </c>
      <c r="H361" t="s">
        <v>27</v>
      </c>
      <c r="I361" t="s">
        <v>31</v>
      </c>
      <c r="J361" t="s">
        <v>15</v>
      </c>
    </row>
    <row r="362" spans="1:10" x14ac:dyDescent="0.25">
      <c r="A362" t="s">
        <v>399</v>
      </c>
      <c r="B362" s="1">
        <v>45253</v>
      </c>
      <c r="C362" t="s">
        <v>26</v>
      </c>
      <c r="D362" t="s">
        <v>18</v>
      </c>
      <c r="E362">
        <v>17694</v>
      </c>
      <c r="F362">
        <v>4761</v>
      </c>
      <c r="G362">
        <v>12933</v>
      </c>
      <c r="H362" t="s">
        <v>13</v>
      </c>
      <c r="I362" t="s">
        <v>45</v>
      </c>
      <c r="J362" t="s">
        <v>15</v>
      </c>
    </row>
    <row r="363" spans="1:10" x14ac:dyDescent="0.25">
      <c r="A363" t="s">
        <v>400</v>
      </c>
      <c r="B363" s="1">
        <v>45892</v>
      </c>
      <c r="C363" t="s">
        <v>26</v>
      </c>
      <c r="D363" t="s">
        <v>18</v>
      </c>
      <c r="E363">
        <v>49838</v>
      </c>
      <c r="F363">
        <v>34367</v>
      </c>
      <c r="G363">
        <v>15471</v>
      </c>
      <c r="H363" t="s">
        <v>27</v>
      </c>
      <c r="I363" t="s">
        <v>78</v>
      </c>
      <c r="J363" t="s">
        <v>53</v>
      </c>
    </row>
    <row r="364" spans="1:10" x14ac:dyDescent="0.25">
      <c r="A364" t="s">
        <v>401</v>
      </c>
      <c r="B364" s="1">
        <v>45758</v>
      </c>
      <c r="C364" t="s">
        <v>26</v>
      </c>
      <c r="D364" t="s">
        <v>36</v>
      </c>
      <c r="E364">
        <v>45372</v>
      </c>
      <c r="F364">
        <v>40155</v>
      </c>
      <c r="G364">
        <v>5217</v>
      </c>
      <c r="H364" t="s">
        <v>19</v>
      </c>
      <c r="I364" t="s">
        <v>60</v>
      </c>
      <c r="J364" t="s">
        <v>24</v>
      </c>
    </row>
    <row r="365" spans="1:10" x14ac:dyDescent="0.25">
      <c r="A365" t="s">
        <v>402</v>
      </c>
      <c r="B365" s="1">
        <v>45676</v>
      </c>
      <c r="C365" t="s">
        <v>11</v>
      </c>
      <c r="D365" t="s">
        <v>12</v>
      </c>
      <c r="E365">
        <v>5011</v>
      </c>
      <c r="F365">
        <v>3252</v>
      </c>
      <c r="G365">
        <v>1759</v>
      </c>
      <c r="H365" t="s">
        <v>27</v>
      </c>
      <c r="I365" t="s">
        <v>63</v>
      </c>
      <c r="J365" t="s">
        <v>42</v>
      </c>
    </row>
    <row r="366" spans="1:10" x14ac:dyDescent="0.25">
      <c r="A366" t="s">
        <v>403</v>
      </c>
      <c r="B366" s="1">
        <v>45926</v>
      </c>
      <c r="C366" t="s">
        <v>44</v>
      </c>
      <c r="D366" t="s">
        <v>41</v>
      </c>
      <c r="E366">
        <v>5414</v>
      </c>
      <c r="F366">
        <v>4427</v>
      </c>
      <c r="G366">
        <v>987</v>
      </c>
      <c r="H366" t="s">
        <v>13</v>
      </c>
      <c r="I366" t="s">
        <v>28</v>
      </c>
      <c r="J366" t="s">
        <v>53</v>
      </c>
    </row>
    <row r="367" spans="1:10" x14ac:dyDescent="0.25">
      <c r="A367" t="s">
        <v>404</v>
      </c>
      <c r="B367" s="1">
        <v>45291</v>
      </c>
      <c r="C367" t="s">
        <v>17</v>
      </c>
      <c r="D367" t="s">
        <v>18</v>
      </c>
      <c r="E367">
        <v>10456</v>
      </c>
      <c r="F367">
        <v>8210</v>
      </c>
      <c r="G367">
        <v>2246</v>
      </c>
      <c r="H367" t="s">
        <v>13</v>
      </c>
      <c r="I367" t="s">
        <v>45</v>
      </c>
      <c r="J367" t="s">
        <v>24</v>
      </c>
    </row>
    <row r="368" spans="1:10" x14ac:dyDescent="0.25">
      <c r="A368" t="s">
        <v>405</v>
      </c>
      <c r="B368" s="1">
        <v>45421</v>
      </c>
      <c r="C368" t="s">
        <v>17</v>
      </c>
      <c r="D368" t="s">
        <v>12</v>
      </c>
      <c r="E368">
        <v>22504</v>
      </c>
      <c r="F368">
        <v>10793</v>
      </c>
      <c r="G368">
        <v>11711</v>
      </c>
      <c r="H368" t="s">
        <v>38</v>
      </c>
      <c r="I368" t="s">
        <v>14</v>
      </c>
      <c r="J368" t="s">
        <v>15</v>
      </c>
    </row>
    <row r="369" spans="1:10" x14ac:dyDescent="0.25">
      <c r="A369" t="s">
        <v>406</v>
      </c>
      <c r="B369" s="1">
        <v>45902</v>
      </c>
      <c r="C369" t="s">
        <v>44</v>
      </c>
      <c r="D369" t="s">
        <v>36</v>
      </c>
      <c r="E369">
        <v>45107</v>
      </c>
      <c r="F369">
        <v>28219</v>
      </c>
      <c r="G369">
        <v>16888</v>
      </c>
      <c r="H369" t="s">
        <v>19</v>
      </c>
      <c r="I369" t="s">
        <v>34</v>
      </c>
      <c r="J369" t="s">
        <v>53</v>
      </c>
    </row>
    <row r="370" spans="1:10" x14ac:dyDescent="0.25">
      <c r="A370" t="s">
        <v>407</v>
      </c>
      <c r="B370" s="1">
        <v>45399</v>
      </c>
      <c r="C370" t="s">
        <v>26</v>
      </c>
      <c r="D370" t="s">
        <v>33</v>
      </c>
      <c r="E370">
        <v>44626</v>
      </c>
      <c r="F370">
        <v>26433</v>
      </c>
      <c r="G370">
        <v>18193</v>
      </c>
      <c r="H370" t="s">
        <v>13</v>
      </c>
      <c r="I370" t="s">
        <v>45</v>
      </c>
      <c r="J370" t="s">
        <v>15</v>
      </c>
    </row>
    <row r="371" spans="1:10" x14ac:dyDescent="0.25">
      <c r="A371" t="s">
        <v>408</v>
      </c>
      <c r="B371" s="1">
        <v>46048</v>
      </c>
      <c r="C371" t="s">
        <v>26</v>
      </c>
      <c r="D371" t="s">
        <v>41</v>
      </c>
      <c r="E371">
        <v>39897</v>
      </c>
      <c r="F371">
        <v>26251</v>
      </c>
      <c r="G371">
        <v>13646</v>
      </c>
      <c r="H371" t="s">
        <v>27</v>
      </c>
      <c r="I371" t="s">
        <v>45</v>
      </c>
      <c r="J371" t="s">
        <v>15</v>
      </c>
    </row>
    <row r="372" spans="1:10" x14ac:dyDescent="0.25">
      <c r="A372" t="s">
        <v>409</v>
      </c>
      <c r="B372" s="1">
        <v>46050</v>
      </c>
      <c r="C372" t="s">
        <v>17</v>
      </c>
      <c r="D372" t="s">
        <v>36</v>
      </c>
      <c r="E372">
        <v>11510</v>
      </c>
      <c r="F372">
        <v>8208</v>
      </c>
      <c r="G372">
        <v>3302</v>
      </c>
      <c r="H372" t="s">
        <v>13</v>
      </c>
      <c r="I372" t="s">
        <v>14</v>
      </c>
      <c r="J372" t="s">
        <v>53</v>
      </c>
    </row>
    <row r="373" spans="1:10" x14ac:dyDescent="0.25">
      <c r="A373" t="s">
        <v>410</v>
      </c>
      <c r="B373" s="1">
        <v>45900</v>
      </c>
      <c r="C373" t="s">
        <v>22</v>
      </c>
      <c r="D373" t="s">
        <v>36</v>
      </c>
      <c r="E373">
        <v>25658</v>
      </c>
      <c r="F373">
        <v>21766</v>
      </c>
      <c r="G373">
        <v>3892</v>
      </c>
      <c r="H373" t="s">
        <v>27</v>
      </c>
      <c r="I373" t="s">
        <v>34</v>
      </c>
      <c r="J373" t="s">
        <v>29</v>
      </c>
    </row>
    <row r="374" spans="1:10" x14ac:dyDescent="0.25">
      <c r="A374" t="s">
        <v>411</v>
      </c>
      <c r="B374" s="1">
        <v>45659</v>
      </c>
      <c r="C374" t="s">
        <v>44</v>
      </c>
      <c r="D374" t="s">
        <v>33</v>
      </c>
      <c r="E374">
        <v>26569</v>
      </c>
      <c r="F374">
        <v>9507</v>
      </c>
      <c r="G374">
        <v>17062</v>
      </c>
      <c r="H374" t="s">
        <v>19</v>
      </c>
      <c r="I374" t="s">
        <v>14</v>
      </c>
      <c r="J374" t="s">
        <v>42</v>
      </c>
    </row>
    <row r="375" spans="1:10" x14ac:dyDescent="0.25">
      <c r="A375" t="s">
        <v>412</v>
      </c>
      <c r="B375" s="1">
        <v>45550</v>
      </c>
      <c r="C375" t="s">
        <v>11</v>
      </c>
      <c r="D375" t="s">
        <v>41</v>
      </c>
      <c r="E375">
        <v>23229</v>
      </c>
      <c r="F375">
        <v>11054</v>
      </c>
      <c r="G375">
        <v>12175</v>
      </c>
      <c r="H375" t="s">
        <v>19</v>
      </c>
      <c r="I375" t="s">
        <v>23</v>
      </c>
      <c r="J375" t="s">
        <v>24</v>
      </c>
    </row>
    <row r="376" spans="1:10" x14ac:dyDescent="0.25">
      <c r="A376" t="s">
        <v>413</v>
      </c>
      <c r="B376" s="1">
        <v>45368</v>
      </c>
      <c r="C376" t="s">
        <v>26</v>
      </c>
      <c r="D376" t="s">
        <v>36</v>
      </c>
      <c r="E376">
        <v>28365</v>
      </c>
      <c r="F376">
        <v>17350</v>
      </c>
      <c r="G376">
        <v>11015</v>
      </c>
      <c r="H376" t="s">
        <v>13</v>
      </c>
      <c r="I376" t="s">
        <v>63</v>
      </c>
      <c r="J376" t="s">
        <v>42</v>
      </c>
    </row>
    <row r="377" spans="1:10" x14ac:dyDescent="0.25">
      <c r="A377" t="s">
        <v>414</v>
      </c>
      <c r="B377" s="1">
        <v>45197</v>
      </c>
      <c r="C377" t="s">
        <v>44</v>
      </c>
      <c r="D377" t="s">
        <v>18</v>
      </c>
      <c r="E377">
        <v>5245</v>
      </c>
      <c r="F377">
        <v>1489</v>
      </c>
      <c r="G377">
        <v>3756</v>
      </c>
      <c r="H377" t="s">
        <v>38</v>
      </c>
      <c r="I377" t="s">
        <v>63</v>
      </c>
      <c r="J377" t="s">
        <v>24</v>
      </c>
    </row>
    <row r="378" spans="1:10" x14ac:dyDescent="0.25">
      <c r="A378" t="s">
        <v>415</v>
      </c>
      <c r="B378" s="1">
        <v>45692</v>
      </c>
      <c r="C378" t="s">
        <v>11</v>
      </c>
      <c r="D378" t="s">
        <v>12</v>
      </c>
      <c r="E378">
        <v>22947</v>
      </c>
      <c r="F378">
        <v>15869</v>
      </c>
      <c r="G378">
        <v>7078</v>
      </c>
      <c r="H378" t="s">
        <v>19</v>
      </c>
      <c r="I378" t="s">
        <v>60</v>
      </c>
      <c r="J378" t="s">
        <v>42</v>
      </c>
    </row>
    <row r="379" spans="1:10" x14ac:dyDescent="0.25">
      <c r="A379" t="s">
        <v>416</v>
      </c>
      <c r="B379" s="1">
        <v>46041</v>
      </c>
      <c r="C379" t="s">
        <v>17</v>
      </c>
      <c r="D379" t="s">
        <v>41</v>
      </c>
      <c r="E379">
        <v>41806</v>
      </c>
      <c r="F379">
        <v>24050</v>
      </c>
      <c r="G379">
        <v>17756</v>
      </c>
      <c r="H379" t="s">
        <v>19</v>
      </c>
      <c r="I379" t="s">
        <v>63</v>
      </c>
      <c r="J379" t="s">
        <v>53</v>
      </c>
    </row>
    <row r="380" spans="1:10" x14ac:dyDescent="0.25">
      <c r="A380" t="s">
        <v>417</v>
      </c>
      <c r="B380" s="1">
        <v>46107</v>
      </c>
      <c r="C380" t="s">
        <v>17</v>
      </c>
      <c r="D380" t="s">
        <v>36</v>
      </c>
      <c r="E380">
        <v>47250</v>
      </c>
      <c r="F380">
        <v>34346</v>
      </c>
      <c r="G380">
        <v>12904</v>
      </c>
      <c r="H380" t="s">
        <v>27</v>
      </c>
      <c r="I380" t="s">
        <v>28</v>
      </c>
      <c r="J380" t="s">
        <v>29</v>
      </c>
    </row>
    <row r="381" spans="1:10" x14ac:dyDescent="0.25">
      <c r="A381" t="s">
        <v>418</v>
      </c>
      <c r="B381" s="1">
        <v>45522</v>
      </c>
      <c r="C381" t="s">
        <v>44</v>
      </c>
      <c r="D381" t="s">
        <v>18</v>
      </c>
      <c r="E381">
        <v>22628</v>
      </c>
      <c r="F381">
        <v>20388</v>
      </c>
      <c r="G381">
        <v>2240</v>
      </c>
      <c r="H381" t="s">
        <v>19</v>
      </c>
      <c r="I381" t="s">
        <v>28</v>
      </c>
      <c r="J381" t="s">
        <v>24</v>
      </c>
    </row>
    <row r="382" spans="1:10" x14ac:dyDescent="0.25">
      <c r="A382" t="s">
        <v>419</v>
      </c>
      <c r="B382" s="1">
        <v>45337</v>
      </c>
      <c r="C382" t="s">
        <v>11</v>
      </c>
      <c r="D382" t="s">
        <v>33</v>
      </c>
      <c r="E382">
        <v>48284</v>
      </c>
      <c r="F382">
        <v>35188</v>
      </c>
      <c r="G382">
        <v>13096</v>
      </c>
      <c r="H382" t="s">
        <v>13</v>
      </c>
      <c r="I382" t="s">
        <v>31</v>
      </c>
      <c r="J382" t="s">
        <v>24</v>
      </c>
    </row>
    <row r="383" spans="1:10" x14ac:dyDescent="0.25">
      <c r="A383" t="s">
        <v>420</v>
      </c>
      <c r="B383" s="1">
        <v>45292</v>
      </c>
      <c r="C383" t="s">
        <v>17</v>
      </c>
      <c r="D383" t="s">
        <v>33</v>
      </c>
      <c r="E383">
        <v>30288</v>
      </c>
      <c r="F383">
        <v>23574</v>
      </c>
      <c r="G383">
        <v>6714</v>
      </c>
      <c r="H383" t="s">
        <v>19</v>
      </c>
      <c r="I383" t="s">
        <v>28</v>
      </c>
      <c r="J383" t="s">
        <v>53</v>
      </c>
    </row>
    <row r="384" spans="1:10" x14ac:dyDescent="0.25">
      <c r="A384" t="s">
        <v>421</v>
      </c>
      <c r="B384" s="1">
        <v>45642</v>
      </c>
      <c r="C384" t="s">
        <v>44</v>
      </c>
      <c r="D384" t="s">
        <v>36</v>
      </c>
      <c r="E384">
        <v>17906</v>
      </c>
      <c r="F384">
        <v>5736</v>
      </c>
      <c r="G384">
        <v>12170</v>
      </c>
      <c r="H384" t="s">
        <v>13</v>
      </c>
      <c r="I384" t="s">
        <v>63</v>
      </c>
      <c r="J384" t="s">
        <v>24</v>
      </c>
    </row>
    <row r="385" spans="1:10" x14ac:dyDescent="0.25">
      <c r="A385" t="s">
        <v>422</v>
      </c>
      <c r="B385" s="1">
        <v>45761</v>
      </c>
      <c r="C385" t="s">
        <v>17</v>
      </c>
      <c r="D385" t="s">
        <v>41</v>
      </c>
      <c r="E385">
        <v>48572</v>
      </c>
      <c r="F385">
        <v>39402</v>
      </c>
      <c r="G385">
        <v>9170</v>
      </c>
      <c r="H385" t="s">
        <v>38</v>
      </c>
      <c r="I385" t="s">
        <v>14</v>
      </c>
      <c r="J385" t="s">
        <v>42</v>
      </c>
    </row>
    <row r="386" spans="1:10" x14ac:dyDescent="0.25">
      <c r="A386" t="s">
        <v>423</v>
      </c>
      <c r="B386" s="1">
        <v>45479</v>
      </c>
      <c r="C386" t="s">
        <v>22</v>
      </c>
      <c r="D386" t="s">
        <v>41</v>
      </c>
      <c r="E386">
        <v>20117</v>
      </c>
      <c r="F386">
        <v>10133</v>
      </c>
      <c r="G386">
        <v>9984</v>
      </c>
      <c r="H386" t="s">
        <v>38</v>
      </c>
      <c r="I386" t="s">
        <v>28</v>
      </c>
      <c r="J386" t="s">
        <v>24</v>
      </c>
    </row>
    <row r="387" spans="1:10" x14ac:dyDescent="0.25">
      <c r="A387" t="s">
        <v>424</v>
      </c>
      <c r="B387" s="1">
        <v>45420</v>
      </c>
      <c r="C387" t="s">
        <v>11</v>
      </c>
      <c r="D387" t="s">
        <v>36</v>
      </c>
      <c r="E387">
        <v>26221</v>
      </c>
      <c r="F387">
        <v>8381</v>
      </c>
      <c r="G387">
        <v>17840</v>
      </c>
      <c r="H387" t="s">
        <v>19</v>
      </c>
      <c r="I387" t="s">
        <v>60</v>
      </c>
      <c r="J387" t="s">
        <v>15</v>
      </c>
    </row>
    <row r="388" spans="1:10" x14ac:dyDescent="0.25">
      <c r="A388" t="s">
        <v>425</v>
      </c>
      <c r="B388" s="1">
        <v>45585</v>
      </c>
      <c r="C388" t="s">
        <v>11</v>
      </c>
      <c r="D388" t="s">
        <v>12</v>
      </c>
      <c r="E388">
        <v>18155</v>
      </c>
      <c r="F388">
        <v>860</v>
      </c>
      <c r="G388">
        <v>17295</v>
      </c>
      <c r="H388" t="s">
        <v>19</v>
      </c>
      <c r="I388" t="s">
        <v>34</v>
      </c>
      <c r="J388" t="s">
        <v>53</v>
      </c>
    </row>
    <row r="389" spans="1:10" x14ac:dyDescent="0.25">
      <c r="A389" t="s">
        <v>426</v>
      </c>
      <c r="B389" s="1">
        <v>45369</v>
      </c>
      <c r="C389" t="s">
        <v>26</v>
      </c>
      <c r="D389" t="s">
        <v>36</v>
      </c>
      <c r="E389">
        <v>38710</v>
      </c>
      <c r="F389">
        <v>31611</v>
      </c>
      <c r="G389">
        <v>7099</v>
      </c>
      <c r="H389" t="s">
        <v>27</v>
      </c>
      <c r="I389" t="s">
        <v>60</v>
      </c>
      <c r="J389" t="s">
        <v>15</v>
      </c>
    </row>
    <row r="390" spans="1:10" x14ac:dyDescent="0.25">
      <c r="A390" t="s">
        <v>427</v>
      </c>
      <c r="B390" s="1">
        <v>45803</v>
      </c>
      <c r="C390" t="s">
        <v>17</v>
      </c>
      <c r="D390" t="s">
        <v>41</v>
      </c>
      <c r="E390">
        <v>43633</v>
      </c>
      <c r="F390">
        <v>31203</v>
      </c>
      <c r="G390">
        <v>12430</v>
      </c>
      <c r="H390" t="s">
        <v>13</v>
      </c>
      <c r="I390" t="s">
        <v>31</v>
      </c>
      <c r="J390" t="s">
        <v>15</v>
      </c>
    </row>
    <row r="391" spans="1:10" x14ac:dyDescent="0.25">
      <c r="A391" t="s">
        <v>428</v>
      </c>
      <c r="B391" s="1">
        <v>45176</v>
      </c>
      <c r="C391" t="s">
        <v>22</v>
      </c>
      <c r="D391" t="s">
        <v>18</v>
      </c>
      <c r="E391">
        <v>21074</v>
      </c>
      <c r="F391">
        <v>10047</v>
      </c>
      <c r="G391">
        <v>11027</v>
      </c>
      <c r="H391" t="s">
        <v>38</v>
      </c>
      <c r="I391" t="s">
        <v>45</v>
      </c>
      <c r="J391" t="s">
        <v>29</v>
      </c>
    </row>
    <row r="392" spans="1:10" x14ac:dyDescent="0.25">
      <c r="A392" t="s">
        <v>429</v>
      </c>
      <c r="B392" s="1">
        <v>46017</v>
      </c>
      <c r="C392" t="s">
        <v>17</v>
      </c>
      <c r="D392" t="s">
        <v>18</v>
      </c>
      <c r="E392">
        <v>42321</v>
      </c>
      <c r="F392">
        <v>24672</v>
      </c>
      <c r="G392">
        <v>17649</v>
      </c>
      <c r="H392" t="s">
        <v>27</v>
      </c>
      <c r="I392" t="s">
        <v>20</v>
      </c>
      <c r="J392" t="s">
        <v>24</v>
      </c>
    </row>
    <row r="393" spans="1:10" x14ac:dyDescent="0.25">
      <c r="A393" t="s">
        <v>430</v>
      </c>
      <c r="B393" s="1">
        <v>46065</v>
      </c>
      <c r="C393" t="s">
        <v>17</v>
      </c>
      <c r="D393" t="s">
        <v>36</v>
      </c>
      <c r="E393">
        <v>22840</v>
      </c>
      <c r="F393">
        <v>12315</v>
      </c>
      <c r="G393">
        <v>10525</v>
      </c>
      <c r="H393" t="s">
        <v>38</v>
      </c>
      <c r="I393" t="s">
        <v>31</v>
      </c>
      <c r="J393" t="s">
        <v>29</v>
      </c>
    </row>
    <row r="394" spans="1:10" x14ac:dyDescent="0.25">
      <c r="A394" t="s">
        <v>431</v>
      </c>
      <c r="B394" s="1">
        <v>45987</v>
      </c>
      <c r="C394" t="s">
        <v>22</v>
      </c>
      <c r="D394" t="s">
        <v>33</v>
      </c>
      <c r="E394">
        <v>5752</v>
      </c>
      <c r="F394">
        <v>5163</v>
      </c>
      <c r="G394">
        <v>589</v>
      </c>
      <c r="H394" t="s">
        <v>27</v>
      </c>
      <c r="I394" t="s">
        <v>63</v>
      </c>
      <c r="J394" t="s">
        <v>15</v>
      </c>
    </row>
    <row r="395" spans="1:10" x14ac:dyDescent="0.25">
      <c r="A395" t="s">
        <v>432</v>
      </c>
      <c r="B395" s="1">
        <v>45878</v>
      </c>
      <c r="C395" t="s">
        <v>22</v>
      </c>
      <c r="D395" t="s">
        <v>12</v>
      </c>
      <c r="E395">
        <v>14076</v>
      </c>
      <c r="F395">
        <v>5165</v>
      </c>
      <c r="G395">
        <v>8911</v>
      </c>
      <c r="H395" t="s">
        <v>19</v>
      </c>
      <c r="I395" t="s">
        <v>14</v>
      </c>
      <c r="J395" t="s">
        <v>53</v>
      </c>
    </row>
    <row r="396" spans="1:10" x14ac:dyDescent="0.25">
      <c r="A396" t="s">
        <v>433</v>
      </c>
      <c r="B396" s="1">
        <v>45797</v>
      </c>
      <c r="C396" t="s">
        <v>26</v>
      </c>
      <c r="D396" t="s">
        <v>41</v>
      </c>
      <c r="E396">
        <v>28174</v>
      </c>
      <c r="F396">
        <v>15734</v>
      </c>
      <c r="G396">
        <v>12440</v>
      </c>
      <c r="H396" t="s">
        <v>38</v>
      </c>
      <c r="I396" t="s">
        <v>31</v>
      </c>
      <c r="J396" t="s">
        <v>24</v>
      </c>
    </row>
    <row r="397" spans="1:10" x14ac:dyDescent="0.25">
      <c r="A397" t="s">
        <v>434</v>
      </c>
      <c r="B397" s="1">
        <v>45138</v>
      </c>
      <c r="C397" t="s">
        <v>17</v>
      </c>
      <c r="D397" t="s">
        <v>18</v>
      </c>
      <c r="E397">
        <v>37468</v>
      </c>
      <c r="F397">
        <v>34484</v>
      </c>
      <c r="G397">
        <v>2984</v>
      </c>
      <c r="H397" t="s">
        <v>19</v>
      </c>
      <c r="I397" t="s">
        <v>14</v>
      </c>
      <c r="J397" t="s">
        <v>53</v>
      </c>
    </row>
    <row r="398" spans="1:10" x14ac:dyDescent="0.25">
      <c r="A398" t="s">
        <v>435</v>
      </c>
      <c r="B398" s="1">
        <v>45825</v>
      </c>
      <c r="C398" t="s">
        <v>17</v>
      </c>
      <c r="D398" t="s">
        <v>12</v>
      </c>
      <c r="E398">
        <v>9673</v>
      </c>
      <c r="F398">
        <v>1275</v>
      </c>
      <c r="G398">
        <v>8398</v>
      </c>
      <c r="H398" t="s">
        <v>13</v>
      </c>
      <c r="I398" t="s">
        <v>78</v>
      </c>
      <c r="J398" t="s">
        <v>29</v>
      </c>
    </row>
    <row r="399" spans="1:10" x14ac:dyDescent="0.25">
      <c r="A399" t="s">
        <v>436</v>
      </c>
      <c r="B399" s="1">
        <v>45722</v>
      </c>
      <c r="C399" t="s">
        <v>11</v>
      </c>
      <c r="D399" t="s">
        <v>41</v>
      </c>
      <c r="E399">
        <v>42339</v>
      </c>
      <c r="F399">
        <v>31550</v>
      </c>
      <c r="G399">
        <v>10789</v>
      </c>
      <c r="H399" t="s">
        <v>27</v>
      </c>
      <c r="I399" t="s">
        <v>31</v>
      </c>
      <c r="J399" t="s">
        <v>53</v>
      </c>
    </row>
    <row r="400" spans="1:10" x14ac:dyDescent="0.25">
      <c r="A400" t="s">
        <v>437</v>
      </c>
      <c r="B400" s="1">
        <v>46187</v>
      </c>
      <c r="C400" t="s">
        <v>17</v>
      </c>
      <c r="D400" t="s">
        <v>36</v>
      </c>
      <c r="E400">
        <v>42725</v>
      </c>
      <c r="F400">
        <v>40535</v>
      </c>
      <c r="G400">
        <v>2190</v>
      </c>
      <c r="H400" t="s">
        <v>13</v>
      </c>
      <c r="I400" t="s">
        <v>63</v>
      </c>
      <c r="J400" t="s">
        <v>53</v>
      </c>
    </row>
    <row r="401" spans="1:10" x14ac:dyDescent="0.25">
      <c r="A401" t="s">
        <v>438</v>
      </c>
      <c r="B401" s="1">
        <v>45698</v>
      </c>
      <c r="C401" t="s">
        <v>26</v>
      </c>
      <c r="D401" t="s">
        <v>36</v>
      </c>
      <c r="E401">
        <v>29141</v>
      </c>
      <c r="F401">
        <v>26832</v>
      </c>
      <c r="G401">
        <v>2309</v>
      </c>
      <c r="H401" t="s">
        <v>13</v>
      </c>
      <c r="I401" t="s">
        <v>31</v>
      </c>
      <c r="J401" t="s">
        <v>29</v>
      </c>
    </row>
    <row r="402" spans="1:10" x14ac:dyDescent="0.25">
      <c r="A402" t="s">
        <v>439</v>
      </c>
      <c r="B402" s="1">
        <v>45619</v>
      </c>
      <c r="C402" t="s">
        <v>44</v>
      </c>
      <c r="D402" t="s">
        <v>36</v>
      </c>
      <c r="E402">
        <v>12637</v>
      </c>
      <c r="F402">
        <v>1408</v>
      </c>
      <c r="G402">
        <v>11229</v>
      </c>
      <c r="H402" t="s">
        <v>27</v>
      </c>
      <c r="I402" t="s">
        <v>45</v>
      </c>
      <c r="J402" t="s">
        <v>29</v>
      </c>
    </row>
    <row r="403" spans="1:10" x14ac:dyDescent="0.25">
      <c r="A403" t="s">
        <v>440</v>
      </c>
      <c r="B403" s="1">
        <v>45346</v>
      </c>
      <c r="C403" t="s">
        <v>44</v>
      </c>
      <c r="D403" t="s">
        <v>41</v>
      </c>
      <c r="E403">
        <v>29184</v>
      </c>
      <c r="F403">
        <v>17113</v>
      </c>
      <c r="G403">
        <v>12071</v>
      </c>
      <c r="H403" t="s">
        <v>13</v>
      </c>
      <c r="I403" t="s">
        <v>14</v>
      </c>
      <c r="J403" t="s">
        <v>42</v>
      </c>
    </row>
    <row r="404" spans="1:10" x14ac:dyDescent="0.25">
      <c r="A404" t="s">
        <v>441</v>
      </c>
      <c r="B404" s="1">
        <v>46046</v>
      </c>
      <c r="C404" t="s">
        <v>17</v>
      </c>
      <c r="D404" t="s">
        <v>18</v>
      </c>
      <c r="E404">
        <v>15658</v>
      </c>
      <c r="F404">
        <v>6514</v>
      </c>
      <c r="G404">
        <v>9144</v>
      </c>
      <c r="H404" t="s">
        <v>13</v>
      </c>
      <c r="I404" t="s">
        <v>20</v>
      </c>
      <c r="J404" t="s">
        <v>15</v>
      </c>
    </row>
    <row r="405" spans="1:10" x14ac:dyDescent="0.25">
      <c r="A405" t="s">
        <v>442</v>
      </c>
      <c r="B405" s="1">
        <v>45387</v>
      </c>
      <c r="C405" t="s">
        <v>22</v>
      </c>
      <c r="D405" t="s">
        <v>18</v>
      </c>
      <c r="E405">
        <v>29714</v>
      </c>
      <c r="F405">
        <v>27043</v>
      </c>
      <c r="G405">
        <v>2671</v>
      </c>
      <c r="H405" t="s">
        <v>19</v>
      </c>
      <c r="I405" t="s">
        <v>45</v>
      </c>
      <c r="J405" t="s">
        <v>24</v>
      </c>
    </row>
    <row r="406" spans="1:10" x14ac:dyDescent="0.25">
      <c r="A406" t="s">
        <v>443</v>
      </c>
      <c r="B406" s="1">
        <v>45666</v>
      </c>
      <c r="C406" t="s">
        <v>44</v>
      </c>
      <c r="D406" t="s">
        <v>36</v>
      </c>
      <c r="E406">
        <v>11160</v>
      </c>
      <c r="F406">
        <v>5075</v>
      </c>
      <c r="G406">
        <v>6085</v>
      </c>
      <c r="H406" t="s">
        <v>19</v>
      </c>
      <c r="I406" t="s">
        <v>78</v>
      </c>
      <c r="J406" t="s">
        <v>42</v>
      </c>
    </row>
    <row r="407" spans="1:10" x14ac:dyDescent="0.25">
      <c r="A407" t="s">
        <v>444</v>
      </c>
      <c r="B407" s="1">
        <v>45568</v>
      </c>
      <c r="C407" t="s">
        <v>44</v>
      </c>
      <c r="D407" t="s">
        <v>33</v>
      </c>
      <c r="E407">
        <v>8055</v>
      </c>
      <c r="F407">
        <v>3805</v>
      </c>
      <c r="G407">
        <v>4250</v>
      </c>
      <c r="H407" t="s">
        <v>27</v>
      </c>
      <c r="I407" t="s">
        <v>34</v>
      </c>
      <c r="J407" t="s">
        <v>24</v>
      </c>
    </row>
    <row r="408" spans="1:10" x14ac:dyDescent="0.25">
      <c r="A408" t="s">
        <v>445</v>
      </c>
      <c r="B408" s="1">
        <v>45466</v>
      </c>
      <c r="C408" t="s">
        <v>26</v>
      </c>
      <c r="D408" t="s">
        <v>33</v>
      </c>
      <c r="E408">
        <v>11681</v>
      </c>
      <c r="F408">
        <v>11040</v>
      </c>
      <c r="G408">
        <v>641</v>
      </c>
      <c r="H408" t="s">
        <v>27</v>
      </c>
      <c r="I408" t="s">
        <v>14</v>
      </c>
      <c r="J408" t="s">
        <v>53</v>
      </c>
    </row>
    <row r="409" spans="1:10" x14ac:dyDescent="0.25">
      <c r="A409" t="s">
        <v>446</v>
      </c>
      <c r="B409" s="1">
        <v>45380</v>
      </c>
      <c r="C409" t="s">
        <v>44</v>
      </c>
      <c r="D409" t="s">
        <v>18</v>
      </c>
      <c r="E409">
        <v>34795</v>
      </c>
      <c r="F409">
        <v>22115</v>
      </c>
      <c r="G409">
        <v>12680</v>
      </c>
      <c r="H409" t="s">
        <v>19</v>
      </c>
      <c r="I409" t="s">
        <v>63</v>
      </c>
      <c r="J409" t="s">
        <v>53</v>
      </c>
    </row>
    <row r="410" spans="1:10" x14ac:dyDescent="0.25">
      <c r="A410" t="s">
        <v>447</v>
      </c>
      <c r="B410" s="1">
        <v>45974</v>
      </c>
      <c r="C410" t="s">
        <v>44</v>
      </c>
      <c r="D410" t="s">
        <v>18</v>
      </c>
      <c r="E410">
        <v>45825</v>
      </c>
      <c r="F410">
        <v>26614</v>
      </c>
      <c r="G410">
        <v>19211</v>
      </c>
      <c r="H410" t="s">
        <v>38</v>
      </c>
      <c r="I410" t="s">
        <v>45</v>
      </c>
      <c r="J410" t="s">
        <v>15</v>
      </c>
    </row>
    <row r="411" spans="1:10" x14ac:dyDescent="0.25">
      <c r="A411" t="s">
        <v>448</v>
      </c>
      <c r="B411" s="1">
        <v>45473</v>
      </c>
      <c r="C411" t="s">
        <v>11</v>
      </c>
      <c r="D411" t="s">
        <v>41</v>
      </c>
      <c r="E411">
        <v>39083</v>
      </c>
      <c r="F411">
        <v>32605</v>
      </c>
      <c r="G411">
        <v>6478</v>
      </c>
      <c r="H411" t="s">
        <v>19</v>
      </c>
      <c r="I411" t="s">
        <v>31</v>
      </c>
      <c r="J411" t="s">
        <v>29</v>
      </c>
    </row>
    <row r="412" spans="1:10" x14ac:dyDescent="0.25">
      <c r="A412" t="s">
        <v>449</v>
      </c>
      <c r="B412" s="1">
        <v>45277</v>
      </c>
      <c r="C412" t="s">
        <v>44</v>
      </c>
      <c r="D412" t="s">
        <v>41</v>
      </c>
      <c r="E412">
        <v>10002</v>
      </c>
      <c r="F412">
        <v>5892</v>
      </c>
      <c r="G412">
        <v>4110</v>
      </c>
      <c r="H412" t="s">
        <v>13</v>
      </c>
      <c r="I412" t="s">
        <v>31</v>
      </c>
      <c r="J412" t="s">
        <v>15</v>
      </c>
    </row>
    <row r="413" spans="1:10" x14ac:dyDescent="0.25">
      <c r="A413" t="s">
        <v>450</v>
      </c>
      <c r="B413" s="1">
        <v>45381</v>
      </c>
      <c r="C413" t="s">
        <v>17</v>
      </c>
      <c r="D413" t="s">
        <v>33</v>
      </c>
      <c r="E413">
        <v>33774</v>
      </c>
      <c r="F413">
        <v>21052</v>
      </c>
      <c r="G413">
        <v>12722</v>
      </c>
      <c r="H413" t="s">
        <v>13</v>
      </c>
      <c r="I413" t="s">
        <v>60</v>
      </c>
      <c r="J413" t="s">
        <v>15</v>
      </c>
    </row>
    <row r="414" spans="1:10" x14ac:dyDescent="0.25">
      <c r="A414" t="s">
        <v>451</v>
      </c>
      <c r="B414" s="1">
        <v>45906</v>
      </c>
      <c r="C414" t="s">
        <v>22</v>
      </c>
      <c r="D414" t="s">
        <v>18</v>
      </c>
      <c r="E414">
        <v>11944</v>
      </c>
      <c r="F414">
        <v>5351</v>
      </c>
      <c r="G414">
        <v>6593</v>
      </c>
      <c r="H414" t="s">
        <v>19</v>
      </c>
      <c r="I414" t="s">
        <v>63</v>
      </c>
      <c r="J414" t="s">
        <v>42</v>
      </c>
    </row>
    <row r="415" spans="1:10" x14ac:dyDescent="0.25">
      <c r="A415" t="s">
        <v>452</v>
      </c>
      <c r="B415" s="1">
        <v>45808</v>
      </c>
      <c r="C415" t="s">
        <v>11</v>
      </c>
      <c r="D415" t="s">
        <v>41</v>
      </c>
      <c r="E415">
        <v>12088</v>
      </c>
      <c r="F415">
        <v>2358</v>
      </c>
      <c r="G415">
        <v>9730</v>
      </c>
      <c r="H415" t="s">
        <v>38</v>
      </c>
      <c r="I415" t="s">
        <v>14</v>
      </c>
      <c r="J415" t="s">
        <v>24</v>
      </c>
    </row>
    <row r="416" spans="1:10" x14ac:dyDescent="0.25">
      <c r="A416" t="s">
        <v>453</v>
      </c>
      <c r="B416" s="1">
        <v>45157</v>
      </c>
      <c r="C416" t="s">
        <v>26</v>
      </c>
      <c r="D416" t="s">
        <v>33</v>
      </c>
      <c r="E416">
        <v>7304</v>
      </c>
      <c r="F416">
        <v>3036</v>
      </c>
      <c r="G416">
        <v>4268</v>
      </c>
      <c r="H416" t="s">
        <v>19</v>
      </c>
      <c r="I416" t="s">
        <v>23</v>
      </c>
      <c r="J416" t="s">
        <v>24</v>
      </c>
    </row>
    <row r="417" spans="1:10" x14ac:dyDescent="0.25">
      <c r="A417" t="s">
        <v>454</v>
      </c>
      <c r="B417" s="1">
        <v>45678</v>
      </c>
      <c r="C417" t="s">
        <v>44</v>
      </c>
      <c r="D417" t="s">
        <v>18</v>
      </c>
      <c r="E417">
        <v>17936</v>
      </c>
      <c r="F417">
        <v>17163</v>
      </c>
      <c r="G417">
        <v>773</v>
      </c>
      <c r="H417" t="s">
        <v>13</v>
      </c>
      <c r="I417" t="s">
        <v>63</v>
      </c>
      <c r="J417" t="s">
        <v>53</v>
      </c>
    </row>
    <row r="418" spans="1:10" x14ac:dyDescent="0.25">
      <c r="A418" t="s">
        <v>455</v>
      </c>
      <c r="B418" s="1">
        <v>45311</v>
      </c>
      <c r="C418" t="s">
        <v>44</v>
      </c>
      <c r="D418" t="s">
        <v>18</v>
      </c>
      <c r="E418">
        <v>14501</v>
      </c>
      <c r="F418">
        <v>9454</v>
      </c>
      <c r="G418">
        <v>5047</v>
      </c>
      <c r="H418" t="s">
        <v>13</v>
      </c>
      <c r="I418" t="s">
        <v>63</v>
      </c>
      <c r="J418" t="s">
        <v>15</v>
      </c>
    </row>
    <row r="419" spans="1:10" x14ac:dyDescent="0.25">
      <c r="A419" t="s">
        <v>456</v>
      </c>
      <c r="B419" s="1">
        <v>45489</v>
      </c>
      <c r="C419" t="s">
        <v>22</v>
      </c>
      <c r="D419" t="s">
        <v>33</v>
      </c>
      <c r="E419">
        <v>30195</v>
      </c>
      <c r="F419">
        <v>25584</v>
      </c>
      <c r="G419">
        <v>4611</v>
      </c>
      <c r="H419" t="s">
        <v>13</v>
      </c>
      <c r="I419" t="s">
        <v>63</v>
      </c>
      <c r="J419" t="s">
        <v>53</v>
      </c>
    </row>
    <row r="420" spans="1:10" x14ac:dyDescent="0.25">
      <c r="A420" t="s">
        <v>457</v>
      </c>
      <c r="B420" s="1">
        <v>45811</v>
      </c>
      <c r="C420" t="s">
        <v>11</v>
      </c>
      <c r="D420" t="s">
        <v>36</v>
      </c>
      <c r="E420">
        <v>5967</v>
      </c>
      <c r="F420">
        <v>3647</v>
      </c>
      <c r="G420">
        <v>2320</v>
      </c>
      <c r="H420" t="s">
        <v>19</v>
      </c>
      <c r="I420" t="s">
        <v>45</v>
      </c>
      <c r="J420" t="s">
        <v>15</v>
      </c>
    </row>
    <row r="421" spans="1:10" x14ac:dyDescent="0.25">
      <c r="A421" t="s">
        <v>458</v>
      </c>
      <c r="B421" s="1">
        <v>45537</v>
      </c>
      <c r="C421" t="s">
        <v>11</v>
      </c>
      <c r="D421" t="s">
        <v>33</v>
      </c>
      <c r="E421">
        <v>31794</v>
      </c>
      <c r="F421">
        <v>29886</v>
      </c>
      <c r="G421">
        <v>1908</v>
      </c>
      <c r="H421" t="s">
        <v>38</v>
      </c>
      <c r="I421" t="s">
        <v>28</v>
      </c>
      <c r="J421" t="s">
        <v>24</v>
      </c>
    </row>
    <row r="422" spans="1:10" x14ac:dyDescent="0.25">
      <c r="A422" t="s">
        <v>459</v>
      </c>
      <c r="B422" s="1">
        <v>45228</v>
      </c>
      <c r="C422" t="s">
        <v>17</v>
      </c>
      <c r="D422" t="s">
        <v>36</v>
      </c>
      <c r="E422">
        <v>30879</v>
      </c>
      <c r="F422">
        <v>29950</v>
      </c>
      <c r="G422">
        <v>929</v>
      </c>
      <c r="H422" t="s">
        <v>19</v>
      </c>
      <c r="I422" t="s">
        <v>63</v>
      </c>
      <c r="J422" t="s">
        <v>53</v>
      </c>
    </row>
    <row r="423" spans="1:10" x14ac:dyDescent="0.25">
      <c r="A423" t="s">
        <v>460</v>
      </c>
      <c r="B423" s="1">
        <v>46018</v>
      </c>
      <c r="C423" t="s">
        <v>22</v>
      </c>
      <c r="D423" t="s">
        <v>33</v>
      </c>
      <c r="E423">
        <v>31337</v>
      </c>
      <c r="F423">
        <v>22250</v>
      </c>
      <c r="G423">
        <v>9087</v>
      </c>
      <c r="H423" t="s">
        <v>38</v>
      </c>
      <c r="I423" t="s">
        <v>31</v>
      </c>
      <c r="J423" t="s">
        <v>42</v>
      </c>
    </row>
    <row r="424" spans="1:10" x14ac:dyDescent="0.25">
      <c r="A424" t="s">
        <v>461</v>
      </c>
      <c r="B424" s="1">
        <v>45550</v>
      </c>
      <c r="C424" t="s">
        <v>22</v>
      </c>
      <c r="D424" t="s">
        <v>12</v>
      </c>
      <c r="E424">
        <v>26928</v>
      </c>
      <c r="F424">
        <v>14536</v>
      </c>
      <c r="G424">
        <v>12392</v>
      </c>
      <c r="H424" t="s">
        <v>19</v>
      </c>
      <c r="I424" t="s">
        <v>23</v>
      </c>
      <c r="J424" t="s">
        <v>53</v>
      </c>
    </row>
    <row r="425" spans="1:10" x14ac:dyDescent="0.25">
      <c r="A425" t="s">
        <v>462</v>
      </c>
      <c r="B425" s="1">
        <v>45780</v>
      </c>
      <c r="C425" t="s">
        <v>22</v>
      </c>
      <c r="D425" t="s">
        <v>18</v>
      </c>
      <c r="E425">
        <v>44305</v>
      </c>
      <c r="F425">
        <v>28824</v>
      </c>
      <c r="G425">
        <v>15481</v>
      </c>
      <c r="H425" t="s">
        <v>27</v>
      </c>
      <c r="I425" t="s">
        <v>45</v>
      </c>
      <c r="J425" t="s">
        <v>53</v>
      </c>
    </row>
    <row r="426" spans="1:10" x14ac:dyDescent="0.25">
      <c r="A426" t="s">
        <v>463</v>
      </c>
      <c r="B426" s="1">
        <v>46044</v>
      </c>
      <c r="C426" t="s">
        <v>26</v>
      </c>
      <c r="D426" t="s">
        <v>12</v>
      </c>
      <c r="E426">
        <v>30804</v>
      </c>
      <c r="F426">
        <v>17099</v>
      </c>
      <c r="G426">
        <v>13705</v>
      </c>
      <c r="H426" t="s">
        <v>13</v>
      </c>
      <c r="I426" t="s">
        <v>78</v>
      </c>
      <c r="J426" t="s">
        <v>53</v>
      </c>
    </row>
    <row r="427" spans="1:10" x14ac:dyDescent="0.25">
      <c r="A427" t="s">
        <v>464</v>
      </c>
      <c r="B427" s="1">
        <v>45776</v>
      </c>
      <c r="C427" t="s">
        <v>22</v>
      </c>
      <c r="D427" t="s">
        <v>36</v>
      </c>
      <c r="E427">
        <v>9434</v>
      </c>
      <c r="F427">
        <v>8692</v>
      </c>
      <c r="G427">
        <v>742</v>
      </c>
      <c r="H427" t="s">
        <v>27</v>
      </c>
      <c r="I427" t="s">
        <v>34</v>
      </c>
      <c r="J427" t="s">
        <v>24</v>
      </c>
    </row>
    <row r="428" spans="1:10" x14ac:dyDescent="0.25">
      <c r="A428" t="s">
        <v>465</v>
      </c>
      <c r="B428" s="1">
        <v>45625</v>
      </c>
      <c r="C428" t="s">
        <v>26</v>
      </c>
      <c r="D428" t="s">
        <v>33</v>
      </c>
      <c r="E428">
        <v>21301</v>
      </c>
      <c r="F428">
        <v>14875</v>
      </c>
      <c r="G428">
        <v>6426</v>
      </c>
      <c r="H428" t="s">
        <v>13</v>
      </c>
      <c r="I428" t="s">
        <v>63</v>
      </c>
      <c r="J428" t="s">
        <v>15</v>
      </c>
    </row>
    <row r="429" spans="1:10" x14ac:dyDescent="0.25">
      <c r="A429" t="s">
        <v>466</v>
      </c>
      <c r="B429" s="1">
        <v>45572</v>
      </c>
      <c r="C429" t="s">
        <v>44</v>
      </c>
      <c r="D429" t="s">
        <v>18</v>
      </c>
      <c r="E429">
        <v>35449</v>
      </c>
      <c r="F429">
        <v>34494</v>
      </c>
      <c r="G429">
        <v>955</v>
      </c>
      <c r="H429" t="s">
        <v>27</v>
      </c>
      <c r="I429" t="s">
        <v>28</v>
      </c>
      <c r="J429" t="s">
        <v>15</v>
      </c>
    </row>
    <row r="430" spans="1:10" x14ac:dyDescent="0.25">
      <c r="A430" t="s">
        <v>467</v>
      </c>
      <c r="B430" s="1">
        <v>45168</v>
      </c>
      <c r="C430" t="s">
        <v>17</v>
      </c>
      <c r="D430" t="s">
        <v>18</v>
      </c>
      <c r="E430">
        <v>13428</v>
      </c>
      <c r="F430">
        <v>245</v>
      </c>
      <c r="G430">
        <v>13183</v>
      </c>
      <c r="H430" t="s">
        <v>19</v>
      </c>
      <c r="I430" t="s">
        <v>31</v>
      </c>
      <c r="J430" t="s">
        <v>29</v>
      </c>
    </row>
    <row r="431" spans="1:10" x14ac:dyDescent="0.25">
      <c r="A431" t="s">
        <v>468</v>
      </c>
      <c r="B431" s="1">
        <v>45263</v>
      </c>
      <c r="C431" t="s">
        <v>17</v>
      </c>
      <c r="D431" t="s">
        <v>12</v>
      </c>
      <c r="E431">
        <v>35076</v>
      </c>
      <c r="F431">
        <v>29885</v>
      </c>
      <c r="G431">
        <v>5191</v>
      </c>
      <c r="H431" t="s">
        <v>27</v>
      </c>
      <c r="I431" t="s">
        <v>78</v>
      </c>
      <c r="J431" t="s">
        <v>24</v>
      </c>
    </row>
    <row r="432" spans="1:10" x14ac:dyDescent="0.25">
      <c r="A432" t="s">
        <v>469</v>
      </c>
      <c r="B432" s="1">
        <v>45926</v>
      </c>
      <c r="C432" t="s">
        <v>11</v>
      </c>
      <c r="D432" t="s">
        <v>12</v>
      </c>
      <c r="E432">
        <v>48879</v>
      </c>
      <c r="F432">
        <v>33227</v>
      </c>
      <c r="G432">
        <v>15652</v>
      </c>
      <c r="H432" t="s">
        <v>19</v>
      </c>
      <c r="I432" t="s">
        <v>60</v>
      </c>
      <c r="J432" t="s">
        <v>15</v>
      </c>
    </row>
    <row r="433" spans="1:10" x14ac:dyDescent="0.25">
      <c r="A433" t="s">
        <v>470</v>
      </c>
      <c r="B433" s="1">
        <v>46044</v>
      </c>
      <c r="C433" t="s">
        <v>11</v>
      </c>
      <c r="D433" t="s">
        <v>36</v>
      </c>
      <c r="E433">
        <v>16434</v>
      </c>
      <c r="F433">
        <v>9352</v>
      </c>
      <c r="G433">
        <v>7082</v>
      </c>
      <c r="H433" t="s">
        <v>27</v>
      </c>
      <c r="I433" t="s">
        <v>34</v>
      </c>
      <c r="J433" t="s">
        <v>24</v>
      </c>
    </row>
    <row r="434" spans="1:10" x14ac:dyDescent="0.25">
      <c r="A434" t="s">
        <v>471</v>
      </c>
      <c r="B434" s="1">
        <v>45407</v>
      </c>
      <c r="C434" t="s">
        <v>44</v>
      </c>
      <c r="D434" t="s">
        <v>41</v>
      </c>
      <c r="E434">
        <v>47873</v>
      </c>
      <c r="F434">
        <v>46019</v>
      </c>
      <c r="G434">
        <v>1854</v>
      </c>
      <c r="H434" t="s">
        <v>13</v>
      </c>
      <c r="I434" t="s">
        <v>45</v>
      </c>
      <c r="J434" t="s">
        <v>24</v>
      </c>
    </row>
    <row r="435" spans="1:10" x14ac:dyDescent="0.25">
      <c r="A435" t="s">
        <v>472</v>
      </c>
      <c r="B435" s="1">
        <v>45412</v>
      </c>
      <c r="C435" t="s">
        <v>22</v>
      </c>
      <c r="D435" t="s">
        <v>18</v>
      </c>
      <c r="E435">
        <v>5740</v>
      </c>
      <c r="F435">
        <v>4207</v>
      </c>
      <c r="G435">
        <v>1533</v>
      </c>
      <c r="H435" t="s">
        <v>13</v>
      </c>
      <c r="I435" t="s">
        <v>34</v>
      </c>
      <c r="J435" t="s">
        <v>29</v>
      </c>
    </row>
    <row r="436" spans="1:10" x14ac:dyDescent="0.25">
      <c r="A436" t="s">
        <v>473</v>
      </c>
      <c r="B436" s="1">
        <v>45995</v>
      </c>
      <c r="C436" t="s">
        <v>22</v>
      </c>
      <c r="D436" t="s">
        <v>12</v>
      </c>
      <c r="E436">
        <v>49743</v>
      </c>
      <c r="F436">
        <v>36511</v>
      </c>
      <c r="G436">
        <v>13232</v>
      </c>
      <c r="H436" t="s">
        <v>38</v>
      </c>
      <c r="I436" t="s">
        <v>20</v>
      </c>
      <c r="J436" t="s">
        <v>15</v>
      </c>
    </row>
    <row r="437" spans="1:10" x14ac:dyDescent="0.25">
      <c r="A437" t="s">
        <v>474</v>
      </c>
      <c r="B437" s="1">
        <v>45710</v>
      </c>
      <c r="C437" t="s">
        <v>17</v>
      </c>
      <c r="D437" t="s">
        <v>18</v>
      </c>
      <c r="E437">
        <v>20021</v>
      </c>
      <c r="F437">
        <v>1147</v>
      </c>
      <c r="G437">
        <v>18874</v>
      </c>
      <c r="H437" t="s">
        <v>38</v>
      </c>
      <c r="I437" t="s">
        <v>78</v>
      </c>
      <c r="J437" t="s">
        <v>24</v>
      </c>
    </row>
    <row r="438" spans="1:10" x14ac:dyDescent="0.25">
      <c r="A438" t="s">
        <v>475</v>
      </c>
      <c r="B438" s="1">
        <v>45453</v>
      </c>
      <c r="C438" t="s">
        <v>44</v>
      </c>
      <c r="D438" t="s">
        <v>33</v>
      </c>
      <c r="E438">
        <v>34985</v>
      </c>
      <c r="F438">
        <v>15720</v>
      </c>
      <c r="G438">
        <v>19265</v>
      </c>
      <c r="H438" t="s">
        <v>38</v>
      </c>
      <c r="I438" t="s">
        <v>63</v>
      </c>
      <c r="J438" t="s">
        <v>24</v>
      </c>
    </row>
    <row r="439" spans="1:10" x14ac:dyDescent="0.25">
      <c r="A439" t="s">
        <v>476</v>
      </c>
      <c r="B439" s="1">
        <v>45321</v>
      </c>
      <c r="C439" t="s">
        <v>11</v>
      </c>
      <c r="D439" t="s">
        <v>12</v>
      </c>
      <c r="E439">
        <v>43824</v>
      </c>
      <c r="F439">
        <v>41468</v>
      </c>
      <c r="G439">
        <v>2356</v>
      </c>
      <c r="H439" t="s">
        <v>38</v>
      </c>
      <c r="I439" t="s">
        <v>23</v>
      </c>
      <c r="J439" t="s">
        <v>53</v>
      </c>
    </row>
    <row r="440" spans="1:10" x14ac:dyDescent="0.25">
      <c r="A440" t="s">
        <v>477</v>
      </c>
      <c r="B440" s="1">
        <v>45839</v>
      </c>
      <c r="C440" t="s">
        <v>44</v>
      </c>
      <c r="D440" t="s">
        <v>36</v>
      </c>
      <c r="E440">
        <v>41298</v>
      </c>
      <c r="F440">
        <v>33341</v>
      </c>
      <c r="G440">
        <v>7957</v>
      </c>
      <c r="H440" t="s">
        <v>19</v>
      </c>
      <c r="I440" t="s">
        <v>23</v>
      </c>
      <c r="J440" t="s">
        <v>42</v>
      </c>
    </row>
    <row r="441" spans="1:10" x14ac:dyDescent="0.25">
      <c r="A441" t="s">
        <v>478</v>
      </c>
      <c r="B441" s="1">
        <v>45441</v>
      </c>
      <c r="C441" t="s">
        <v>44</v>
      </c>
      <c r="D441" t="s">
        <v>18</v>
      </c>
      <c r="E441">
        <v>19092</v>
      </c>
      <c r="F441">
        <v>10805</v>
      </c>
      <c r="G441">
        <v>8287</v>
      </c>
      <c r="H441" t="s">
        <v>13</v>
      </c>
      <c r="I441" t="s">
        <v>28</v>
      </c>
      <c r="J441" t="s">
        <v>15</v>
      </c>
    </row>
    <row r="442" spans="1:10" x14ac:dyDescent="0.25">
      <c r="A442" t="s">
        <v>479</v>
      </c>
      <c r="B442" s="1">
        <v>45460</v>
      </c>
      <c r="C442" t="s">
        <v>22</v>
      </c>
      <c r="D442" t="s">
        <v>36</v>
      </c>
      <c r="E442">
        <v>41031</v>
      </c>
      <c r="F442">
        <v>31396</v>
      </c>
      <c r="G442">
        <v>9635</v>
      </c>
      <c r="H442" t="s">
        <v>27</v>
      </c>
      <c r="I442" t="s">
        <v>45</v>
      </c>
      <c r="J442" t="s">
        <v>24</v>
      </c>
    </row>
    <row r="443" spans="1:10" x14ac:dyDescent="0.25">
      <c r="A443" t="s">
        <v>480</v>
      </c>
      <c r="B443" s="1">
        <v>45266</v>
      </c>
      <c r="C443" t="s">
        <v>26</v>
      </c>
      <c r="D443" t="s">
        <v>18</v>
      </c>
      <c r="E443">
        <v>49520</v>
      </c>
      <c r="F443">
        <v>40960</v>
      </c>
      <c r="G443">
        <v>8560</v>
      </c>
      <c r="H443" t="s">
        <v>13</v>
      </c>
      <c r="I443" t="s">
        <v>20</v>
      </c>
      <c r="J443" t="s">
        <v>15</v>
      </c>
    </row>
    <row r="444" spans="1:10" x14ac:dyDescent="0.25">
      <c r="A444" t="s">
        <v>481</v>
      </c>
      <c r="B444" s="1">
        <v>45954</v>
      </c>
      <c r="C444" t="s">
        <v>26</v>
      </c>
      <c r="D444" t="s">
        <v>18</v>
      </c>
      <c r="E444">
        <v>5573</v>
      </c>
      <c r="F444">
        <v>2746</v>
      </c>
      <c r="G444">
        <v>2827</v>
      </c>
      <c r="H444" t="s">
        <v>38</v>
      </c>
      <c r="I444" t="s">
        <v>28</v>
      </c>
      <c r="J444" t="s">
        <v>53</v>
      </c>
    </row>
    <row r="445" spans="1:10" x14ac:dyDescent="0.25">
      <c r="A445" t="s">
        <v>482</v>
      </c>
      <c r="B445" s="1">
        <v>45714</v>
      </c>
      <c r="C445" t="s">
        <v>44</v>
      </c>
      <c r="D445" t="s">
        <v>12</v>
      </c>
      <c r="E445">
        <v>27024</v>
      </c>
      <c r="F445">
        <v>7940</v>
      </c>
      <c r="G445">
        <v>19084</v>
      </c>
      <c r="H445" t="s">
        <v>27</v>
      </c>
      <c r="I445" t="s">
        <v>60</v>
      </c>
      <c r="J445" t="s">
        <v>24</v>
      </c>
    </row>
    <row r="446" spans="1:10" x14ac:dyDescent="0.25">
      <c r="A446" t="s">
        <v>483</v>
      </c>
      <c r="B446" s="1">
        <v>45644</v>
      </c>
      <c r="C446" t="s">
        <v>26</v>
      </c>
      <c r="D446" t="s">
        <v>33</v>
      </c>
      <c r="E446">
        <v>10379</v>
      </c>
      <c r="F446">
        <v>4800</v>
      </c>
      <c r="G446">
        <v>5579</v>
      </c>
      <c r="H446" t="s">
        <v>19</v>
      </c>
      <c r="I446" t="s">
        <v>14</v>
      </c>
      <c r="J446" t="s">
        <v>15</v>
      </c>
    </row>
    <row r="447" spans="1:10" x14ac:dyDescent="0.25">
      <c r="A447" t="s">
        <v>484</v>
      </c>
      <c r="B447" s="1">
        <v>45712</v>
      </c>
      <c r="C447" t="s">
        <v>26</v>
      </c>
      <c r="D447" t="s">
        <v>41</v>
      </c>
      <c r="E447">
        <v>28798</v>
      </c>
      <c r="F447">
        <v>18122</v>
      </c>
      <c r="G447">
        <v>10676</v>
      </c>
      <c r="H447" t="s">
        <v>38</v>
      </c>
      <c r="I447" t="s">
        <v>45</v>
      </c>
      <c r="J447" t="s">
        <v>24</v>
      </c>
    </row>
    <row r="448" spans="1:10" x14ac:dyDescent="0.25">
      <c r="A448" t="s">
        <v>485</v>
      </c>
      <c r="B448" s="1">
        <v>45743</v>
      </c>
      <c r="C448" t="s">
        <v>44</v>
      </c>
      <c r="D448" t="s">
        <v>36</v>
      </c>
      <c r="E448">
        <v>41802</v>
      </c>
      <c r="F448">
        <v>23199</v>
      </c>
      <c r="G448">
        <v>18603</v>
      </c>
      <c r="H448" t="s">
        <v>27</v>
      </c>
      <c r="I448" t="s">
        <v>60</v>
      </c>
      <c r="J448" t="s">
        <v>29</v>
      </c>
    </row>
    <row r="449" spans="1:10" x14ac:dyDescent="0.25">
      <c r="A449" t="s">
        <v>486</v>
      </c>
      <c r="B449" s="1">
        <v>45254</v>
      </c>
      <c r="C449" t="s">
        <v>22</v>
      </c>
      <c r="D449" t="s">
        <v>33</v>
      </c>
      <c r="E449">
        <v>12687</v>
      </c>
      <c r="F449">
        <v>7599</v>
      </c>
      <c r="G449">
        <v>5088</v>
      </c>
      <c r="H449" t="s">
        <v>19</v>
      </c>
      <c r="I449" t="s">
        <v>23</v>
      </c>
      <c r="J449" t="s">
        <v>42</v>
      </c>
    </row>
    <row r="450" spans="1:10" x14ac:dyDescent="0.25">
      <c r="A450" t="s">
        <v>487</v>
      </c>
      <c r="B450" s="1">
        <v>45535</v>
      </c>
      <c r="C450" t="s">
        <v>26</v>
      </c>
      <c r="D450" t="s">
        <v>33</v>
      </c>
      <c r="E450">
        <v>40922</v>
      </c>
      <c r="F450">
        <v>29718</v>
      </c>
      <c r="G450">
        <v>11204</v>
      </c>
      <c r="H450" t="s">
        <v>19</v>
      </c>
      <c r="I450" t="s">
        <v>63</v>
      </c>
      <c r="J450" t="s">
        <v>53</v>
      </c>
    </row>
    <row r="451" spans="1:10" x14ac:dyDescent="0.25">
      <c r="A451" t="s">
        <v>488</v>
      </c>
      <c r="B451" s="1">
        <v>45722</v>
      </c>
      <c r="C451" t="s">
        <v>22</v>
      </c>
      <c r="D451" t="s">
        <v>33</v>
      </c>
      <c r="E451">
        <v>38433</v>
      </c>
      <c r="F451">
        <v>23333</v>
      </c>
      <c r="G451">
        <v>15100</v>
      </c>
      <c r="H451" t="s">
        <v>27</v>
      </c>
      <c r="I451" t="s">
        <v>45</v>
      </c>
      <c r="J451" t="s">
        <v>15</v>
      </c>
    </row>
    <row r="452" spans="1:10" x14ac:dyDescent="0.25">
      <c r="A452" t="s">
        <v>489</v>
      </c>
      <c r="B452" s="1">
        <v>45305</v>
      </c>
      <c r="C452" t="s">
        <v>17</v>
      </c>
      <c r="D452" t="s">
        <v>41</v>
      </c>
      <c r="E452">
        <v>48095</v>
      </c>
      <c r="F452">
        <v>36496</v>
      </c>
      <c r="G452">
        <v>11599</v>
      </c>
      <c r="H452" t="s">
        <v>38</v>
      </c>
      <c r="I452" t="s">
        <v>14</v>
      </c>
      <c r="J452" t="s">
        <v>24</v>
      </c>
    </row>
    <row r="453" spans="1:10" x14ac:dyDescent="0.25">
      <c r="A453" t="s">
        <v>490</v>
      </c>
      <c r="B453" s="1">
        <v>45888</v>
      </c>
      <c r="C453" t="s">
        <v>22</v>
      </c>
      <c r="D453" t="s">
        <v>41</v>
      </c>
      <c r="E453">
        <v>14539</v>
      </c>
      <c r="F453">
        <v>4695</v>
      </c>
      <c r="G453">
        <v>9844</v>
      </c>
      <c r="H453" t="s">
        <v>27</v>
      </c>
      <c r="I453" t="s">
        <v>23</v>
      </c>
      <c r="J453" t="s">
        <v>15</v>
      </c>
    </row>
    <row r="454" spans="1:10" x14ac:dyDescent="0.25">
      <c r="A454" t="s">
        <v>491</v>
      </c>
      <c r="B454" s="1">
        <v>45360</v>
      </c>
      <c r="C454" t="s">
        <v>44</v>
      </c>
      <c r="D454" t="s">
        <v>41</v>
      </c>
      <c r="E454">
        <v>13070</v>
      </c>
      <c r="F454">
        <v>4940</v>
      </c>
      <c r="G454">
        <v>8130</v>
      </c>
      <c r="H454" t="s">
        <v>27</v>
      </c>
      <c r="I454" t="s">
        <v>31</v>
      </c>
      <c r="J454" t="s">
        <v>53</v>
      </c>
    </row>
    <row r="455" spans="1:10" x14ac:dyDescent="0.25">
      <c r="A455" t="s">
        <v>492</v>
      </c>
      <c r="B455" s="1">
        <v>45443</v>
      </c>
      <c r="C455" t="s">
        <v>44</v>
      </c>
      <c r="D455" t="s">
        <v>18</v>
      </c>
      <c r="E455">
        <v>23184</v>
      </c>
      <c r="F455">
        <v>19766</v>
      </c>
      <c r="G455">
        <v>3418</v>
      </c>
      <c r="H455" t="s">
        <v>13</v>
      </c>
      <c r="I455" t="s">
        <v>63</v>
      </c>
      <c r="J455" t="s">
        <v>15</v>
      </c>
    </row>
    <row r="456" spans="1:10" x14ac:dyDescent="0.25">
      <c r="A456" t="s">
        <v>493</v>
      </c>
      <c r="B456" s="1">
        <v>45275</v>
      </c>
      <c r="C456" t="s">
        <v>22</v>
      </c>
      <c r="D456" t="s">
        <v>41</v>
      </c>
      <c r="E456">
        <v>48507</v>
      </c>
      <c r="F456">
        <v>43822</v>
      </c>
      <c r="G456">
        <v>4685</v>
      </c>
      <c r="H456" t="s">
        <v>27</v>
      </c>
      <c r="I456" t="s">
        <v>34</v>
      </c>
      <c r="J456" t="s">
        <v>42</v>
      </c>
    </row>
    <row r="457" spans="1:10" x14ac:dyDescent="0.25">
      <c r="A457" t="s">
        <v>494</v>
      </c>
      <c r="B457" s="1">
        <v>45407</v>
      </c>
      <c r="C457" t="s">
        <v>26</v>
      </c>
      <c r="D457" t="s">
        <v>33</v>
      </c>
      <c r="E457">
        <v>40505</v>
      </c>
      <c r="F457">
        <v>29413</v>
      </c>
      <c r="G457">
        <v>11092</v>
      </c>
      <c r="H457" t="s">
        <v>13</v>
      </c>
      <c r="I457" t="s">
        <v>34</v>
      </c>
      <c r="J457" t="s">
        <v>53</v>
      </c>
    </row>
    <row r="458" spans="1:10" x14ac:dyDescent="0.25">
      <c r="A458" t="s">
        <v>495</v>
      </c>
      <c r="B458" s="1">
        <v>45510</v>
      </c>
      <c r="C458" t="s">
        <v>11</v>
      </c>
      <c r="D458" t="s">
        <v>18</v>
      </c>
      <c r="E458">
        <v>36079</v>
      </c>
      <c r="F458">
        <v>23913</v>
      </c>
      <c r="G458">
        <v>12166</v>
      </c>
      <c r="H458" t="s">
        <v>13</v>
      </c>
      <c r="I458" t="s">
        <v>14</v>
      </c>
      <c r="J458" t="s">
        <v>29</v>
      </c>
    </row>
    <row r="459" spans="1:10" x14ac:dyDescent="0.25">
      <c r="A459" t="s">
        <v>496</v>
      </c>
      <c r="B459" s="1">
        <v>45889</v>
      </c>
      <c r="C459" t="s">
        <v>44</v>
      </c>
      <c r="D459" t="s">
        <v>33</v>
      </c>
      <c r="E459">
        <v>16593</v>
      </c>
      <c r="F459">
        <v>4914</v>
      </c>
      <c r="G459">
        <v>11679</v>
      </c>
      <c r="H459" t="s">
        <v>19</v>
      </c>
      <c r="I459" t="s">
        <v>34</v>
      </c>
      <c r="J459" t="s">
        <v>53</v>
      </c>
    </row>
    <row r="460" spans="1:10" x14ac:dyDescent="0.25">
      <c r="A460" t="s">
        <v>497</v>
      </c>
      <c r="B460" s="1">
        <v>45829</v>
      </c>
      <c r="C460" t="s">
        <v>17</v>
      </c>
      <c r="D460" t="s">
        <v>33</v>
      </c>
      <c r="E460">
        <v>40644</v>
      </c>
      <c r="F460">
        <v>21227</v>
      </c>
      <c r="G460">
        <v>19417</v>
      </c>
      <c r="H460" t="s">
        <v>13</v>
      </c>
      <c r="I460" t="s">
        <v>14</v>
      </c>
      <c r="J460" t="s">
        <v>29</v>
      </c>
    </row>
    <row r="461" spans="1:10" x14ac:dyDescent="0.25">
      <c r="A461" t="s">
        <v>498</v>
      </c>
      <c r="B461" s="1">
        <v>45806</v>
      </c>
      <c r="C461" t="s">
        <v>44</v>
      </c>
      <c r="D461" t="s">
        <v>41</v>
      </c>
      <c r="E461">
        <v>25294</v>
      </c>
      <c r="F461">
        <v>23274</v>
      </c>
      <c r="G461">
        <v>2020</v>
      </c>
      <c r="H461" t="s">
        <v>27</v>
      </c>
      <c r="I461" t="s">
        <v>23</v>
      </c>
      <c r="J461" t="s">
        <v>24</v>
      </c>
    </row>
    <row r="462" spans="1:10" x14ac:dyDescent="0.25">
      <c r="A462" t="s">
        <v>499</v>
      </c>
      <c r="B462" s="1">
        <v>45683</v>
      </c>
      <c r="C462" t="s">
        <v>44</v>
      </c>
      <c r="D462" t="s">
        <v>33</v>
      </c>
      <c r="E462">
        <v>32953</v>
      </c>
      <c r="F462">
        <v>21168</v>
      </c>
      <c r="G462">
        <v>11785</v>
      </c>
      <c r="H462" t="s">
        <v>38</v>
      </c>
      <c r="I462" t="s">
        <v>31</v>
      </c>
      <c r="J462" t="s">
        <v>53</v>
      </c>
    </row>
    <row r="463" spans="1:10" x14ac:dyDescent="0.25">
      <c r="A463" t="s">
        <v>500</v>
      </c>
      <c r="B463" s="1">
        <v>45568</v>
      </c>
      <c r="C463" t="s">
        <v>26</v>
      </c>
      <c r="D463" t="s">
        <v>12</v>
      </c>
      <c r="E463">
        <v>20707</v>
      </c>
      <c r="F463">
        <v>12584</v>
      </c>
      <c r="G463">
        <v>8123</v>
      </c>
      <c r="H463" t="s">
        <v>27</v>
      </c>
      <c r="I463" t="s">
        <v>20</v>
      </c>
      <c r="J463" t="s">
        <v>53</v>
      </c>
    </row>
    <row r="464" spans="1:10" x14ac:dyDescent="0.25">
      <c r="A464" t="s">
        <v>501</v>
      </c>
      <c r="B464" s="1">
        <v>45440</v>
      </c>
      <c r="C464" t="s">
        <v>26</v>
      </c>
      <c r="D464" t="s">
        <v>12</v>
      </c>
      <c r="E464">
        <v>19322</v>
      </c>
      <c r="F464">
        <v>8022</v>
      </c>
      <c r="G464">
        <v>11300</v>
      </c>
      <c r="H464" t="s">
        <v>13</v>
      </c>
      <c r="I464" t="s">
        <v>20</v>
      </c>
      <c r="J464" t="s">
        <v>24</v>
      </c>
    </row>
    <row r="465" spans="1:10" x14ac:dyDescent="0.25">
      <c r="A465" t="s">
        <v>502</v>
      </c>
      <c r="B465" s="1">
        <v>45443</v>
      </c>
      <c r="C465" t="s">
        <v>17</v>
      </c>
      <c r="D465" t="s">
        <v>33</v>
      </c>
      <c r="E465">
        <v>33821</v>
      </c>
      <c r="F465">
        <v>31068</v>
      </c>
      <c r="G465">
        <v>2753</v>
      </c>
      <c r="H465" t="s">
        <v>19</v>
      </c>
      <c r="I465" t="s">
        <v>23</v>
      </c>
      <c r="J465" t="s">
        <v>53</v>
      </c>
    </row>
    <row r="466" spans="1:10" x14ac:dyDescent="0.25">
      <c r="A466" t="s">
        <v>503</v>
      </c>
      <c r="B466" s="1">
        <v>46108</v>
      </c>
      <c r="C466" t="s">
        <v>11</v>
      </c>
      <c r="D466" t="s">
        <v>33</v>
      </c>
      <c r="E466">
        <v>39632</v>
      </c>
      <c r="F466">
        <v>36683</v>
      </c>
      <c r="G466">
        <v>2949</v>
      </c>
      <c r="H466" t="s">
        <v>27</v>
      </c>
      <c r="I466" t="s">
        <v>14</v>
      </c>
      <c r="J466" t="s">
        <v>29</v>
      </c>
    </row>
    <row r="467" spans="1:10" x14ac:dyDescent="0.25">
      <c r="A467" t="s">
        <v>504</v>
      </c>
      <c r="B467" s="1">
        <v>45830</v>
      </c>
      <c r="C467" t="s">
        <v>44</v>
      </c>
      <c r="D467" t="s">
        <v>41</v>
      </c>
      <c r="E467">
        <v>13235</v>
      </c>
      <c r="F467">
        <v>2137</v>
      </c>
      <c r="G467">
        <v>11098</v>
      </c>
      <c r="H467" t="s">
        <v>27</v>
      </c>
      <c r="I467" t="s">
        <v>63</v>
      </c>
      <c r="J467" t="s">
        <v>53</v>
      </c>
    </row>
    <row r="468" spans="1:10" x14ac:dyDescent="0.25">
      <c r="A468" t="s">
        <v>505</v>
      </c>
      <c r="B468" s="1">
        <v>46020</v>
      </c>
      <c r="C468" t="s">
        <v>22</v>
      </c>
      <c r="D468" t="s">
        <v>33</v>
      </c>
      <c r="E468">
        <v>49595</v>
      </c>
      <c r="F468">
        <v>31816</v>
      </c>
      <c r="G468">
        <v>17779</v>
      </c>
      <c r="H468" t="s">
        <v>27</v>
      </c>
      <c r="I468" t="s">
        <v>28</v>
      </c>
      <c r="J468" t="s">
        <v>15</v>
      </c>
    </row>
    <row r="469" spans="1:10" x14ac:dyDescent="0.25">
      <c r="A469" t="s">
        <v>506</v>
      </c>
      <c r="B469" s="1">
        <v>45419</v>
      </c>
      <c r="C469" t="s">
        <v>26</v>
      </c>
      <c r="D469" t="s">
        <v>12</v>
      </c>
      <c r="E469">
        <v>21948</v>
      </c>
      <c r="F469">
        <v>15345</v>
      </c>
      <c r="G469">
        <v>6603</v>
      </c>
      <c r="H469" t="s">
        <v>27</v>
      </c>
      <c r="I469" t="s">
        <v>31</v>
      </c>
      <c r="J469" t="s">
        <v>29</v>
      </c>
    </row>
    <row r="470" spans="1:10" x14ac:dyDescent="0.25">
      <c r="A470" t="s">
        <v>507</v>
      </c>
      <c r="B470" s="1">
        <v>45550</v>
      </c>
      <c r="C470" t="s">
        <v>22</v>
      </c>
      <c r="D470" t="s">
        <v>41</v>
      </c>
      <c r="E470">
        <v>15741</v>
      </c>
      <c r="F470">
        <v>8943</v>
      </c>
      <c r="G470">
        <v>6798</v>
      </c>
      <c r="H470" t="s">
        <v>19</v>
      </c>
      <c r="I470" t="s">
        <v>23</v>
      </c>
      <c r="J470" t="s">
        <v>29</v>
      </c>
    </row>
    <row r="471" spans="1:10" x14ac:dyDescent="0.25">
      <c r="A471" t="s">
        <v>508</v>
      </c>
      <c r="B471" s="1">
        <v>45312</v>
      </c>
      <c r="C471" t="s">
        <v>26</v>
      </c>
      <c r="D471" t="s">
        <v>41</v>
      </c>
      <c r="E471">
        <v>44222</v>
      </c>
      <c r="F471">
        <v>25929</v>
      </c>
      <c r="G471">
        <v>18293</v>
      </c>
      <c r="H471" t="s">
        <v>19</v>
      </c>
      <c r="I471" t="s">
        <v>31</v>
      </c>
      <c r="J471" t="s">
        <v>29</v>
      </c>
    </row>
    <row r="472" spans="1:10" x14ac:dyDescent="0.25">
      <c r="A472" t="s">
        <v>509</v>
      </c>
      <c r="B472" s="1">
        <v>45783</v>
      </c>
      <c r="C472" t="s">
        <v>11</v>
      </c>
      <c r="D472" t="s">
        <v>41</v>
      </c>
      <c r="E472">
        <v>15649</v>
      </c>
      <c r="F472">
        <v>13682</v>
      </c>
      <c r="G472">
        <v>1967</v>
      </c>
      <c r="H472" t="s">
        <v>27</v>
      </c>
      <c r="I472" t="s">
        <v>63</v>
      </c>
      <c r="J472" t="s">
        <v>29</v>
      </c>
    </row>
    <row r="473" spans="1:10" x14ac:dyDescent="0.25">
      <c r="A473" t="s">
        <v>510</v>
      </c>
      <c r="B473" s="1">
        <v>45923</v>
      </c>
      <c r="C473" t="s">
        <v>26</v>
      </c>
      <c r="D473" t="s">
        <v>12</v>
      </c>
      <c r="E473">
        <v>13131</v>
      </c>
      <c r="F473">
        <v>521</v>
      </c>
      <c r="G473">
        <v>12610</v>
      </c>
      <c r="H473" t="s">
        <v>13</v>
      </c>
      <c r="I473" t="s">
        <v>45</v>
      </c>
      <c r="J473" t="s">
        <v>29</v>
      </c>
    </row>
    <row r="474" spans="1:10" x14ac:dyDescent="0.25">
      <c r="A474" t="s">
        <v>511</v>
      </c>
      <c r="B474" s="1">
        <v>45921</v>
      </c>
      <c r="C474" t="s">
        <v>26</v>
      </c>
      <c r="D474" t="s">
        <v>41</v>
      </c>
      <c r="E474">
        <v>16076</v>
      </c>
      <c r="F474">
        <v>787</v>
      </c>
      <c r="G474">
        <v>15289</v>
      </c>
      <c r="H474" t="s">
        <v>19</v>
      </c>
      <c r="I474" t="s">
        <v>45</v>
      </c>
      <c r="J474" t="s">
        <v>29</v>
      </c>
    </row>
    <row r="475" spans="1:10" x14ac:dyDescent="0.25">
      <c r="A475" t="s">
        <v>512</v>
      </c>
      <c r="B475" s="1">
        <v>45761</v>
      </c>
      <c r="C475" t="s">
        <v>22</v>
      </c>
      <c r="D475" t="s">
        <v>33</v>
      </c>
      <c r="E475">
        <v>16253</v>
      </c>
      <c r="F475">
        <v>3024</v>
      </c>
      <c r="G475">
        <v>13229</v>
      </c>
      <c r="H475" t="s">
        <v>38</v>
      </c>
      <c r="I475" t="s">
        <v>14</v>
      </c>
      <c r="J475" t="s">
        <v>24</v>
      </c>
    </row>
    <row r="476" spans="1:10" x14ac:dyDescent="0.25">
      <c r="A476" t="s">
        <v>513</v>
      </c>
      <c r="B476" s="1">
        <v>45218</v>
      </c>
      <c r="C476" t="s">
        <v>22</v>
      </c>
      <c r="D476" t="s">
        <v>36</v>
      </c>
      <c r="E476">
        <v>20724</v>
      </c>
      <c r="F476">
        <v>6005</v>
      </c>
      <c r="G476">
        <v>14719</v>
      </c>
      <c r="H476" t="s">
        <v>13</v>
      </c>
      <c r="I476" t="s">
        <v>31</v>
      </c>
      <c r="J476" t="s">
        <v>15</v>
      </c>
    </row>
    <row r="477" spans="1:10" x14ac:dyDescent="0.25">
      <c r="A477" t="s">
        <v>514</v>
      </c>
      <c r="B477" s="1">
        <v>45124</v>
      </c>
      <c r="C477" t="s">
        <v>17</v>
      </c>
      <c r="D477" t="s">
        <v>12</v>
      </c>
      <c r="E477">
        <v>20584</v>
      </c>
      <c r="F477">
        <v>13202</v>
      </c>
      <c r="G477">
        <v>7382</v>
      </c>
      <c r="H477" t="s">
        <v>38</v>
      </c>
      <c r="I477" t="s">
        <v>63</v>
      </c>
      <c r="J477" t="s">
        <v>24</v>
      </c>
    </row>
    <row r="478" spans="1:10" x14ac:dyDescent="0.25">
      <c r="A478" t="s">
        <v>515</v>
      </c>
      <c r="B478" s="1">
        <v>45156</v>
      </c>
      <c r="C478" t="s">
        <v>44</v>
      </c>
      <c r="D478" t="s">
        <v>12</v>
      </c>
      <c r="E478">
        <v>19563</v>
      </c>
      <c r="F478">
        <v>18751</v>
      </c>
      <c r="G478">
        <v>812</v>
      </c>
      <c r="H478" t="s">
        <v>27</v>
      </c>
      <c r="I478" t="s">
        <v>34</v>
      </c>
      <c r="J478" t="s">
        <v>15</v>
      </c>
    </row>
    <row r="479" spans="1:10" x14ac:dyDescent="0.25">
      <c r="A479" t="s">
        <v>516</v>
      </c>
      <c r="B479" s="1">
        <v>45473</v>
      </c>
      <c r="C479" t="s">
        <v>26</v>
      </c>
      <c r="D479" t="s">
        <v>41</v>
      </c>
      <c r="E479">
        <v>8690</v>
      </c>
      <c r="F479">
        <v>1102</v>
      </c>
      <c r="G479">
        <v>7588</v>
      </c>
      <c r="H479" t="s">
        <v>13</v>
      </c>
      <c r="I479" t="s">
        <v>34</v>
      </c>
      <c r="J479" t="s">
        <v>29</v>
      </c>
    </row>
    <row r="480" spans="1:10" x14ac:dyDescent="0.25">
      <c r="A480" t="s">
        <v>517</v>
      </c>
      <c r="B480" s="1">
        <v>46040</v>
      </c>
      <c r="C480" t="s">
        <v>22</v>
      </c>
      <c r="D480" t="s">
        <v>33</v>
      </c>
      <c r="E480">
        <v>29878</v>
      </c>
      <c r="F480">
        <v>23368</v>
      </c>
      <c r="G480">
        <v>6510</v>
      </c>
      <c r="H480" t="s">
        <v>27</v>
      </c>
      <c r="I480" t="s">
        <v>31</v>
      </c>
      <c r="J480" t="s">
        <v>53</v>
      </c>
    </row>
    <row r="481" spans="1:10" x14ac:dyDescent="0.25">
      <c r="A481" t="s">
        <v>518</v>
      </c>
      <c r="B481" s="1">
        <v>45991</v>
      </c>
      <c r="C481" t="s">
        <v>44</v>
      </c>
      <c r="D481" t="s">
        <v>33</v>
      </c>
      <c r="E481">
        <v>23967</v>
      </c>
      <c r="F481">
        <v>8141</v>
      </c>
      <c r="G481">
        <v>15826</v>
      </c>
      <c r="H481" t="s">
        <v>27</v>
      </c>
      <c r="I481" t="s">
        <v>14</v>
      </c>
      <c r="J481" t="s">
        <v>42</v>
      </c>
    </row>
    <row r="482" spans="1:10" x14ac:dyDescent="0.25">
      <c r="A482" t="s">
        <v>519</v>
      </c>
      <c r="B482" s="1">
        <v>45131</v>
      </c>
      <c r="C482" t="s">
        <v>11</v>
      </c>
      <c r="D482" t="s">
        <v>12</v>
      </c>
      <c r="E482">
        <v>41011</v>
      </c>
      <c r="F482">
        <v>35816</v>
      </c>
      <c r="G482">
        <v>5195</v>
      </c>
      <c r="H482" t="s">
        <v>38</v>
      </c>
      <c r="I482" t="s">
        <v>63</v>
      </c>
      <c r="J482" t="s">
        <v>29</v>
      </c>
    </row>
    <row r="483" spans="1:10" x14ac:dyDescent="0.25">
      <c r="A483" t="s">
        <v>520</v>
      </c>
      <c r="B483" s="1">
        <v>45751</v>
      </c>
      <c r="C483" t="s">
        <v>44</v>
      </c>
      <c r="D483" t="s">
        <v>33</v>
      </c>
      <c r="E483">
        <v>34662</v>
      </c>
      <c r="F483">
        <v>21347</v>
      </c>
      <c r="G483">
        <v>13315</v>
      </c>
      <c r="H483" t="s">
        <v>13</v>
      </c>
      <c r="I483" t="s">
        <v>28</v>
      </c>
      <c r="J483" t="s">
        <v>24</v>
      </c>
    </row>
    <row r="484" spans="1:10" x14ac:dyDescent="0.25">
      <c r="A484" t="s">
        <v>521</v>
      </c>
      <c r="B484" s="1">
        <v>46002</v>
      </c>
      <c r="C484" t="s">
        <v>17</v>
      </c>
      <c r="D484" t="s">
        <v>41</v>
      </c>
      <c r="E484">
        <v>13531</v>
      </c>
      <c r="F484">
        <v>6792</v>
      </c>
      <c r="G484">
        <v>6739</v>
      </c>
      <c r="H484" t="s">
        <v>13</v>
      </c>
      <c r="I484" t="s">
        <v>34</v>
      </c>
      <c r="J484" t="s">
        <v>53</v>
      </c>
    </row>
    <row r="485" spans="1:10" x14ac:dyDescent="0.25">
      <c r="A485" t="s">
        <v>522</v>
      </c>
      <c r="B485" s="1">
        <v>45482</v>
      </c>
      <c r="C485" t="s">
        <v>44</v>
      </c>
      <c r="D485" t="s">
        <v>18</v>
      </c>
      <c r="E485">
        <v>19197</v>
      </c>
      <c r="F485">
        <v>18588</v>
      </c>
      <c r="G485">
        <v>609</v>
      </c>
      <c r="H485" t="s">
        <v>27</v>
      </c>
      <c r="I485" t="s">
        <v>45</v>
      </c>
      <c r="J485" t="s">
        <v>24</v>
      </c>
    </row>
    <row r="486" spans="1:10" x14ac:dyDescent="0.25">
      <c r="A486" t="s">
        <v>523</v>
      </c>
      <c r="B486" s="1">
        <v>45403</v>
      </c>
      <c r="C486" t="s">
        <v>44</v>
      </c>
      <c r="D486" t="s">
        <v>33</v>
      </c>
      <c r="E486">
        <v>10813</v>
      </c>
      <c r="F486">
        <v>10305</v>
      </c>
      <c r="G486">
        <v>508</v>
      </c>
      <c r="H486" t="s">
        <v>19</v>
      </c>
      <c r="I486" t="s">
        <v>31</v>
      </c>
      <c r="J486" t="s">
        <v>29</v>
      </c>
    </row>
    <row r="487" spans="1:10" x14ac:dyDescent="0.25">
      <c r="A487" t="s">
        <v>524</v>
      </c>
      <c r="B487" s="1">
        <v>45708</v>
      </c>
      <c r="C487" t="s">
        <v>44</v>
      </c>
      <c r="D487" t="s">
        <v>41</v>
      </c>
      <c r="E487">
        <v>48435</v>
      </c>
      <c r="F487">
        <v>45282</v>
      </c>
      <c r="G487">
        <v>3153</v>
      </c>
      <c r="H487" t="s">
        <v>27</v>
      </c>
      <c r="I487" t="s">
        <v>14</v>
      </c>
      <c r="J487" t="s">
        <v>29</v>
      </c>
    </row>
    <row r="488" spans="1:10" x14ac:dyDescent="0.25">
      <c r="A488" t="s">
        <v>525</v>
      </c>
      <c r="B488" s="1">
        <v>45966</v>
      </c>
      <c r="C488" t="s">
        <v>11</v>
      </c>
      <c r="D488" t="s">
        <v>33</v>
      </c>
      <c r="E488">
        <v>49998</v>
      </c>
      <c r="F488">
        <v>43886</v>
      </c>
      <c r="G488">
        <v>6112</v>
      </c>
      <c r="H488" t="s">
        <v>27</v>
      </c>
      <c r="I488" t="s">
        <v>45</v>
      </c>
      <c r="J488" t="s">
        <v>15</v>
      </c>
    </row>
    <row r="489" spans="1:10" x14ac:dyDescent="0.25">
      <c r="A489" t="s">
        <v>526</v>
      </c>
      <c r="B489" s="1">
        <v>46055</v>
      </c>
      <c r="C489" t="s">
        <v>17</v>
      </c>
      <c r="D489" t="s">
        <v>33</v>
      </c>
      <c r="E489">
        <v>38300</v>
      </c>
      <c r="F489">
        <v>20981</v>
      </c>
      <c r="G489">
        <v>17319</v>
      </c>
      <c r="H489" t="s">
        <v>13</v>
      </c>
      <c r="I489" t="s">
        <v>45</v>
      </c>
      <c r="J489" t="s">
        <v>29</v>
      </c>
    </row>
    <row r="490" spans="1:10" x14ac:dyDescent="0.25">
      <c r="A490" t="s">
        <v>527</v>
      </c>
      <c r="B490" s="1">
        <v>45580</v>
      </c>
      <c r="C490" t="s">
        <v>44</v>
      </c>
      <c r="D490" t="s">
        <v>33</v>
      </c>
      <c r="E490">
        <v>23430</v>
      </c>
      <c r="F490">
        <v>5696</v>
      </c>
      <c r="G490">
        <v>17734</v>
      </c>
      <c r="H490" t="s">
        <v>38</v>
      </c>
      <c r="I490" t="s">
        <v>23</v>
      </c>
      <c r="J490" t="s">
        <v>53</v>
      </c>
    </row>
    <row r="491" spans="1:10" x14ac:dyDescent="0.25">
      <c r="A491" t="s">
        <v>528</v>
      </c>
      <c r="B491" s="1">
        <v>45417</v>
      </c>
      <c r="C491" t="s">
        <v>11</v>
      </c>
      <c r="D491" t="s">
        <v>36</v>
      </c>
      <c r="E491">
        <v>29712</v>
      </c>
      <c r="F491">
        <v>12316</v>
      </c>
      <c r="G491">
        <v>17396</v>
      </c>
      <c r="H491" t="s">
        <v>19</v>
      </c>
      <c r="I491" t="s">
        <v>63</v>
      </c>
      <c r="J491" t="s">
        <v>29</v>
      </c>
    </row>
    <row r="492" spans="1:10" x14ac:dyDescent="0.25">
      <c r="A492" t="s">
        <v>529</v>
      </c>
      <c r="B492" s="1">
        <v>45515</v>
      </c>
      <c r="C492" t="s">
        <v>26</v>
      </c>
      <c r="D492" t="s">
        <v>36</v>
      </c>
      <c r="E492">
        <v>14841</v>
      </c>
      <c r="F492">
        <v>8452</v>
      </c>
      <c r="G492">
        <v>6389</v>
      </c>
      <c r="H492" t="s">
        <v>38</v>
      </c>
      <c r="I492" t="s">
        <v>45</v>
      </c>
      <c r="J492" t="s">
        <v>15</v>
      </c>
    </row>
    <row r="493" spans="1:10" x14ac:dyDescent="0.25">
      <c r="A493" t="s">
        <v>530</v>
      </c>
      <c r="B493" s="1">
        <v>45668</v>
      </c>
      <c r="C493" t="s">
        <v>26</v>
      </c>
      <c r="D493" t="s">
        <v>18</v>
      </c>
      <c r="E493">
        <v>43809</v>
      </c>
      <c r="F493">
        <v>35548</v>
      </c>
      <c r="G493">
        <v>8261</v>
      </c>
      <c r="H493" t="s">
        <v>27</v>
      </c>
      <c r="I493" t="s">
        <v>31</v>
      </c>
      <c r="J493" t="s">
        <v>29</v>
      </c>
    </row>
    <row r="494" spans="1:10" x14ac:dyDescent="0.25">
      <c r="A494" t="s">
        <v>531</v>
      </c>
      <c r="B494" s="1">
        <v>45402</v>
      </c>
      <c r="C494" t="s">
        <v>11</v>
      </c>
      <c r="D494" t="s">
        <v>41</v>
      </c>
      <c r="E494">
        <v>34291</v>
      </c>
      <c r="F494">
        <v>18224</v>
      </c>
      <c r="G494">
        <v>16067</v>
      </c>
      <c r="H494" t="s">
        <v>27</v>
      </c>
      <c r="I494" t="s">
        <v>63</v>
      </c>
      <c r="J494" t="s">
        <v>29</v>
      </c>
    </row>
    <row r="495" spans="1:10" x14ac:dyDescent="0.25">
      <c r="A495" t="s">
        <v>532</v>
      </c>
      <c r="B495" s="1">
        <v>45706</v>
      </c>
      <c r="C495" t="s">
        <v>11</v>
      </c>
      <c r="D495" t="s">
        <v>12</v>
      </c>
      <c r="E495">
        <v>14267</v>
      </c>
      <c r="F495">
        <v>3326</v>
      </c>
      <c r="G495">
        <v>10941</v>
      </c>
      <c r="H495" t="s">
        <v>19</v>
      </c>
      <c r="I495" t="s">
        <v>45</v>
      </c>
      <c r="J495" t="s">
        <v>42</v>
      </c>
    </row>
    <row r="496" spans="1:10" x14ac:dyDescent="0.25">
      <c r="A496" t="s">
        <v>533</v>
      </c>
      <c r="B496" s="1">
        <v>46204</v>
      </c>
      <c r="C496" t="s">
        <v>26</v>
      </c>
      <c r="D496" t="s">
        <v>12</v>
      </c>
      <c r="E496">
        <v>24112</v>
      </c>
      <c r="F496">
        <v>14408</v>
      </c>
      <c r="G496">
        <v>9704</v>
      </c>
      <c r="H496" t="s">
        <v>13</v>
      </c>
      <c r="I496" t="s">
        <v>34</v>
      </c>
      <c r="J496" t="s">
        <v>53</v>
      </c>
    </row>
    <row r="497" spans="1:10" x14ac:dyDescent="0.25">
      <c r="A497" t="s">
        <v>534</v>
      </c>
      <c r="B497" s="1">
        <v>45568</v>
      </c>
      <c r="C497" t="s">
        <v>26</v>
      </c>
      <c r="D497" t="s">
        <v>36</v>
      </c>
      <c r="E497">
        <v>34411</v>
      </c>
      <c r="F497">
        <v>24064</v>
      </c>
      <c r="G497">
        <v>10347</v>
      </c>
      <c r="H497" t="s">
        <v>27</v>
      </c>
      <c r="I497" t="s">
        <v>28</v>
      </c>
      <c r="J497" t="s">
        <v>29</v>
      </c>
    </row>
    <row r="498" spans="1:10" x14ac:dyDescent="0.25">
      <c r="A498" t="s">
        <v>535</v>
      </c>
      <c r="B498" s="1">
        <v>45390</v>
      </c>
      <c r="C498" t="s">
        <v>26</v>
      </c>
      <c r="D498" t="s">
        <v>18</v>
      </c>
      <c r="E498">
        <v>11057</v>
      </c>
      <c r="F498">
        <v>2474</v>
      </c>
      <c r="G498">
        <v>8583</v>
      </c>
      <c r="H498" t="s">
        <v>19</v>
      </c>
      <c r="I498" t="s">
        <v>60</v>
      </c>
      <c r="J498" t="s">
        <v>42</v>
      </c>
    </row>
    <row r="499" spans="1:10" x14ac:dyDescent="0.25">
      <c r="A499" t="s">
        <v>536</v>
      </c>
      <c r="B499" s="1">
        <v>45911</v>
      </c>
      <c r="C499" t="s">
        <v>11</v>
      </c>
      <c r="D499" t="s">
        <v>12</v>
      </c>
      <c r="E499">
        <v>48101</v>
      </c>
      <c r="F499">
        <v>36006</v>
      </c>
      <c r="G499">
        <v>12095</v>
      </c>
      <c r="H499" t="s">
        <v>38</v>
      </c>
      <c r="I499" t="s">
        <v>23</v>
      </c>
      <c r="J499" t="s">
        <v>53</v>
      </c>
    </row>
    <row r="500" spans="1:10" x14ac:dyDescent="0.25">
      <c r="A500" t="s">
        <v>537</v>
      </c>
      <c r="B500" s="1">
        <v>45429</v>
      </c>
      <c r="C500" t="s">
        <v>26</v>
      </c>
      <c r="D500" t="s">
        <v>36</v>
      </c>
      <c r="E500">
        <v>42696</v>
      </c>
      <c r="F500">
        <v>40383</v>
      </c>
      <c r="G500">
        <v>2313</v>
      </c>
      <c r="H500" t="s">
        <v>27</v>
      </c>
      <c r="I500" t="s">
        <v>31</v>
      </c>
      <c r="J500" t="s">
        <v>15</v>
      </c>
    </row>
    <row r="501" spans="1:10" x14ac:dyDescent="0.25">
      <c r="A501" t="s">
        <v>538</v>
      </c>
      <c r="B501" s="1">
        <v>45819</v>
      </c>
      <c r="C501" t="s">
        <v>11</v>
      </c>
      <c r="D501" t="s">
        <v>12</v>
      </c>
      <c r="E501">
        <v>34615</v>
      </c>
      <c r="F501">
        <v>27573</v>
      </c>
      <c r="G501">
        <v>7042</v>
      </c>
      <c r="H501" t="s">
        <v>19</v>
      </c>
      <c r="I501" t="s">
        <v>34</v>
      </c>
      <c r="J501" t="s">
        <v>42</v>
      </c>
    </row>
    <row r="502" spans="1:10" x14ac:dyDescent="0.25">
      <c r="A502" t="s">
        <v>539</v>
      </c>
      <c r="B502" s="1">
        <v>45455</v>
      </c>
      <c r="C502" t="s">
        <v>22</v>
      </c>
      <c r="D502" t="s">
        <v>18</v>
      </c>
      <c r="E502">
        <v>8125</v>
      </c>
      <c r="F502">
        <v>4581</v>
      </c>
      <c r="G502">
        <v>3544</v>
      </c>
      <c r="H502" t="s">
        <v>13</v>
      </c>
      <c r="I502" t="s">
        <v>31</v>
      </c>
      <c r="J502" t="s">
        <v>24</v>
      </c>
    </row>
    <row r="503" spans="1:10" x14ac:dyDescent="0.25">
      <c r="A503" t="s">
        <v>540</v>
      </c>
      <c r="B503" s="1">
        <v>45799</v>
      </c>
      <c r="C503" t="s">
        <v>26</v>
      </c>
      <c r="D503" t="s">
        <v>36</v>
      </c>
      <c r="E503">
        <v>38276</v>
      </c>
      <c r="F503">
        <v>26040</v>
      </c>
      <c r="G503">
        <v>12236</v>
      </c>
      <c r="H503" t="s">
        <v>13</v>
      </c>
      <c r="I503" t="s">
        <v>34</v>
      </c>
      <c r="J503" t="s">
        <v>24</v>
      </c>
    </row>
    <row r="504" spans="1:10" x14ac:dyDescent="0.25">
      <c r="A504" t="s">
        <v>541</v>
      </c>
      <c r="B504" s="1">
        <v>45610</v>
      </c>
      <c r="C504" t="s">
        <v>26</v>
      </c>
      <c r="D504" t="s">
        <v>36</v>
      </c>
      <c r="E504">
        <v>42718</v>
      </c>
      <c r="F504">
        <v>37899</v>
      </c>
      <c r="G504">
        <v>4819</v>
      </c>
      <c r="H504" t="s">
        <v>19</v>
      </c>
      <c r="I504" t="s">
        <v>63</v>
      </c>
      <c r="J504" t="s">
        <v>42</v>
      </c>
    </row>
    <row r="505" spans="1:10" x14ac:dyDescent="0.25">
      <c r="A505" t="s">
        <v>542</v>
      </c>
      <c r="B505" s="1">
        <v>45540</v>
      </c>
      <c r="C505" t="s">
        <v>11</v>
      </c>
      <c r="D505" t="s">
        <v>41</v>
      </c>
      <c r="E505">
        <v>20396</v>
      </c>
      <c r="F505">
        <v>16611</v>
      </c>
      <c r="G505">
        <v>3785</v>
      </c>
      <c r="H505" t="s">
        <v>27</v>
      </c>
      <c r="I505" t="s">
        <v>20</v>
      </c>
      <c r="J505" t="s">
        <v>29</v>
      </c>
    </row>
    <row r="506" spans="1:10" x14ac:dyDescent="0.25">
      <c r="A506" t="s">
        <v>543</v>
      </c>
      <c r="B506" s="1">
        <v>45330</v>
      </c>
      <c r="C506" t="s">
        <v>26</v>
      </c>
      <c r="D506" t="s">
        <v>18</v>
      </c>
      <c r="E506">
        <v>44272</v>
      </c>
      <c r="F506">
        <v>24955</v>
      </c>
      <c r="G506">
        <v>19317</v>
      </c>
      <c r="H506" t="s">
        <v>38</v>
      </c>
      <c r="I506" t="s">
        <v>34</v>
      </c>
      <c r="J506" t="s">
        <v>29</v>
      </c>
    </row>
    <row r="507" spans="1:10" x14ac:dyDescent="0.25">
      <c r="A507" t="s">
        <v>544</v>
      </c>
      <c r="B507" s="1">
        <v>45290</v>
      </c>
      <c r="C507" t="s">
        <v>17</v>
      </c>
      <c r="D507" t="s">
        <v>12</v>
      </c>
      <c r="E507">
        <v>12919</v>
      </c>
      <c r="F507">
        <v>3899</v>
      </c>
      <c r="G507">
        <v>9020</v>
      </c>
      <c r="H507" t="s">
        <v>13</v>
      </c>
      <c r="I507" t="s">
        <v>78</v>
      </c>
      <c r="J507" t="s">
        <v>24</v>
      </c>
    </row>
    <row r="508" spans="1:10" x14ac:dyDescent="0.25">
      <c r="A508" t="s">
        <v>545</v>
      </c>
      <c r="B508" s="1">
        <v>45670</v>
      </c>
      <c r="C508" t="s">
        <v>17</v>
      </c>
      <c r="D508" t="s">
        <v>33</v>
      </c>
      <c r="E508">
        <v>31150</v>
      </c>
      <c r="F508">
        <v>23656</v>
      </c>
      <c r="G508">
        <v>7494</v>
      </c>
      <c r="H508" t="s">
        <v>13</v>
      </c>
      <c r="I508" t="s">
        <v>28</v>
      </c>
      <c r="J508" t="s">
        <v>29</v>
      </c>
    </row>
    <row r="509" spans="1:10" x14ac:dyDescent="0.25">
      <c r="A509" t="s">
        <v>546</v>
      </c>
      <c r="B509" s="1">
        <v>45388</v>
      </c>
      <c r="C509" t="s">
        <v>11</v>
      </c>
      <c r="D509" t="s">
        <v>18</v>
      </c>
      <c r="E509">
        <v>7977</v>
      </c>
      <c r="F509">
        <v>4607</v>
      </c>
      <c r="G509">
        <v>3370</v>
      </c>
      <c r="H509" t="s">
        <v>19</v>
      </c>
      <c r="I509" t="s">
        <v>60</v>
      </c>
      <c r="J509" t="s">
        <v>24</v>
      </c>
    </row>
    <row r="510" spans="1:10" x14ac:dyDescent="0.25">
      <c r="A510" t="s">
        <v>547</v>
      </c>
      <c r="B510" s="1">
        <v>45596</v>
      </c>
      <c r="C510" t="s">
        <v>17</v>
      </c>
      <c r="D510" t="s">
        <v>18</v>
      </c>
      <c r="E510">
        <v>5697</v>
      </c>
      <c r="F510">
        <v>3463</v>
      </c>
      <c r="G510">
        <v>2234</v>
      </c>
      <c r="H510" t="s">
        <v>13</v>
      </c>
      <c r="I510" t="s">
        <v>60</v>
      </c>
      <c r="J510" t="s">
        <v>29</v>
      </c>
    </row>
    <row r="511" spans="1:10" x14ac:dyDescent="0.25">
      <c r="A511" t="s">
        <v>548</v>
      </c>
      <c r="B511" s="1">
        <v>45177</v>
      </c>
      <c r="C511" t="s">
        <v>44</v>
      </c>
      <c r="D511" t="s">
        <v>36</v>
      </c>
      <c r="E511">
        <v>40454</v>
      </c>
      <c r="F511">
        <v>29808</v>
      </c>
      <c r="G511">
        <v>10646</v>
      </c>
      <c r="H511" t="s">
        <v>13</v>
      </c>
      <c r="I511" t="s">
        <v>60</v>
      </c>
      <c r="J511" t="s">
        <v>53</v>
      </c>
    </row>
    <row r="512" spans="1:10" x14ac:dyDescent="0.25">
      <c r="A512" t="s">
        <v>549</v>
      </c>
      <c r="B512" s="1">
        <v>45303</v>
      </c>
      <c r="C512" t="s">
        <v>17</v>
      </c>
      <c r="D512" t="s">
        <v>18</v>
      </c>
      <c r="E512">
        <v>6797</v>
      </c>
      <c r="F512">
        <v>5662</v>
      </c>
      <c r="G512">
        <v>1135</v>
      </c>
      <c r="H512" t="s">
        <v>13</v>
      </c>
      <c r="I512" t="s">
        <v>28</v>
      </c>
      <c r="J512" t="s">
        <v>15</v>
      </c>
    </row>
    <row r="513" spans="1:10" x14ac:dyDescent="0.25">
      <c r="A513" t="s">
        <v>550</v>
      </c>
      <c r="B513" s="1">
        <v>45824</v>
      </c>
      <c r="C513" t="s">
        <v>26</v>
      </c>
      <c r="D513" t="s">
        <v>12</v>
      </c>
      <c r="E513">
        <v>35255</v>
      </c>
      <c r="F513">
        <v>27553</v>
      </c>
      <c r="G513">
        <v>7702</v>
      </c>
      <c r="H513" t="s">
        <v>27</v>
      </c>
      <c r="I513" t="s">
        <v>34</v>
      </c>
      <c r="J513" t="s">
        <v>53</v>
      </c>
    </row>
    <row r="514" spans="1:10" x14ac:dyDescent="0.25">
      <c r="A514" t="s">
        <v>551</v>
      </c>
      <c r="B514" s="1">
        <v>46030</v>
      </c>
      <c r="C514" t="s">
        <v>22</v>
      </c>
      <c r="D514" t="s">
        <v>33</v>
      </c>
      <c r="E514">
        <v>5230</v>
      </c>
      <c r="F514">
        <v>2195</v>
      </c>
      <c r="G514">
        <v>3035</v>
      </c>
      <c r="H514" t="s">
        <v>19</v>
      </c>
      <c r="I514" t="s">
        <v>20</v>
      </c>
      <c r="J514" t="s">
        <v>15</v>
      </c>
    </row>
    <row r="515" spans="1:10" x14ac:dyDescent="0.25">
      <c r="A515" t="s">
        <v>552</v>
      </c>
      <c r="B515" s="1">
        <v>45963</v>
      </c>
      <c r="C515" t="s">
        <v>22</v>
      </c>
      <c r="D515" t="s">
        <v>18</v>
      </c>
      <c r="E515">
        <v>30043</v>
      </c>
      <c r="F515">
        <v>27699</v>
      </c>
      <c r="G515">
        <v>2344</v>
      </c>
      <c r="H515" t="s">
        <v>13</v>
      </c>
      <c r="I515" t="s">
        <v>60</v>
      </c>
      <c r="J515" t="s">
        <v>24</v>
      </c>
    </row>
    <row r="516" spans="1:10" x14ac:dyDescent="0.25">
      <c r="A516" t="s">
        <v>553</v>
      </c>
      <c r="B516" s="1">
        <v>46195</v>
      </c>
      <c r="C516" t="s">
        <v>44</v>
      </c>
      <c r="D516" t="s">
        <v>33</v>
      </c>
      <c r="E516">
        <v>23075</v>
      </c>
      <c r="F516">
        <v>4441</v>
      </c>
      <c r="G516">
        <v>18634</v>
      </c>
      <c r="H516" t="s">
        <v>13</v>
      </c>
      <c r="I516" t="s">
        <v>60</v>
      </c>
      <c r="J516" t="s">
        <v>24</v>
      </c>
    </row>
    <row r="517" spans="1:10" x14ac:dyDescent="0.25">
      <c r="A517" t="s">
        <v>554</v>
      </c>
      <c r="B517" s="1">
        <v>45487</v>
      </c>
      <c r="C517" t="s">
        <v>44</v>
      </c>
      <c r="D517" t="s">
        <v>12</v>
      </c>
      <c r="E517">
        <v>20969</v>
      </c>
      <c r="F517">
        <v>20112</v>
      </c>
      <c r="G517">
        <v>857</v>
      </c>
      <c r="H517" t="s">
        <v>19</v>
      </c>
      <c r="I517" t="s">
        <v>28</v>
      </c>
      <c r="J517" t="s">
        <v>29</v>
      </c>
    </row>
    <row r="518" spans="1:10" x14ac:dyDescent="0.25">
      <c r="A518" t="s">
        <v>555</v>
      </c>
      <c r="B518" s="1">
        <v>46196</v>
      </c>
      <c r="C518" t="s">
        <v>26</v>
      </c>
      <c r="D518" t="s">
        <v>41</v>
      </c>
      <c r="E518">
        <v>40478</v>
      </c>
      <c r="F518">
        <v>32864</v>
      </c>
      <c r="G518">
        <v>7614</v>
      </c>
      <c r="H518" t="s">
        <v>13</v>
      </c>
      <c r="I518" t="s">
        <v>63</v>
      </c>
      <c r="J518" t="s">
        <v>15</v>
      </c>
    </row>
    <row r="519" spans="1:10" x14ac:dyDescent="0.25">
      <c r="A519" t="s">
        <v>556</v>
      </c>
      <c r="B519" s="1">
        <v>45423</v>
      </c>
      <c r="C519" t="s">
        <v>26</v>
      </c>
      <c r="D519" t="s">
        <v>33</v>
      </c>
      <c r="E519">
        <v>23066</v>
      </c>
      <c r="F519">
        <v>20623</v>
      </c>
      <c r="G519">
        <v>2443</v>
      </c>
      <c r="H519" t="s">
        <v>27</v>
      </c>
      <c r="I519" t="s">
        <v>20</v>
      </c>
      <c r="J519" t="s">
        <v>53</v>
      </c>
    </row>
    <row r="520" spans="1:10" x14ac:dyDescent="0.25">
      <c r="A520" t="s">
        <v>557</v>
      </c>
      <c r="B520" s="1">
        <v>45714</v>
      </c>
      <c r="C520" t="s">
        <v>44</v>
      </c>
      <c r="D520" t="s">
        <v>41</v>
      </c>
      <c r="E520">
        <v>17824</v>
      </c>
      <c r="F520">
        <v>14713</v>
      </c>
      <c r="G520">
        <v>3111</v>
      </c>
      <c r="H520" t="s">
        <v>13</v>
      </c>
      <c r="I520" t="s">
        <v>78</v>
      </c>
      <c r="J520" t="s">
        <v>53</v>
      </c>
    </row>
    <row r="521" spans="1:10" x14ac:dyDescent="0.25">
      <c r="A521" t="s">
        <v>558</v>
      </c>
      <c r="B521" s="1">
        <v>45882</v>
      </c>
      <c r="C521" t="s">
        <v>44</v>
      </c>
      <c r="D521" t="s">
        <v>36</v>
      </c>
      <c r="E521">
        <v>48992</v>
      </c>
      <c r="F521">
        <v>31324</v>
      </c>
      <c r="G521">
        <v>17668</v>
      </c>
      <c r="H521" t="s">
        <v>19</v>
      </c>
      <c r="I521" t="s">
        <v>28</v>
      </c>
      <c r="J521" t="s">
        <v>42</v>
      </c>
    </row>
    <row r="522" spans="1:10" x14ac:dyDescent="0.25">
      <c r="A522" t="s">
        <v>559</v>
      </c>
      <c r="B522" s="1">
        <v>45694</v>
      </c>
      <c r="C522" t="s">
        <v>11</v>
      </c>
      <c r="D522" t="s">
        <v>41</v>
      </c>
      <c r="E522">
        <v>28169</v>
      </c>
      <c r="F522">
        <v>25638</v>
      </c>
      <c r="G522">
        <v>2531</v>
      </c>
      <c r="H522" t="s">
        <v>13</v>
      </c>
      <c r="I522" t="s">
        <v>34</v>
      </c>
      <c r="J522" t="s">
        <v>53</v>
      </c>
    </row>
    <row r="523" spans="1:10" x14ac:dyDescent="0.25">
      <c r="A523" t="s">
        <v>560</v>
      </c>
      <c r="B523" s="1">
        <v>46055</v>
      </c>
      <c r="C523" t="s">
        <v>17</v>
      </c>
      <c r="D523" t="s">
        <v>18</v>
      </c>
      <c r="E523">
        <v>42409</v>
      </c>
      <c r="F523">
        <v>25544</v>
      </c>
      <c r="G523">
        <v>16865</v>
      </c>
      <c r="H523" t="s">
        <v>19</v>
      </c>
      <c r="I523" t="s">
        <v>20</v>
      </c>
      <c r="J523" t="s">
        <v>24</v>
      </c>
    </row>
    <row r="524" spans="1:10" x14ac:dyDescent="0.25">
      <c r="A524" t="s">
        <v>561</v>
      </c>
      <c r="B524" s="1">
        <v>45758</v>
      </c>
      <c r="C524" t="s">
        <v>17</v>
      </c>
      <c r="D524" t="s">
        <v>18</v>
      </c>
      <c r="E524">
        <v>43098</v>
      </c>
      <c r="F524">
        <v>34427</v>
      </c>
      <c r="G524">
        <v>8671</v>
      </c>
      <c r="H524" t="s">
        <v>13</v>
      </c>
      <c r="I524" t="s">
        <v>60</v>
      </c>
      <c r="J524" t="s">
        <v>24</v>
      </c>
    </row>
    <row r="525" spans="1:10" x14ac:dyDescent="0.25">
      <c r="A525" t="s">
        <v>562</v>
      </c>
      <c r="B525" s="1">
        <v>45244</v>
      </c>
      <c r="C525" t="s">
        <v>17</v>
      </c>
      <c r="D525" t="s">
        <v>41</v>
      </c>
      <c r="E525">
        <v>32596</v>
      </c>
      <c r="F525">
        <v>19963</v>
      </c>
      <c r="G525">
        <v>12633</v>
      </c>
      <c r="H525" t="s">
        <v>38</v>
      </c>
      <c r="I525" t="s">
        <v>28</v>
      </c>
      <c r="J525" t="s">
        <v>15</v>
      </c>
    </row>
    <row r="526" spans="1:10" x14ac:dyDescent="0.25">
      <c r="A526" t="s">
        <v>563</v>
      </c>
      <c r="B526" s="1">
        <v>45222</v>
      </c>
      <c r="C526" t="s">
        <v>44</v>
      </c>
      <c r="D526" t="s">
        <v>41</v>
      </c>
      <c r="E526">
        <v>22524</v>
      </c>
      <c r="F526">
        <v>11412</v>
      </c>
      <c r="G526">
        <v>11112</v>
      </c>
      <c r="H526" t="s">
        <v>38</v>
      </c>
      <c r="I526" t="s">
        <v>28</v>
      </c>
      <c r="J526" t="s">
        <v>42</v>
      </c>
    </row>
    <row r="527" spans="1:10" x14ac:dyDescent="0.25">
      <c r="A527" t="s">
        <v>564</v>
      </c>
      <c r="B527" s="1">
        <v>45873</v>
      </c>
      <c r="C527" t="s">
        <v>17</v>
      </c>
      <c r="D527" t="s">
        <v>18</v>
      </c>
      <c r="E527">
        <v>40636</v>
      </c>
      <c r="F527">
        <v>32426</v>
      </c>
      <c r="G527">
        <v>8210</v>
      </c>
      <c r="H527" t="s">
        <v>38</v>
      </c>
      <c r="I527" t="s">
        <v>28</v>
      </c>
      <c r="J527" t="s">
        <v>24</v>
      </c>
    </row>
    <row r="528" spans="1:10" x14ac:dyDescent="0.25">
      <c r="A528" t="s">
        <v>565</v>
      </c>
      <c r="B528" s="1">
        <v>45443</v>
      </c>
      <c r="C528" t="s">
        <v>11</v>
      </c>
      <c r="D528" t="s">
        <v>12</v>
      </c>
      <c r="E528">
        <v>8459</v>
      </c>
      <c r="F528">
        <v>344</v>
      </c>
      <c r="G528">
        <v>8115</v>
      </c>
      <c r="H528" t="s">
        <v>13</v>
      </c>
      <c r="I528" t="s">
        <v>14</v>
      </c>
      <c r="J528" t="s">
        <v>29</v>
      </c>
    </row>
    <row r="529" spans="1:10" x14ac:dyDescent="0.25">
      <c r="A529" t="s">
        <v>566</v>
      </c>
      <c r="B529" s="1">
        <v>45802</v>
      </c>
      <c r="C529" t="s">
        <v>22</v>
      </c>
      <c r="D529" t="s">
        <v>36</v>
      </c>
      <c r="E529">
        <v>35938</v>
      </c>
      <c r="F529">
        <v>25504</v>
      </c>
      <c r="G529">
        <v>10434</v>
      </c>
      <c r="H529" t="s">
        <v>38</v>
      </c>
      <c r="I529" t="s">
        <v>45</v>
      </c>
      <c r="J529" t="s">
        <v>24</v>
      </c>
    </row>
    <row r="530" spans="1:10" x14ac:dyDescent="0.25">
      <c r="A530" t="s">
        <v>567</v>
      </c>
      <c r="B530" s="1">
        <v>45891</v>
      </c>
      <c r="C530" t="s">
        <v>17</v>
      </c>
      <c r="D530" t="s">
        <v>12</v>
      </c>
      <c r="E530">
        <v>43702</v>
      </c>
      <c r="F530">
        <v>27901</v>
      </c>
      <c r="G530">
        <v>15801</v>
      </c>
      <c r="H530" t="s">
        <v>19</v>
      </c>
      <c r="I530" t="s">
        <v>45</v>
      </c>
      <c r="J530" t="s">
        <v>53</v>
      </c>
    </row>
    <row r="531" spans="1:10" x14ac:dyDescent="0.25">
      <c r="A531" t="s">
        <v>568</v>
      </c>
      <c r="B531" s="1">
        <v>45316</v>
      </c>
      <c r="C531" t="s">
        <v>26</v>
      </c>
      <c r="D531" t="s">
        <v>41</v>
      </c>
      <c r="E531">
        <v>42402</v>
      </c>
      <c r="F531">
        <v>40572</v>
      </c>
      <c r="G531">
        <v>1830</v>
      </c>
      <c r="H531" t="s">
        <v>38</v>
      </c>
      <c r="I531" t="s">
        <v>20</v>
      </c>
      <c r="J531" t="s">
        <v>53</v>
      </c>
    </row>
    <row r="532" spans="1:10" x14ac:dyDescent="0.25">
      <c r="A532" t="s">
        <v>569</v>
      </c>
      <c r="B532" s="1">
        <v>45539</v>
      </c>
      <c r="C532" t="s">
        <v>44</v>
      </c>
      <c r="D532" t="s">
        <v>33</v>
      </c>
      <c r="E532">
        <v>18427</v>
      </c>
      <c r="F532">
        <v>9038</v>
      </c>
      <c r="G532">
        <v>9389</v>
      </c>
      <c r="H532" t="s">
        <v>19</v>
      </c>
      <c r="I532" t="s">
        <v>63</v>
      </c>
      <c r="J532" t="s">
        <v>42</v>
      </c>
    </row>
    <row r="533" spans="1:10" x14ac:dyDescent="0.25">
      <c r="A533" t="s">
        <v>570</v>
      </c>
      <c r="B533" s="1">
        <v>45621</v>
      </c>
      <c r="C533" t="s">
        <v>11</v>
      </c>
      <c r="D533" t="s">
        <v>18</v>
      </c>
      <c r="E533">
        <v>15468</v>
      </c>
      <c r="F533">
        <v>3895</v>
      </c>
      <c r="G533">
        <v>11573</v>
      </c>
      <c r="H533" t="s">
        <v>27</v>
      </c>
      <c r="I533" t="s">
        <v>63</v>
      </c>
      <c r="J533" t="s">
        <v>42</v>
      </c>
    </row>
    <row r="534" spans="1:10" x14ac:dyDescent="0.25">
      <c r="A534" t="s">
        <v>571</v>
      </c>
      <c r="B534" s="1">
        <v>45334</v>
      </c>
      <c r="C534" t="s">
        <v>44</v>
      </c>
      <c r="D534" t="s">
        <v>33</v>
      </c>
      <c r="E534">
        <v>18907</v>
      </c>
      <c r="F534">
        <v>15704</v>
      </c>
      <c r="G534">
        <v>3203</v>
      </c>
      <c r="H534" t="s">
        <v>27</v>
      </c>
      <c r="I534" t="s">
        <v>60</v>
      </c>
      <c r="J534" t="s">
        <v>29</v>
      </c>
    </row>
    <row r="535" spans="1:10" x14ac:dyDescent="0.25">
      <c r="A535" t="s">
        <v>572</v>
      </c>
      <c r="B535" s="1">
        <v>45606</v>
      </c>
      <c r="C535" t="s">
        <v>17</v>
      </c>
      <c r="D535" t="s">
        <v>18</v>
      </c>
      <c r="E535">
        <v>45361</v>
      </c>
      <c r="F535">
        <v>44624</v>
      </c>
      <c r="G535">
        <v>737</v>
      </c>
      <c r="H535" t="s">
        <v>27</v>
      </c>
      <c r="I535" t="s">
        <v>78</v>
      </c>
      <c r="J535" t="s">
        <v>53</v>
      </c>
    </row>
    <row r="536" spans="1:10" x14ac:dyDescent="0.25">
      <c r="A536" t="s">
        <v>573</v>
      </c>
      <c r="B536" s="1">
        <v>45251</v>
      </c>
      <c r="C536" t="s">
        <v>17</v>
      </c>
      <c r="D536" t="s">
        <v>36</v>
      </c>
      <c r="E536">
        <v>43583</v>
      </c>
      <c r="F536">
        <v>26083</v>
      </c>
      <c r="G536">
        <v>17500</v>
      </c>
      <c r="H536" t="s">
        <v>38</v>
      </c>
      <c r="I536" t="s">
        <v>23</v>
      </c>
      <c r="J536" t="s">
        <v>42</v>
      </c>
    </row>
    <row r="537" spans="1:10" x14ac:dyDescent="0.25">
      <c r="A537" t="s">
        <v>574</v>
      </c>
      <c r="B537" s="1">
        <v>45327</v>
      </c>
      <c r="C537" t="s">
        <v>17</v>
      </c>
      <c r="D537" t="s">
        <v>33</v>
      </c>
      <c r="E537">
        <v>15127</v>
      </c>
      <c r="F537">
        <v>8565</v>
      </c>
      <c r="G537">
        <v>6562</v>
      </c>
      <c r="H537" t="s">
        <v>27</v>
      </c>
      <c r="I537" t="s">
        <v>14</v>
      </c>
      <c r="J537" t="s">
        <v>15</v>
      </c>
    </row>
    <row r="538" spans="1:10" x14ac:dyDescent="0.25">
      <c r="A538" t="s">
        <v>575</v>
      </c>
      <c r="B538" s="1">
        <v>45629</v>
      </c>
      <c r="C538" t="s">
        <v>11</v>
      </c>
      <c r="D538" t="s">
        <v>41</v>
      </c>
      <c r="E538">
        <v>37183</v>
      </c>
      <c r="F538">
        <v>31497</v>
      </c>
      <c r="G538">
        <v>5686</v>
      </c>
      <c r="H538" t="s">
        <v>19</v>
      </c>
      <c r="I538" t="s">
        <v>63</v>
      </c>
      <c r="J538" t="s">
        <v>53</v>
      </c>
    </row>
    <row r="539" spans="1:10" x14ac:dyDescent="0.25">
      <c r="A539" t="s">
        <v>576</v>
      </c>
      <c r="B539" s="1">
        <v>45597</v>
      </c>
      <c r="C539" t="s">
        <v>11</v>
      </c>
      <c r="D539" t="s">
        <v>18</v>
      </c>
      <c r="E539">
        <v>49213</v>
      </c>
      <c r="F539">
        <v>46632</v>
      </c>
      <c r="G539">
        <v>2581</v>
      </c>
      <c r="H539" t="s">
        <v>13</v>
      </c>
      <c r="I539" t="s">
        <v>45</v>
      </c>
      <c r="J539" t="s">
        <v>15</v>
      </c>
    </row>
    <row r="540" spans="1:10" x14ac:dyDescent="0.25">
      <c r="A540" t="s">
        <v>577</v>
      </c>
      <c r="B540" s="1">
        <v>45344</v>
      </c>
      <c r="C540" t="s">
        <v>11</v>
      </c>
      <c r="D540" t="s">
        <v>33</v>
      </c>
      <c r="E540">
        <v>31265</v>
      </c>
      <c r="F540">
        <v>24870</v>
      </c>
      <c r="G540">
        <v>6395</v>
      </c>
      <c r="H540" t="s">
        <v>27</v>
      </c>
      <c r="I540" t="s">
        <v>45</v>
      </c>
      <c r="J540" t="s">
        <v>53</v>
      </c>
    </row>
    <row r="541" spans="1:10" x14ac:dyDescent="0.25">
      <c r="A541" t="s">
        <v>578</v>
      </c>
      <c r="B541" s="1">
        <v>45481</v>
      </c>
      <c r="C541" t="s">
        <v>17</v>
      </c>
      <c r="D541" t="s">
        <v>41</v>
      </c>
      <c r="E541">
        <v>28039</v>
      </c>
      <c r="F541">
        <v>25517</v>
      </c>
      <c r="G541">
        <v>2522</v>
      </c>
      <c r="H541" t="s">
        <v>27</v>
      </c>
      <c r="I541" t="s">
        <v>23</v>
      </c>
      <c r="J541" t="s">
        <v>24</v>
      </c>
    </row>
    <row r="542" spans="1:10" x14ac:dyDescent="0.25">
      <c r="A542" t="s">
        <v>579</v>
      </c>
      <c r="B542" s="1">
        <v>45735</v>
      </c>
      <c r="C542" t="s">
        <v>26</v>
      </c>
      <c r="D542" t="s">
        <v>41</v>
      </c>
      <c r="E542">
        <v>15316</v>
      </c>
      <c r="F542">
        <v>13205</v>
      </c>
      <c r="G542">
        <v>2111</v>
      </c>
      <c r="H542" t="s">
        <v>13</v>
      </c>
      <c r="I542" t="s">
        <v>31</v>
      </c>
      <c r="J542" t="s">
        <v>29</v>
      </c>
    </row>
    <row r="543" spans="1:10" x14ac:dyDescent="0.25">
      <c r="A543" t="s">
        <v>580</v>
      </c>
      <c r="B543" s="1">
        <v>45660</v>
      </c>
      <c r="C543" t="s">
        <v>44</v>
      </c>
      <c r="D543" t="s">
        <v>12</v>
      </c>
      <c r="E543">
        <v>44292</v>
      </c>
      <c r="F543">
        <v>32952</v>
      </c>
      <c r="G543">
        <v>11340</v>
      </c>
      <c r="H543" t="s">
        <v>38</v>
      </c>
      <c r="I543" t="s">
        <v>45</v>
      </c>
      <c r="J543" t="s">
        <v>42</v>
      </c>
    </row>
    <row r="544" spans="1:10" x14ac:dyDescent="0.25">
      <c r="A544" t="s">
        <v>581</v>
      </c>
      <c r="B544" s="1">
        <v>46157</v>
      </c>
      <c r="C544" t="s">
        <v>11</v>
      </c>
      <c r="D544" t="s">
        <v>12</v>
      </c>
      <c r="E544">
        <v>35700</v>
      </c>
      <c r="F544">
        <v>25394</v>
      </c>
      <c r="G544">
        <v>10306</v>
      </c>
      <c r="H544" t="s">
        <v>38</v>
      </c>
      <c r="I544" t="s">
        <v>14</v>
      </c>
      <c r="J544" t="s">
        <v>29</v>
      </c>
    </row>
    <row r="545" spans="1:10" x14ac:dyDescent="0.25">
      <c r="A545" t="s">
        <v>582</v>
      </c>
      <c r="B545" s="1">
        <v>45917</v>
      </c>
      <c r="C545" t="s">
        <v>11</v>
      </c>
      <c r="D545" t="s">
        <v>36</v>
      </c>
      <c r="E545">
        <v>43359</v>
      </c>
      <c r="F545">
        <v>25064</v>
      </c>
      <c r="G545">
        <v>18295</v>
      </c>
      <c r="H545" t="s">
        <v>27</v>
      </c>
      <c r="I545" t="s">
        <v>20</v>
      </c>
      <c r="J545" t="s">
        <v>24</v>
      </c>
    </row>
    <row r="546" spans="1:10" x14ac:dyDescent="0.25">
      <c r="A546" t="s">
        <v>583</v>
      </c>
      <c r="B546" s="1">
        <v>46201</v>
      </c>
      <c r="C546" t="s">
        <v>22</v>
      </c>
      <c r="D546" t="s">
        <v>36</v>
      </c>
      <c r="E546">
        <v>42823</v>
      </c>
      <c r="F546">
        <v>38066</v>
      </c>
      <c r="G546">
        <v>4757</v>
      </c>
      <c r="H546" t="s">
        <v>38</v>
      </c>
      <c r="I546" t="s">
        <v>45</v>
      </c>
      <c r="J546" t="s">
        <v>29</v>
      </c>
    </row>
    <row r="547" spans="1:10" x14ac:dyDescent="0.25">
      <c r="A547" t="s">
        <v>584</v>
      </c>
      <c r="B547" s="1">
        <v>45793</v>
      </c>
      <c r="C547" t="s">
        <v>44</v>
      </c>
      <c r="D547" t="s">
        <v>12</v>
      </c>
      <c r="E547">
        <v>12168</v>
      </c>
      <c r="F547">
        <v>10070</v>
      </c>
      <c r="G547">
        <v>2098</v>
      </c>
      <c r="H547" t="s">
        <v>13</v>
      </c>
      <c r="I547" t="s">
        <v>60</v>
      </c>
      <c r="J547" t="s">
        <v>24</v>
      </c>
    </row>
    <row r="548" spans="1:10" x14ac:dyDescent="0.25">
      <c r="A548" t="s">
        <v>585</v>
      </c>
      <c r="B548" s="1">
        <v>45318</v>
      </c>
      <c r="C548" t="s">
        <v>11</v>
      </c>
      <c r="D548" t="s">
        <v>33</v>
      </c>
      <c r="E548">
        <v>26636</v>
      </c>
      <c r="F548">
        <v>25036</v>
      </c>
      <c r="G548">
        <v>1600</v>
      </c>
      <c r="H548" t="s">
        <v>13</v>
      </c>
      <c r="I548" t="s">
        <v>20</v>
      </c>
      <c r="J548" t="s">
        <v>42</v>
      </c>
    </row>
    <row r="549" spans="1:10" x14ac:dyDescent="0.25">
      <c r="A549" t="s">
        <v>586</v>
      </c>
      <c r="B549" s="1">
        <v>45630</v>
      </c>
      <c r="C549" t="s">
        <v>26</v>
      </c>
      <c r="D549" t="s">
        <v>18</v>
      </c>
      <c r="E549">
        <v>48791</v>
      </c>
      <c r="F549">
        <v>41455</v>
      </c>
      <c r="G549">
        <v>7336</v>
      </c>
      <c r="H549" t="s">
        <v>27</v>
      </c>
      <c r="I549" t="s">
        <v>28</v>
      </c>
      <c r="J549" t="s">
        <v>53</v>
      </c>
    </row>
    <row r="550" spans="1:10" x14ac:dyDescent="0.25">
      <c r="A550" t="s">
        <v>587</v>
      </c>
      <c r="B550" s="1">
        <v>45395</v>
      </c>
      <c r="C550" t="s">
        <v>11</v>
      </c>
      <c r="D550" t="s">
        <v>36</v>
      </c>
      <c r="E550">
        <v>20796</v>
      </c>
      <c r="F550">
        <v>16964</v>
      </c>
      <c r="G550">
        <v>3832</v>
      </c>
      <c r="H550" t="s">
        <v>19</v>
      </c>
      <c r="I550" t="s">
        <v>14</v>
      </c>
      <c r="J550" t="s">
        <v>29</v>
      </c>
    </row>
    <row r="551" spans="1:10" x14ac:dyDescent="0.25">
      <c r="A551" t="s">
        <v>588</v>
      </c>
      <c r="B551" s="1">
        <v>46011</v>
      </c>
      <c r="C551" t="s">
        <v>44</v>
      </c>
      <c r="D551" t="s">
        <v>18</v>
      </c>
      <c r="E551">
        <v>12176</v>
      </c>
      <c r="F551">
        <v>7290</v>
      </c>
      <c r="G551">
        <v>4886</v>
      </c>
      <c r="H551" t="s">
        <v>13</v>
      </c>
      <c r="I551" t="s">
        <v>63</v>
      </c>
      <c r="J551" t="s">
        <v>53</v>
      </c>
    </row>
    <row r="552" spans="1:10" x14ac:dyDescent="0.25">
      <c r="A552" t="s">
        <v>589</v>
      </c>
      <c r="B552" s="1">
        <v>45800</v>
      </c>
      <c r="C552" t="s">
        <v>22</v>
      </c>
      <c r="D552" t="s">
        <v>36</v>
      </c>
      <c r="E552">
        <v>19012</v>
      </c>
      <c r="F552">
        <v>1201</v>
      </c>
      <c r="G552">
        <v>17811</v>
      </c>
      <c r="H552" t="s">
        <v>19</v>
      </c>
      <c r="I552" t="s">
        <v>28</v>
      </c>
      <c r="J552" t="s">
        <v>15</v>
      </c>
    </row>
    <row r="553" spans="1:10" x14ac:dyDescent="0.25">
      <c r="A553" t="s">
        <v>590</v>
      </c>
      <c r="B553" s="1">
        <v>45472</v>
      </c>
      <c r="C553" t="s">
        <v>11</v>
      </c>
      <c r="D553" t="s">
        <v>36</v>
      </c>
      <c r="E553">
        <v>25365</v>
      </c>
      <c r="F553">
        <v>12696</v>
      </c>
      <c r="G553">
        <v>12669</v>
      </c>
      <c r="H553" t="s">
        <v>19</v>
      </c>
      <c r="I553" t="s">
        <v>31</v>
      </c>
      <c r="J553" t="s">
        <v>29</v>
      </c>
    </row>
    <row r="554" spans="1:10" x14ac:dyDescent="0.25">
      <c r="A554" t="s">
        <v>591</v>
      </c>
      <c r="B554" s="1">
        <v>45832</v>
      </c>
      <c r="C554" t="s">
        <v>11</v>
      </c>
      <c r="D554" t="s">
        <v>41</v>
      </c>
      <c r="E554">
        <v>6503</v>
      </c>
      <c r="F554">
        <v>3570</v>
      </c>
      <c r="G554">
        <v>2933</v>
      </c>
      <c r="H554" t="s">
        <v>13</v>
      </c>
      <c r="I554" t="s">
        <v>14</v>
      </c>
      <c r="J554" t="s">
        <v>42</v>
      </c>
    </row>
    <row r="555" spans="1:10" x14ac:dyDescent="0.25">
      <c r="A555" t="s">
        <v>592</v>
      </c>
      <c r="B555" s="1">
        <v>45366</v>
      </c>
      <c r="C555" t="s">
        <v>26</v>
      </c>
      <c r="D555" t="s">
        <v>18</v>
      </c>
      <c r="E555">
        <v>29632</v>
      </c>
      <c r="F555">
        <v>19658</v>
      </c>
      <c r="G555">
        <v>9974</v>
      </c>
      <c r="H555" t="s">
        <v>27</v>
      </c>
      <c r="I555" t="s">
        <v>14</v>
      </c>
      <c r="J555" t="s">
        <v>24</v>
      </c>
    </row>
    <row r="556" spans="1:10" x14ac:dyDescent="0.25">
      <c r="A556" t="s">
        <v>593</v>
      </c>
      <c r="B556" s="1">
        <v>45714</v>
      </c>
      <c r="C556" t="s">
        <v>17</v>
      </c>
      <c r="D556" t="s">
        <v>36</v>
      </c>
      <c r="E556">
        <v>49429</v>
      </c>
      <c r="F556">
        <v>35370</v>
      </c>
      <c r="G556">
        <v>14059</v>
      </c>
      <c r="H556" t="s">
        <v>13</v>
      </c>
      <c r="I556" t="s">
        <v>45</v>
      </c>
      <c r="J556" t="s">
        <v>53</v>
      </c>
    </row>
    <row r="557" spans="1:10" x14ac:dyDescent="0.25">
      <c r="A557" t="s">
        <v>594</v>
      </c>
      <c r="B557" s="1">
        <v>45473</v>
      </c>
      <c r="C557" t="s">
        <v>26</v>
      </c>
      <c r="D557" t="s">
        <v>12</v>
      </c>
      <c r="E557">
        <v>10186</v>
      </c>
      <c r="F557">
        <v>6399</v>
      </c>
      <c r="G557">
        <v>3787</v>
      </c>
      <c r="H557" t="s">
        <v>13</v>
      </c>
      <c r="I557" t="s">
        <v>20</v>
      </c>
      <c r="J557" t="s">
        <v>29</v>
      </c>
    </row>
    <row r="558" spans="1:10" x14ac:dyDescent="0.25">
      <c r="A558" t="s">
        <v>595</v>
      </c>
      <c r="B558" s="1">
        <v>45255</v>
      </c>
      <c r="C558" t="s">
        <v>11</v>
      </c>
      <c r="D558" t="s">
        <v>36</v>
      </c>
      <c r="E558">
        <v>38366</v>
      </c>
      <c r="F558">
        <v>28310</v>
      </c>
      <c r="G558">
        <v>10056</v>
      </c>
      <c r="H558" t="s">
        <v>27</v>
      </c>
      <c r="I558" t="s">
        <v>34</v>
      </c>
      <c r="J558" t="s">
        <v>29</v>
      </c>
    </row>
    <row r="559" spans="1:10" x14ac:dyDescent="0.25">
      <c r="A559" t="s">
        <v>596</v>
      </c>
      <c r="B559" s="1">
        <v>45532</v>
      </c>
      <c r="C559" t="s">
        <v>17</v>
      </c>
      <c r="D559" t="s">
        <v>33</v>
      </c>
      <c r="E559">
        <v>41646</v>
      </c>
      <c r="F559">
        <v>23331</v>
      </c>
      <c r="G559">
        <v>18315</v>
      </c>
      <c r="H559" t="s">
        <v>19</v>
      </c>
      <c r="I559" t="s">
        <v>34</v>
      </c>
      <c r="J559" t="s">
        <v>24</v>
      </c>
    </row>
    <row r="560" spans="1:10" x14ac:dyDescent="0.25">
      <c r="A560" t="s">
        <v>597</v>
      </c>
      <c r="B560" s="1">
        <v>46196</v>
      </c>
      <c r="C560" t="s">
        <v>11</v>
      </c>
      <c r="D560" t="s">
        <v>41</v>
      </c>
      <c r="E560">
        <v>24800</v>
      </c>
      <c r="F560">
        <v>22017</v>
      </c>
      <c r="G560">
        <v>2783</v>
      </c>
      <c r="H560" t="s">
        <v>38</v>
      </c>
      <c r="I560" t="s">
        <v>45</v>
      </c>
      <c r="J560" t="s">
        <v>42</v>
      </c>
    </row>
    <row r="561" spans="1:10" x14ac:dyDescent="0.25">
      <c r="A561" t="s">
        <v>598</v>
      </c>
      <c r="B561" s="1">
        <v>45283</v>
      </c>
      <c r="C561" t="s">
        <v>22</v>
      </c>
      <c r="D561" t="s">
        <v>12</v>
      </c>
      <c r="E561">
        <v>21024</v>
      </c>
      <c r="F561">
        <v>17941</v>
      </c>
      <c r="G561">
        <v>3083</v>
      </c>
      <c r="H561" t="s">
        <v>13</v>
      </c>
      <c r="I561" t="s">
        <v>28</v>
      </c>
      <c r="J561" t="s">
        <v>15</v>
      </c>
    </row>
    <row r="562" spans="1:10" x14ac:dyDescent="0.25">
      <c r="A562" t="s">
        <v>599</v>
      </c>
      <c r="B562" s="1">
        <v>45659</v>
      </c>
      <c r="C562" t="s">
        <v>17</v>
      </c>
      <c r="D562" t="s">
        <v>41</v>
      </c>
      <c r="E562">
        <v>40392</v>
      </c>
      <c r="F562">
        <v>34664</v>
      </c>
      <c r="G562">
        <v>5728</v>
      </c>
      <c r="H562" t="s">
        <v>38</v>
      </c>
      <c r="I562" t="s">
        <v>14</v>
      </c>
      <c r="J562" t="s">
        <v>24</v>
      </c>
    </row>
    <row r="563" spans="1:10" x14ac:dyDescent="0.25">
      <c r="A563" t="s">
        <v>600</v>
      </c>
      <c r="B563" s="1">
        <v>46061</v>
      </c>
      <c r="C563" t="s">
        <v>22</v>
      </c>
      <c r="D563" t="s">
        <v>33</v>
      </c>
      <c r="E563">
        <v>27278</v>
      </c>
      <c r="F563">
        <v>19521</v>
      </c>
      <c r="G563">
        <v>7757</v>
      </c>
      <c r="H563" t="s">
        <v>19</v>
      </c>
      <c r="I563" t="s">
        <v>28</v>
      </c>
      <c r="J563" t="s">
        <v>42</v>
      </c>
    </row>
    <row r="564" spans="1:10" x14ac:dyDescent="0.25">
      <c r="A564" t="s">
        <v>601</v>
      </c>
      <c r="B564" s="1">
        <v>45800</v>
      </c>
      <c r="C564" t="s">
        <v>17</v>
      </c>
      <c r="D564" t="s">
        <v>41</v>
      </c>
      <c r="E564">
        <v>12021</v>
      </c>
      <c r="F564">
        <v>9066</v>
      </c>
      <c r="G564">
        <v>2955</v>
      </c>
      <c r="H564" t="s">
        <v>38</v>
      </c>
      <c r="I564" t="s">
        <v>63</v>
      </c>
      <c r="J564" t="s">
        <v>15</v>
      </c>
    </row>
    <row r="565" spans="1:10" x14ac:dyDescent="0.25">
      <c r="A565" t="s">
        <v>602</v>
      </c>
      <c r="B565" s="1">
        <v>46207</v>
      </c>
      <c r="C565" t="s">
        <v>44</v>
      </c>
      <c r="D565" t="s">
        <v>33</v>
      </c>
      <c r="E565">
        <v>48753</v>
      </c>
      <c r="F565">
        <v>36014</v>
      </c>
      <c r="G565">
        <v>12739</v>
      </c>
      <c r="H565" t="s">
        <v>19</v>
      </c>
      <c r="I565" t="s">
        <v>28</v>
      </c>
      <c r="J565" t="s">
        <v>24</v>
      </c>
    </row>
    <row r="566" spans="1:10" x14ac:dyDescent="0.25">
      <c r="A566" t="s">
        <v>603</v>
      </c>
      <c r="B566" s="1">
        <v>45525</v>
      </c>
      <c r="C566" t="s">
        <v>22</v>
      </c>
      <c r="D566" t="s">
        <v>18</v>
      </c>
      <c r="E566">
        <v>26320</v>
      </c>
      <c r="F566">
        <v>20865</v>
      </c>
      <c r="G566">
        <v>5455</v>
      </c>
      <c r="H566" t="s">
        <v>38</v>
      </c>
      <c r="I566" t="s">
        <v>60</v>
      </c>
      <c r="J566" t="s">
        <v>29</v>
      </c>
    </row>
    <row r="567" spans="1:10" x14ac:dyDescent="0.25">
      <c r="A567" t="s">
        <v>604</v>
      </c>
      <c r="B567" s="1">
        <v>45258</v>
      </c>
      <c r="C567" t="s">
        <v>11</v>
      </c>
      <c r="D567" t="s">
        <v>36</v>
      </c>
      <c r="E567">
        <v>5764</v>
      </c>
      <c r="F567">
        <v>614</v>
      </c>
      <c r="G567">
        <v>5150</v>
      </c>
      <c r="H567" t="s">
        <v>38</v>
      </c>
      <c r="I567" t="s">
        <v>14</v>
      </c>
      <c r="J567" t="s">
        <v>24</v>
      </c>
    </row>
    <row r="568" spans="1:10" x14ac:dyDescent="0.25">
      <c r="A568" t="s">
        <v>605</v>
      </c>
      <c r="B568" s="1">
        <v>46104</v>
      </c>
      <c r="C568" t="s">
        <v>44</v>
      </c>
      <c r="D568" t="s">
        <v>12</v>
      </c>
      <c r="E568">
        <v>22200</v>
      </c>
      <c r="F568">
        <v>3177</v>
      </c>
      <c r="G568">
        <v>19023</v>
      </c>
      <c r="H568" t="s">
        <v>38</v>
      </c>
      <c r="I568" t="s">
        <v>78</v>
      </c>
      <c r="J568" t="s">
        <v>53</v>
      </c>
    </row>
    <row r="569" spans="1:10" x14ac:dyDescent="0.25">
      <c r="A569" t="s">
        <v>606</v>
      </c>
      <c r="B569" s="1">
        <v>46023</v>
      </c>
      <c r="C569" t="s">
        <v>26</v>
      </c>
      <c r="D569" t="s">
        <v>41</v>
      </c>
      <c r="E569">
        <v>45482</v>
      </c>
      <c r="F569">
        <v>44267</v>
      </c>
      <c r="G569">
        <v>1215</v>
      </c>
      <c r="H569" t="s">
        <v>13</v>
      </c>
      <c r="I569" t="s">
        <v>63</v>
      </c>
      <c r="J569" t="s">
        <v>29</v>
      </c>
    </row>
    <row r="570" spans="1:10" x14ac:dyDescent="0.25">
      <c r="A570" t="s">
        <v>607</v>
      </c>
      <c r="B570" s="1">
        <v>45251</v>
      </c>
      <c r="C570" t="s">
        <v>44</v>
      </c>
      <c r="D570" t="s">
        <v>12</v>
      </c>
      <c r="E570">
        <v>35555</v>
      </c>
      <c r="F570">
        <v>17150</v>
      </c>
      <c r="G570">
        <v>18405</v>
      </c>
      <c r="H570" t="s">
        <v>38</v>
      </c>
      <c r="I570" t="s">
        <v>28</v>
      </c>
      <c r="J570" t="s">
        <v>15</v>
      </c>
    </row>
    <row r="571" spans="1:10" x14ac:dyDescent="0.25">
      <c r="A571" t="s">
        <v>608</v>
      </c>
      <c r="B571" s="1">
        <v>45225</v>
      </c>
      <c r="C571" t="s">
        <v>26</v>
      </c>
      <c r="D571" t="s">
        <v>41</v>
      </c>
      <c r="E571">
        <v>30668</v>
      </c>
      <c r="F571">
        <v>18614</v>
      </c>
      <c r="G571">
        <v>12054</v>
      </c>
      <c r="H571" t="s">
        <v>38</v>
      </c>
      <c r="I571" t="s">
        <v>60</v>
      </c>
      <c r="J571" t="s">
        <v>53</v>
      </c>
    </row>
    <row r="572" spans="1:10" x14ac:dyDescent="0.25">
      <c r="A572" t="s">
        <v>609</v>
      </c>
      <c r="B572" s="1">
        <v>45539</v>
      </c>
      <c r="C572" t="s">
        <v>17</v>
      </c>
      <c r="D572" t="s">
        <v>12</v>
      </c>
      <c r="E572">
        <v>32105</v>
      </c>
      <c r="F572">
        <v>30324</v>
      </c>
      <c r="G572">
        <v>1781</v>
      </c>
      <c r="H572" t="s">
        <v>13</v>
      </c>
      <c r="I572" t="s">
        <v>31</v>
      </c>
      <c r="J572" t="s">
        <v>29</v>
      </c>
    </row>
    <row r="573" spans="1:10" x14ac:dyDescent="0.25">
      <c r="A573" t="s">
        <v>610</v>
      </c>
      <c r="B573" s="1">
        <v>45359</v>
      </c>
      <c r="C573" t="s">
        <v>44</v>
      </c>
      <c r="D573" t="s">
        <v>33</v>
      </c>
      <c r="E573">
        <v>29271</v>
      </c>
      <c r="F573">
        <v>9944</v>
      </c>
      <c r="G573">
        <v>19327</v>
      </c>
      <c r="H573" t="s">
        <v>19</v>
      </c>
      <c r="I573" t="s">
        <v>63</v>
      </c>
      <c r="J573" t="s">
        <v>42</v>
      </c>
    </row>
    <row r="574" spans="1:10" x14ac:dyDescent="0.25">
      <c r="A574" t="s">
        <v>611</v>
      </c>
      <c r="B574" s="1">
        <v>45489</v>
      </c>
      <c r="C574" t="s">
        <v>26</v>
      </c>
      <c r="D574" t="s">
        <v>18</v>
      </c>
      <c r="E574">
        <v>18474</v>
      </c>
      <c r="F574">
        <v>9135</v>
      </c>
      <c r="G574">
        <v>9339</v>
      </c>
      <c r="H574" t="s">
        <v>13</v>
      </c>
      <c r="I574" t="s">
        <v>28</v>
      </c>
      <c r="J574" t="s">
        <v>15</v>
      </c>
    </row>
    <row r="575" spans="1:10" x14ac:dyDescent="0.25">
      <c r="A575" t="s">
        <v>612</v>
      </c>
      <c r="B575" s="1">
        <v>45904</v>
      </c>
      <c r="C575" t="s">
        <v>26</v>
      </c>
      <c r="D575" t="s">
        <v>12</v>
      </c>
      <c r="E575">
        <v>44475</v>
      </c>
      <c r="F575">
        <v>33914</v>
      </c>
      <c r="G575">
        <v>10561</v>
      </c>
      <c r="H575" t="s">
        <v>27</v>
      </c>
      <c r="I575" t="s">
        <v>34</v>
      </c>
      <c r="J575" t="s">
        <v>42</v>
      </c>
    </row>
    <row r="576" spans="1:10" x14ac:dyDescent="0.25">
      <c r="A576" t="s">
        <v>613</v>
      </c>
      <c r="B576" s="1">
        <v>45953</v>
      </c>
      <c r="C576" t="s">
        <v>44</v>
      </c>
      <c r="D576" t="s">
        <v>41</v>
      </c>
      <c r="E576">
        <v>39831</v>
      </c>
      <c r="F576">
        <v>34709</v>
      </c>
      <c r="G576">
        <v>5122</v>
      </c>
      <c r="H576" t="s">
        <v>38</v>
      </c>
      <c r="I576" t="s">
        <v>20</v>
      </c>
      <c r="J576" t="s">
        <v>24</v>
      </c>
    </row>
    <row r="577" spans="1:10" x14ac:dyDescent="0.25">
      <c r="A577" t="s">
        <v>614</v>
      </c>
      <c r="B577" s="1">
        <v>45142</v>
      </c>
      <c r="C577" t="s">
        <v>22</v>
      </c>
      <c r="D577" t="s">
        <v>36</v>
      </c>
      <c r="E577">
        <v>43776</v>
      </c>
      <c r="F577">
        <v>28406</v>
      </c>
      <c r="G577">
        <v>15370</v>
      </c>
      <c r="H577" t="s">
        <v>13</v>
      </c>
      <c r="I577" t="s">
        <v>45</v>
      </c>
      <c r="J577" t="s">
        <v>29</v>
      </c>
    </row>
    <row r="578" spans="1:10" x14ac:dyDescent="0.25">
      <c r="A578" t="s">
        <v>615</v>
      </c>
      <c r="B578" s="1">
        <v>45602</v>
      </c>
      <c r="C578" t="s">
        <v>44</v>
      </c>
      <c r="D578" t="s">
        <v>12</v>
      </c>
      <c r="E578">
        <v>25751</v>
      </c>
      <c r="F578">
        <v>6174</v>
      </c>
      <c r="G578">
        <v>19577</v>
      </c>
      <c r="H578" t="s">
        <v>38</v>
      </c>
      <c r="I578" t="s">
        <v>45</v>
      </c>
      <c r="J578" t="s">
        <v>42</v>
      </c>
    </row>
    <row r="579" spans="1:10" x14ac:dyDescent="0.25">
      <c r="A579" t="s">
        <v>616</v>
      </c>
      <c r="B579" s="1">
        <v>45156</v>
      </c>
      <c r="C579" t="s">
        <v>17</v>
      </c>
      <c r="D579" t="s">
        <v>36</v>
      </c>
      <c r="E579">
        <v>28609</v>
      </c>
      <c r="F579">
        <v>25530</v>
      </c>
      <c r="G579">
        <v>3079</v>
      </c>
      <c r="H579" t="s">
        <v>13</v>
      </c>
      <c r="I579" t="s">
        <v>63</v>
      </c>
      <c r="J579" t="s">
        <v>53</v>
      </c>
    </row>
    <row r="580" spans="1:10" x14ac:dyDescent="0.25">
      <c r="A580" t="s">
        <v>617</v>
      </c>
      <c r="B580" s="1">
        <v>45694</v>
      </c>
      <c r="C580" t="s">
        <v>22</v>
      </c>
      <c r="D580" t="s">
        <v>33</v>
      </c>
      <c r="E580">
        <v>24947</v>
      </c>
      <c r="F580">
        <v>14030</v>
      </c>
      <c r="G580">
        <v>10917</v>
      </c>
      <c r="H580" t="s">
        <v>13</v>
      </c>
      <c r="I580" t="s">
        <v>78</v>
      </c>
      <c r="J580" t="s">
        <v>15</v>
      </c>
    </row>
    <row r="581" spans="1:10" x14ac:dyDescent="0.25">
      <c r="A581" t="s">
        <v>618</v>
      </c>
      <c r="B581" s="1">
        <v>46124</v>
      </c>
      <c r="C581" t="s">
        <v>17</v>
      </c>
      <c r="D581" t="s">
        <v>41</v>
      </c>
      <c r="E581">
        <v>30797</v>
      </c>
      <c r="F581">
        <v>29533</v>
      </c>
      <c r="G581">
        <v>1264</v>
      </c>
      <c r="H581" t="s">
        <v>38</v>
      </c>
      <c r="I581" t="s">
        <v>60</v>
      </c>
      <c r="J581" t="s">
        <v>42</v>
      </c>
    </row>
    <row r="582" spans="1:10" x14ac:dyDescent="0.25">
      <c r="A582" t="s">
        <v>619</v>
      </c>
      <c r="B582" s="1">
        <v>45183</v>
      </c>
      <c r="C582" t="s">
        <v>26</v>
      </c>
      <c r="D582" t="s">
        <v>12</v>
      </c>
      <c r="E582">
        <v>5364</v>
      </c>
      <c r="F582">
        <v>2444</v>
      </c>
      <c r="G582">
        <v>2920</v>
      </c>
      <c r="H582" t="s">
        <v>38</v>
      </c>
      <c r="I582" t="s">
        <v>23</v>
      </c>
      <c r="J582" t="s">
        <v>53</v>
      </c>
    </row>
    <row r="583" spans="1:10" x14ac:dyDescent="0.25">
      <c r="A583" t="s">
        <v>620</v>
      </c>
      <c r="B583" s="1">
        <v>45553</v>
      </c>
      <c r="C583" t="s">
        <v>44</v>
      </c>
      <c r="D583" t="s">
        <v>18</v>
      </c>
      <c r="E583">
        <v>39580</v>
      </c>
      <c r="F583">
        <v>28216</v>
      </c>
      <c r="G583">
        <v>11364</v>
      </c>
      <c r="H583" t="s">
        <v>38</v>
      </c>
      <c r="I583" t="s">
        <v>34</v>
      </c>
      <c r="J583" t="s">
        <v>29</v>
      </c>
    </row>
    <row r="584" spans="1:10" x14ac:dyDescent="0.25">
      <c r="A584" t="s">
        <v>621</v>
      </c>
      <c r="B584" s="1">
        <v>45396</v>
      </c>
      <c r="C584" t="s">
        <v>11</v>
      </c>
      <c r="D584" t="s">
        <v>33</v>
      </c>
      <c r="E584">
        <v>37235</v>
      </c>
      <c r="F584">
        <v>33022</v>
      </c>
      <c r="G584">
        <v>4213</v>
      </c>
      <c r="H584" t="s">
        <v>13</v>
      </c>
      <c r="I584" t="s">
        <v>31</v>
      </c>
      <c r="J584" t="s">
        <v>53</v>
      </c>
    </row>
    <row r="585" spans="1:10" x14ac:dyDescent="0.25">
      <c r="A585" t="s">
        <v>622</v>
      </c>
      <c r="B585" s="1">
        <v>45477</v>
      </c>
      <c r="C585" t="s">
        <v>11</v>
      </c>
      <c r="D585" t="s">
        <v>36</v>
      </c>
      <c r="E585">
        <v>17289</v>
      </c>
      <c r="F585">
        <v>3305</v>
      </c>
      <c r="G585">
        <v>13984</v>
      </c>
      <c r="H585" t="s">
        <v>19</v>
      </c>
      <c r="I585" t="s">
        <v>78</v>
      </c>
      <c r="J585" t="s">
        <v>15</v>
      </c>
    </row>
    <row r="586" spans="1:10" x14ac:dyDescent="0.25">
      <c r="A586" t="s">
        <v>623</v>
      </c>
      <c r="B586" s="1">
        <v>45234</v>
      </c>
      <c r="C586" t="s">
        <v>44</v>
      </c>
      <c r="D586" t="s">
        <v>33</v>
      </c>
      <c r="E586">
        <v>8628</v>
      </c>
      <c r="F586">
        <v>730</v>
      </c>
      <c r="G586">
        <v>7898</v>
      </c>
      <c r="H586" t="s">
        <v>27</v>
      </c>
      <c r="I586" t="s">
        <v>23</v>
      </c>
      <c r="J586" t="s">
        <v>15</v>
      </c>
    </row>
    <row r="587" spans="1:10" x14ac:dyDescent="0.25">
      <c r="A587" t="s">
        <v>624</v>
      </c>
      <c r="B587" s="1">
        <v>45430</v>
      </c>
      <c r="C587" t="s">
        <v>22</v>
      </c>
      <c r="D587" t="s">
        <v>18</v>
      </c>
      <c r="E587">
        <v>17687</v>
      </c>
      <c r="F587">
        <v>9560</v>
      </c>
      <c r="G587">
        <v>8127</v>
      </c>
      <c r="H587" t="s">
        <v>38</v>
      </c>
      <c r="I587" t="s">
        <v>78</v>
      </c>
      <c r="J587" t="s">
        <v>42</v>
      </c>
    </row>
    <row r="588" spans="1:10" x14ac:dyDescent="0.25">
      <c r="A588" t="s">
        <v>625</v>
      </c>
      <c r="B588" s="1">
        <v>45444</v>
      </c>
      <c r="C588" t="s">
        <v>44</v>
      </c>
      <c r="D588" t="s">
        <v>36</v>
      </c>
      <c r="E588">
        <v>28086</v>
      </c>
      <c r="F588">
        <v>12804</v>
      </c>
      <c r="G588">
        <v>15282</v>
      </c>
      <c r="H588" t="s">
        <v>38</v>
      </c>
      <c r="I588" t="s">
        <v>34</v>
      </c>
      <c r="J588" t="s">
        <v>15</v>
      </c>
    </row>
    <row r="589" spans="1:10" x14ac:dyDescent="0.25">
      <c r="A589" t="s">
        <v>626</v>
      </c>
      <c r="B589" s="1">
        <v>45168</v>
      </c>
      <c r="C589" t="s">
        <v>22</v>
      </c>
      <c r="D589" t="s">
        <v>36</v>
      </c>
      <c r="E589">
        <v>37973</v>
      </c>
      <c r="F589">
        <v>27726</v>
      </c>
      <c r="G589">
        <v>10247</v>
      </c>
      <c r="H589" t="s">
        <v>27</v>
      </c>
      <c r="I589" t="s">
        <v>20</v>
      </c>
      <c r="J589" t="s">
        <v>53</v>
      </c>
    </row>
    <row r="590" spans="1:10" x14ac:dyDescent="0.25">
      <c r="A590" t="s">
        <v>627</v>
      </c>
      <c r="B590" s="1">
        <v>46001</v>
      </c>
      <c r="C590" t="s">
        <v>44</v>
      </c>
      <c r="D590" t="s">
        <v>41</v>
      </c>
      <c r="E590">
        <v>11104</v>
      </c>
      <c r="F590">
        <v>5465</v>
      </c>
      <c r="G590">
        <v>5639</v>
      </c>
      <c r="H590" t="s">
        <v>27</v>
      </c>
      <c r="I590" t="s">
        <v>78</v>
      </c>
      <c r="J590" t="s">
        <v>53</v>
      </c>
    </row>
    <row r="591" spans="1:10" x14ac:dyDescent="0.25">
      <c r="A591" t="s">
        <v>628</v>
      </c>
      <c r="B591" s="1">
        <v>46112</v>
      </c>
      <c r="C591" t="s">
        <v>11</v>
      </c>
      <c r="D591" t="s">
        <v>36</v>
      </c>
      <c r="E591">
        <v>9929</v>
      </c>
      <c r="F591">
        <v>4682</v>
      </c>
      <c r="G591">
        <v>5247</v>
      </c>
      <c r="H591" t="s">
        <v>38</v>
      </c>
      <c r="I591" t="s">
        <v>31</v>
      </c>
      <c r="J591" t="s">
        <v>53</v>
      </c>
    </row>
    <row r="592" spans="1:10" x14ac:dyDescent="0.25">
      <c r="A592" t="s">
        <v>629</v>
      </c>
      <c r="B592" s="1">
        <v>45699</v>
      </c>
      <c r="C592" t="s">
        <v>26</v>
      </c>
      <c r="D592" t="s">
        <v>12</v>
      </c>
      <c r="E592">
        <v>20934</v>
      </c>
      <c r="F592">
        <v>2147</v>
      </c>
      <c r="G592">
        <v>18787</v>
      </c>
      <c r="H592" t="s">
        <v>19</v>
      </c>
      <c r="I592" t="s">
        <v>14</v>
      </c>
      <c r="J592" t="s">
        <v>42</v>
      </c>
    </row>
    <row r="593" spans="1:10" x14ac:dyDescent="0.25">
      <c r="A593" t="s">
        <v>630</v>
      </c>
      <c r="B593" s="1">
        <v>46137</v>
      </c>
      <c r="C593" t="s">
        <v>22</v>
      </c>
      <c r="D593" t="s">
        <v>41</v>
      </c>
      <c r="E593">
        <v>16049</v>
      </c>
      <c r="F593">
        <v>11556</v>
      </c>
      <c r="G593">
        <v>4493</v>
      </c>
      <c r="H593" t="s">
        <v>13</v>
      </c>
      <c r="I593" t="s">
        <v>14</v>
      </c>
      <c r="J593" t="s">
        <v>53</v>
      </c>
    </row>
    <row r="594" spans="1:10" x14ac:dyDescent="0.25">
      <c r="A594" t="s">
        <v>631</v>
      </c>
      <c r="B594" s="1">
        <v>46039</v>
      </c>
      <c r="C594" t="s">
        <v>44</v>
      </c>
      <c r="D594" t="s">
        <v>33</v>
      </c>
      <c r="E594">
        <v>13816</v>
      </c>
      <c r="F594">
        <v>12725</v>
      </c>
      <c r="G594">
        <v>1091</v>
      </c>
      <c r="H594" t="s">
        <v>19</v>
      </c>
      <c r="I594" t="s">
        <v>28</v>
      </c>
      <c r="J594" t="s">
        <v>53</v>
      </c>
    </row>
    <row r="595" spans="1:10" x14ac:dyDescent="0.25">
      <c r="A595" t="s">
        <v>632</v>
      </c>
      <c r="B595" s="1">
        <v>46024</v>
      </c>
      <c r="C595" t="s">
        <v>11</v>
      </c>
      <c r="D595" t="s">
        <v>12</v>
      </c>
      <c r="E595">
        <v>37700</v>
      </c>
      <c r="F595">
        <v>19179</v>
      </c>
      <c r="G595">
        <v>18521</v>
      </c>
      <c r="H595" t="s">
        <v>13</v>
      </c>
      <c r="I595" t="s">
        <v>28</v>
      </c>
      <c r="J595" t="s">
        <v>53</v>
      </c>
    </row>
    <row r="596" spans="1:10" x14ac:dyDescent="0.25">
      <c r="A596" t="s">
        <v>633</v>
      </c>
      <c r="B596" s="1">
        <v>45883</v>
      </c>
      <c r="C596" t="s">
        <v>44</v>
      </c>
      <c r="D596" t="s">
        <v>41</v>
      </c>
      <c r="E596">
        <v>11382</v>
      </c>
      <c r="F596">
        <v>876</v>
      </c>
      <c r="G596">
        <v>10506</v>
      </c>
      <c r="H596" t="s">
        <v>13</v>
      </c>
      <c r="I596" t="s">
        <v>63</v>
      </c>
      <c r="J596" t="s">
        <v>29</v>
      </c>
    </row>
    <row r="597" spans="1:10" x14ac:dyDescent="0.25">
      <c r="A597" t="s">
        <v>634</v>
      </c>
      <c r="B597" s="1">
        <v>45304</v>
      </c>
      <c r="C597" t="s">
        <v>44</v>
      </c>
      <c r="D597" t="s">
        <v>33</v>
      </c>
      <c r="E597">
        <v>31163</v>
      </c>
      <c r="F597">
        <v>26666</v>
      </c>
      <c r="G597">
        <v>4497</v>
      </c>
      <c r="H597" t="s">
        <v>27</v>
      </c>
      <c r="I597" t="s">
        <v>60</v>
      </c>
      <c r="J597" t="s">
        <v>15</v>
      </c>
    </row>
    <row r="598" spans="1:10" x14ac:dyDescent="0.25">
      <c r="A598" t="s">
        <v>635</v>
      </c>
      <c r="B598" s="1">
        <v>46039</v>
      </c>
      <c r="C598" t="s">
        <v>22</v>
      </c>
      <c r="D598" t="s">
        <v>18</v>
      </c>
      <c r="E598">
        <v>47165</v>
      </c>
      <c r="F598">
        <v>27529</v>
      </c>
      <c r="G598">
        <v>19636</v>
      </c>
      <c r="H598" t="s">
        <v>27</v>
      </c>
      <c r="I598" t="s">
        <v>63</v>
      </c>
      <c r="J598" t="s">
        <v>53</v>
      </c>
    </row>
    <row r="599" spans="1:10" x14ac:dyDescent="0.25">
      <c r="A599" t="s">
        <v>636</v>
      </c>
      <c r="B599" s="1">
        <v>45496</v>
      </c>
      <c r="C599" t="s">
        <v>17</v>
      </c>
      <c r="D599" t="s">
        <v>12</v>
      </c>
      <c r="E599">
        <v>18260</v>
      </c>
      <c r="F599">
        <v>1785</v>
      </c>
      <c r="G599">
        <v>16475</v>
      </c>
      <c r="H599" t="s">
        <v>19</v>
      </c>
      <c r="I599" t="s">
        <v>63</v>
      </c>
      <c r="J599" t="s">
        <v>29</v>
      </c>
    </row>
    <row r="600" spans="1:10" x14ac:dyDescent="0.25">
      <c r="A600" t="s">
        <v>637</v>
      </c>
      <c r="B600" s="1">
        <v>45713</v>
      </c>
      <c r="C600" t="s">
        <v>11</v>
      </c>
      <c r="D600" t="s">
        <v>41</v>
      </c>
      <c r="E600">
        <v>47759</v>
      </c>
      <c r="F600">
        <v>36997</v>
      </c>
      <c r="G600">
        <v>10762</v>
      </c>
      <c r="H600" t="s">
        <v>13</v>
      </c>
      <c r="I600" t="s">
        <v>23</v>
      </c>
      <c r="J600" t="s">
        <v>15</v>
      </c>
    </row>
    <row r="601" spans="1:10" x14ac:dyDescent="0.25">
      <c r="A601" t="s">
        <v>638</v>
      </c>
      <c r="B601" s="1">
        <v>46047</v>
      </c>
      <c r="C601" t="s">
        <v>26</v>
      </c>
      <c r="D601" t="s">
        <v>18</v>
      </c>
      <c r="E601">
        <v>41828</v>
      </c>
      <c r="F601">
        <v>31115</v>
      </c>
      <c r="G601">
        <v>10713</v>
      </c>
      <c r="H601" t="s">
        <v>38</v>
      </c>
      <c r="I601" t="s">
        <v>60</v>
      </c>
      <c r="J601" t="s">
        <v>15</v>
      </c>
    </row>
    <row r="602" spans="1:10" x14ac:dyDescent="0.25">
      <c r="A602" t="s">
        <v>639</v>
      </c>
      <c r="B602" s="1">
        <v>45616</v>
      </c>
      <c r="C602" t="s">
        <v>26</v>
      </c>
      <c r="D602" t="s">
        <v>33</v>
      </c>
      <c r="E602">
        <v>45379</v>
      </c>
      <c r="F602">
        <v>42586</v>
      </c>
      <c r="G602">
        <v>2793</v>
      </c>
      <c r="H602" t="s">
        <v>38</v>
      </c>
      <c r="I602" t="s">
        <v>14</v>
      </c>
      <c r="J602" t="s">
        <v>53</v>
      </c>
    </row>
    <row r="603" spans="1:10" x14ac:dyDescent="0.25">
      <c r="A603" t="s">
        <v>640</v>
      </c>
      <c r="B603" s="1">
        <v>45288</v>
      </c>
      <c r="C603" t="s">
        <v>17</v>
      </c>
      <c r="D603" t="s">
        <v>12</v>
      </c>
      <c r="E603">
        <v>13692</v>
      </c>
      <c r="F603">
        <v>8272</v>
      </c>
      <c r="G603">
        <v>5420</v>
      </c>
      <c r="H603" t="s">
        <v>13</v>
      </c>
      <c r="I603" t="s">
        <v>78</v>
      </c>
      <c r="J603" t="s">
        <v>24</v>
      </c>
    </row>
    <row r="604" spans="1:10" x14ac:dyDescent="0.25">
      <c r="A604" t="s">
        <v>641</v>
      </c>
      <c r="B604" s="1">
        <v>45968</v>
      </c>
      <c r="C604" t="s">
        <v>11</v>
      </c>
      <c r="D604" t="s">
        <v>12</v>
      </c>
      <c r="E604">
        <v>34545</v>
      </c>
      <c r="F604">
        <v>21724</v>
      </c>
      <c r="G604">
        <v>12821</v>
      </c>
      <c r="H604" t="s">
        <v>13</v>
      </c>
      <c r="I604" t="s">
        <v>14</v>
      </c>
      <c r="J604" t="s">
        <v>15</v>
      </c>
    </row>
    <row r="605" spans="1:10" x14ac:dyDescent="0.25">
      <c r="A605" t="s">
        <v>642</v>
      </c>
      <c r="B605" s="1">
        <v>46183</v>
      </c>
      <c r="C605" t="s">
        <v>26</v>
      </c>
      <c r="D605" t="s">
        <v>36</v>
      </c>
      <c r="E605">
        <v>47274</v>
      </c>
      <c r="F605">
        <v>39612</v>
      </c>
      <c r="G605">
        <v>7662</v>
      </c>
      <c r="H605" t="s">
        <v>13</v>
      </c>
      <c r="I605" t="s">
        <v>14</v>
      </c>
      <c r="J605" t="s">
        <v>15</v>
      </c>
    </row>
    <row r="606" spans="1:10" x14ac:dyDescent="0.25">
      <c r="A606" t="s">
        <v>643</v>
      </c>
      <c r="B606" s="1">
        <v>45714</v>
      </c>
      <c r="C606" t="s">
        <v>11</v>
      </c>
      <c r="D606" t="s">
        <v>41</v>
      </c>
      <c r="E606">
        <v>11850</v>
      </c>
      <c r="F606">
        <v>9791</v>
      </c>
      <c r="G606">
        <v>2059</v>
      </c>
      <c r="H606" t="s">
        <v>38</v>
      </c>
      <c r="I606" t="s">
        <v>60</v>
      </c>
      <c r="J606" t="s">
        <v>29</v>
      </c>
    </row>
    <row r="607" spans="1:10" x14ac:dyDescent="0.25">
      <c r="A607" t="s">
        <v>644</v>
      </c>
      <c r="B607" s="1">
        <v>46088</v>
      </c>
      <c r="C607" t="s">
        <v>44</v>
      </c>
      <c r="D607" t="s">
        <v>36</v>
      </c>
      <c r="E607">
        <v>44390</v>
      </c>
      <c r="F607">
        <v>43337</v>
      </c>
      <c r="G607">
        <v>1053</v>
      </c>
      <c r="H607" t="s">
        <v>38</v>
      </c>
      <c r="I607" t="s">
        <v>60</v>
      </c>
      <c r="J607" t="s">
        <v>24</v>
      </c>
    </row>
    <row r="608" spans="1:10" x14ac:dyDescent="0.25">
      <c r="A608" t="s">
        <v>645</v>
      </c>
      <c r="B608" s="1">
        <v>46070</v>
      </c>
      <c r="C608" t="s">
        <v>44</v>
      </c>
      <c r="D608" t="s">
        <v>33</v>
      </c>
      <c r="E608">
        <v>21699</v>
      </c>
      <c r="F608">
        <v>20040</v>
      </c>
      <c r="G608">
        <v>1659</v>
      </c>
      <c r="H608" t="s">
        <v>27</v>
      </c>
      <c r="I608" t="s">
        <v>31</v>
      </c>
      <c r="J608" t="s">
        <v>42</v>
      </c>
    </row>
    <row r="609" spans="1:10" x14ac:dyDescent="0.25">
      <c r="A609" t="s">
        <v>646</v>
      </c>
      <c r="B609" s="1">
        <v>45374</v>
      </c>
      <c r="C609" t="s">
        <v>26</v>
      </c>
      <c r="D609" t="s">
        <v>12</v>
      </c>
      <c r="E609">
        <v>11209</v>
      </c>
      <c r="F609">
        <v>3465</v>
      </c>
      <c r="G609">
        <v>7744</v>
      </c>
      <c r="H609" t="s">
        <v>19</v>
      </c>
      <c r="I609" t="s">
        <v>60</v>
      </c>
      <c r="J609" t="s">
        <v>24</v>
      </c>
    </row>
    <row r="610" spans="1:10" x14ac:dyDescent="0.25">
      <c r="A610" t="s">
        <v>647</v>
      </c>
      <c r="B610" s="1">
        <v>45796</v>
      </c>
      <c r="C610" t="s">
        <v>26</v>
      </c>
      <c r="D610" t="s">
        <v>41</v>
      </c>
      <c r="E610">
        <v>30364</v>
      </c>
      <c r="F610">
        <v>24712</v>
      </c>
      <c r="G610">
        <v>5652</v>
      </c>
      <c r="H610" t="s">
        <v>13</v>
      </c>
      <c r="I610" t="s">
        <v>78</v>
      </c>
      <c r="J610" t="s">
        <v>53</v>
      </c>
    </row>
    <row r="611" spans="1:10" x14ac:dyDescent="0.25">
      <c r="A611" t="s">
        <v>648</v>
      </c>
      <c r="B611" s="1">
        <v>45359</v>
      </c>
      <c r="C611" t="s">
        <v>17</v>
      </c>
      <c r="D611" t="s">
        <v>33</v>
      </c>
      <c r="E611">
        <v>24665</v>
      </c>
      <c r="F611">
        <v>14998</v>
      </c>
      <c r="G611">
        <v>9667</v>
      </c>
      <c r="H611" t="s">
        <v>19</v>
      </c>
      <c r="I611" t="s">
        <v>20</v>
      </c>
      <c r="J611" t="s">
        <v>42</v>
      </c>
    </row>
    <row r="612" spans="1:10" x14ac:dyDescent="0.25">
      <c r="A612" t="s">
        <v>649</v>
      </c>
      <c r="B612" s="1">
        <v>45169</v>
      </c>
      <c r="C612" t="s">
        <v>11</v>
      </c>
      <c r="D612" t="s">
        <v>12</v>
      </c>
      <c r="E612">
        <v>20807</v>
      </c>
      <c r="F612">
        <v>12362</v>
      </c>
      <c r="G612">
        <v>8445</v>
      </c>
      <c r="H612" t="s">
        <v>38</v>
      </c>
      <c r="I612" t="s">
        <v>28</v>
      </c>
      <c r="J612" t="s">
        <v>42</v>
      </c>
    </row>
    <row r="613" spans="1:10" x14ac:dyDescent="0.25">
      <c r="A613" t="s">
        <v>650</v>
      </c>
      <c r="B613" s="1">
        <v>45312</v>
      </c>
      <c r="C613" t="s">
        <v>44</v>
      </c>
      <c r="D613" t="s">
        <v>33</v>
      </c>
      <c r="E613">
        <v>7542</v>
      </c>
      <c r="F613">
        <v>6547</v>
      </c>
      <c r="G613">
        <v>995</v>
      </c>
      <c r="H613" t="s">
        <v>19</v>
      </c>
      <c r="I613" t="s">
        <v>20</v>
      </c>
      <c r="J613" t="s">
        <v>15</v>
      </c>
    </row>
    <row r="614" spans="1:10" x14ac:dyDescent="0.25">
      <c r="A614" t="s">
        <v>651</v>
      </c>
      <c r="B614" s="1">
        <v>46056</v>
      </c>
      <c r="C614" t="s">
        <v>26</v>
      </c>
      <c r="D614" t="s">
        <v>41</v>
      </c>
      <c r="E614">
        <v>24815</v>
      </c>
      <c r="F614">
        <v>7826</v>
      </c>
      <c r="G614">
        <v>16989</v>
      </c>
      <c r="H614" t="s">
        <v>27</v>
      </c>
      <c r="I614" t="s">
        <v>45</v>
      </c>
      <c r="J614" t="s">
        <v>15</v>
      </c>
    </row>
    <row r="615" spans="1:10" x14ac:dyDescent="0.25">
      <c r="A615" t="s">
        <v>652</v>
      </c>
      <c r="B615" s="1">
        <v>45918</v>
      </c>
      <c r="C615" t="s">
        <v>44</v>
      </c>
      <c r="D615" t="s">
        <v>36</v>
      </c>
      <c r="E615">
        <v>14738</v>
      </c>
      <c r="F615">
        <v>7196</v>
      </c>
      <c r="G615">
        <v>7542</v>
      </c>
      <c r="H615" t="s">
        <v>27</v>
      </c>
      <c r="I615" t="s">
        <v>60</v>
      </c>
      <c r="J615" t="s">
        <v>24</v>
      </c>
    </row>
    <row r="616" spans="1:10" x14ac:dyDescent="0.25">
      <c r="A616" t="s">
        <v>653</v>
      </c>
      <c r="B616" s="1">
        <v>46070</v>
      </c>
      <c r="C616" t="s">
        <v>11</v>
      </c>
      <c r="D616" t="s">
        <v>36</v>
      </c>
      <c r="E616">
        <v>46630</v>
      </c>
      <c r="F616">
        <v>29081</v>
      </c>
      <c r="G616">
        <v>17549</v>
      </c>
      <c r="H616" t="s">
        <v>38</v>
      </c>
      <c r="I616" t="s">
        <v>31</v>
      </c>
      <c r="J616" t="s">
        <v>53</v>
      </c>
    </row>
    <row r="617" spans="1:10" x14ac:dyDescent="0.25">
      <c r="A617" t="s">
        <v>654</v>
      </c>
      <c r="B617" s="1">
        <v>45315</v>
      </c>
      <c r="C617" t="s">
        <v>11</v>
      </c>
      <c r="D617" t="s">
        <v>36</v>
      </c>
      <c r="E617">
        <v>42148</v>
      </c>
      <c r="F617">
        <v>31993</v>
      </c>
      <c r="G617">
        <v>10155</v>
      </c>
      <c r="H617" t="s">
        <v>19</v>
      </c>
      <c r="I617" t="s">
        <v>78</v>
      </c>
      <c r="J617" t="s">
        <v>29</v>
      </c>
    </row>
    <row r="618" spans="1:10" x14ac:dyDescent="0.25">
      <c r="A618" t="s">
        <v>655</v>
      </c>
      <c r="B618" s="1">
        <v>45709</v>
      </c>
      <c r="C618" t="s">
        <v>11</v>
      </c>
      <c r="D618" t="s">
        <v>36</v>
      </c>
      <c r="E618">
        <v>26081</v>
      </c>
      <c r="F618">
        <v>24076</v>
      </c>
      <c r="G618">
        <v>2005</v>
      </c>
      <c r="H618" t="s">
        <v>19</v>
      </c>
      <c r="I618" t="s">
        <v>28</v>
      </c>
      <c r="J618" t="s">
        <v>42</v>
      </c>
    </row>
    <row r="619" spans="1:10" x14ac:dyDescent="0.25">
      <c r="A619" t="s">
        <v>656</v>
      </c>
      <c r="B619" s="1">
        <v>45433</v>
      </c>
      <c r="C619" t="s">
        <v>17</v>
      </c>
      <c r="D619" t="s">
        <v>41</v>
      </c>
      <c r="E619">
        <v>11080</v>
      </c>
      <c r="F619">
        <v>2901</v>
      </c>
      <c r="G619">
        <v>8179</v>
      </c>
      <c r="H619" t="s">
        <v>19</v>
      </c>
      <c r="I619" t="s">
        <v>28</v>
      </c>
      <c r="J619" t="s">
        <v>53</v>
      </c>
    </row>
    <row r="620" spans="1:10" x14ac:dyDescent="0.25">
      <c r="A620" t="s">
        <v>657</v>
      </c>
      <c r="B620" s="1">
        <v>45851</v>
      </c>
      <c r="C620" t="s">
        <v>26</v>
      </c>
      <c r="D620" t="s">
        <v>41</v>
      </c>
      <c r="E620">
        <v>18674</v>
      </c>
      <c r="F620">
        <v>480</v>
      </c>
      <c r="G620">
        <v>18194</v>
      </c>
      <c r="H620" t="s">
        <v>19</v>
      </c>
      <c r="I620" t="s">
        <v>78</v>
      </c>
      <c r="J620" t="s">
        <v>24</v>
      </c>
    </row>
    <row r="621" spans="1:10" x14ac:dyDescent="0.25">
      <c r="A621" t="s">
        <v>658</v>
      </c>
      <c r="B621" s="1">
        <v>45381</v>
      </c>
      <c r="C621" t="s">
        <v>22</v>
      </c>
      <c r="D621" t="s">
        <v>18</v>
      </c>
      <c r="E621">
        <v>32173</v>
      </c>
      <c r="F621">
        <v>31642</v>
      </c>
      <c r="G621">
        <v>531</v>
      </c>
      <c r="H621" t="s">
        <v>38</v>
      </c>
      <c r="I621" t="s">
        <v>28</v>
      </c>
      <c r="J621" t="s">
        <v>53</v>
      </c>
    </row>
    <row r="622" spans="1:10" x14ac:dyDescent="0.25">
      <c r="A622" t="s">
        <v>659</v>
      </c>
      <c r="B622" s="1">
        <v>45274</v>
      </c>
      <c r="C622" t="s">
        <v>17</v>
      </c>
      <c r="D622" t="s">
        <v>18</v>
      </c>
      <c r="E622">
        <v>20570</v>
      </c>
      <c r="F622">
        <v>18414</v>
      </c>
      <c r="G622">
        <v>2156</v>
      </c>
      <c r="H622" t="s">
        <v>27</v>
      </c>
      <c r="I622" t="s">
        <v>45</v>
      </c>
      <c r="J622" t="s">
        <v>29</v>
      </c>
    </row>
    <row r="623" spans="1:10" x14ac:dyDescent="0.25">
      <c r="A623" t="s">
        <v>660</v>
      </c>
      <c r="B623" s="1">
        <v>45714</v>
      </c>
      <c r="C623" t="s">
        <v>26</v>
      </c>
      <c r="D623" t="s">
        <v>33</v>
      </c>
      <c r="E623">
        <v>12793</v>
      </c>
      <c r="F623">
        <v>2796</v>
      </c>
      <c r="G623">
        <v>9997</v>
      </c>
      <c r="H623" t="s">
        <v>19</v>
      </c>
      <c r="I623" t="s">
        <v>20</v>
      </c>
      <c r="J623" t="s">
        <v>42</v>
      </c>
    </row>
    <row r="624" spans="1:10" x14ac:dyDescent="0.25">
      <c r="A624" t="s">
        <v>661</v>
      </c>
      <c r="B624" s="1">
        <v>45193</v>
      </c>
      <c r="C624" t="s">
        <v>44</v>
      </c>
      <c r="D624" t="s">
        <v>12</v>
      </c>
      <c r="E624">
        <v>32024</v>
      </c>
      <c r="F624">
        <v>17016</v>
      </c>
      <c r="G624">
        <v>15008</v>
      </c>
      <c r="H624" t="s">
        <v>38</v>
      </c>
      <c r="I624" t="s">
        <v>23</v>
      </c>
      <c r="J624" t="s">
        <v>42</v>
      </c>
    </row>
    <row r="625" spans="1:10" x14ac:dyDescent="0.25">
      <c r="A625" t="s">
        <v>662</v>
      </c>
      <c r="B625" s="1">
        <v>45334</v>
      </c>
      <c r="C625" t="s">
        <v>17</v>
      </c>
      <c r="D625" t="s">
        <v>33</v>
      </c>
      <c r="E625">
        <v>39486</v>
      </c>
      <c r="F625">
        <v>37076</v>
      </c>
      <c r="G625">
        <v>2410</v>
      </c>
      <c r="H625" t="s">
        <v>27</v>
      </c>
      <c r="I625" t="s">
        <v>14</v>
      </c>
      <c r="J625" t="s">
        <v>53</v>
      </c>
    </row>
    <row r="626" spans="1:10" x14ac:dyDescent="0.25">
      <c r="A626" t="s">
        <v>663</v>
      </c>
      <c r="B626" s="1">
        <v>45678</v>
      </c>
      <c r="C626" t="s">
        <v>44</v>
      </c>
      <c r="D626" t="s">
        <v>12</v>
      </c>
      <c r="E626">
        <v>39483</v>
      </c>
      <c r="F626">
        <v>33872</v>
      </c>
      <c r="G626">
        <v>5611</v>
      </c>
      <c r="H626" t="s">
        <v>13</v>
      </c>
      <c r="I626" t="s">
        <v>34</v>
      </c>
      <c r="J626" t="s">
        <v>29</v>
      </c>
    </row>
    <row r="627" spans="1:10" x14ac:dyDescent="0.25">
      <c r="A627" t="s">
        <v>664</v>
      </c>
      <c r="B627" s="1">
        <v>45996</v>
      </c>
      <c r="C627" t="s">
        <v>17</v>
      </c>
      <c r="D627" t="s">
        <v>41</v>
      </c>
      <c r="E627">
        <v>10220</v>
      </c>
      <c r="F627">
        <v>8889</v>
      </c>
      <c r="G627">
        <v>1331</v>
      </c>
      <c r="H627" t="s">
        <v>27</v>
      </c>
      <c r="I627" t="s">
        <v>31</v>
      </c>
      <c r="J627" t="s">
        <v>53</v>
      </c>
    </row>
    <row r="628" spans="1:10" x14ac:dyDescent="0.25">
      <c r="A628" t="s">
        <v>665</v>
      </c>
      <c r="B628" s="1">
        <v>45926</v>
      </c>
      <c r="C628" t="s">
        <v>11</v>
      </c>
      <c r="D628" t="s">
        <v>36</v>
      </c>
      <c r="E628">
        <v>28450</v>
      </c>
      <c r="F628">
        <v>11101</v>
      </c>
      <c r="G628">
        <v>17349</v>
      </c>
      <c r="H628" t="s">
        <v>27</v>
      </c>
      <c r="I628" t="s">
        <v>78</v>
      </c>
      <c r="J628" t="s">
        <v>29</v>
      </c>
    </row>
    <row r="629" spans="1:10" x14ac:dyDescent="0.25">
      <c r="A629" t="s">
        <v>666</v>
      </c>
      <c r="B629" s="1">
        <v>45699</v>
      </c>
      <c r="C629" t="s">
        <v>11</v>
      </c>
      <c r="D629" t="s">
        <v>41</v>
      </c>
      <c r="E629">
        <v>6257</v>
      </c>
      <c r="F629">
        <v>2985</v>
      </c>
      <c r="G629">
        <v>3272</v>
      </c>
      <c r="H629" t="s">
        <v>38</v>
      </c>
      <c r="I629" t="s">
        <v>31</v>
      </c>
      <c r="J629" t="s">
        <v>42</v>
      </c>
    </row>
    <row r="630" spans="1:10" x14ac:dyDescent="0.25">
      <c r="A630" t="s">
        <v>667</v>
      </c>
      <c r="B630" s="1">
        <v>45305</v>
      </c>
      <c r="C630" t="s">
        <v>11</v>
      </c>
      <c r="D630" t="s">
        <v>41</v>
      </c>
      <c r="E630">
        <v>42711</v>
      </c>
      <c r="F630">
        <v>38254</v>
      </c>
      <c r="G630">
        <v>4457</v>
      </c>
      <c r="H630" t="s">
        <v>19</v>
      </c>
      <c r="I630" t="s">
        <v>78</v>
      </c>
      <c r="J630" t="s">
        <v>42</v>
      </c>
    </row>
    <row r="631" spans="1:10" x14ac:dyDescent="0.25">
      <c r="A631" t="s">
        <v>668</v>
      </c>
      <c r="B631" s="1">
        <v>45500</v>
      </c>
      <c r="C631" t="s">
        <v>26</v>
      </c>
      <c r="D631" t="s">
        <v>18</v>
      </c>
      <c r="E631">
        <v>49424</v>
      </c>
      <c r="F631">
        <v>39456</v>
      </c>
      <c r="G631">
        <v>9968</v>
      </c>
      <c r="H631" t="s">
        <v>13</v>
      </c>
      <c r="I631" t="s">
        <v>45</v>
      </c>
      <c r="J631" t="s">
        <v>53</v>
      </c>
    </row>
    <row r="632" spans="1:10" x14ac:dyDescent="0.25">
      <c r="A632" t="s">
        <v>669</v>
      </c>
      <c r="B632" s="1">
        <v>45484</v>
      </c>
      <c r="C632" t="s">
        <v>11</v>
      </c>
      <c r="D632" t="s">
        <v>41</v>
      </c>
      <c r="E632">
        <v>27217</v>
      </c>
      <c r="F632">
        <v>25568</v>
      </c>
      <c r="G632">
        <v>1649</v>
      </c>
      <c r="H632" t="s">
        <v>38</v>
      </c>
      <c r="I632" t="s">
        <v>23</v>
      </c>
      <c r="J632" t="s">
        <v>29</v>
      </c>
    </row>
    <row r="633" spans="1:10" x14ac:dyDescent="0.25">
      <c r="A633" t="s">
        <v>670</v>
      </c>
      <c r="B633" s="1">
        <v>45393</v>
      </c>
      <c r="C633" t="s">
        <v>17</v>
      </c>
      <c r="D633" t="s">
        <v>36</v>
      </c>
      <c r="E633">
        <v>15584</v>
      </c>
      <c r="F633">
        <v>10228</v>
      </c>
      <c r="G633">
        <v>5356</v>
      </c>
      <c r="H633" t="s">
        <v>38</v>
      </c>
      <c r="I633" t="s">
        <v>34</v>
      </c>
      <c r="J633" t="s">
        <v>53</v>
      </c>
    </row>
    <row r="634" spans="1:10" x14ac:dyDescent="0.25">
      <c r="A634" t="s">
        <v>671</v>
      </c>
      <c r="B634" s="1">
        <v>45325</v>
      </c>
      <c r="C634" t="s">
        <v>26</v>
      </c>
      <c r="D634" t="s">
        <v>18</v>
      </c>
      <c r="E634">
        <v>44345</v>
      </c>
      <c r="F634">
        <v>38678</v>
      </c>
      <c r="G634">
        <v>5667</v>
      </c>
      <c r="H634" t="s">
        <v>19</v>
      </c>
      <c r="I634" t="s">
        <v>14</v>
      </c>
      <c r="J634" t="s">
        <v>42</v>
      </c>
    </row>
    <row r="635" spans="1:10" x14ac:dyDescent="0.25">
      <c r="A635" t="s">
        <v>672</v>
      </c>
      <c r="B635" s="1">
        <v>45331</v>
      </c>
      <c r="C635" t="s">
        <v>26</v>
      </c>
      <c r="D635" t="s">
        <v>12</v>
      </c>
      <c r="E635">
        <v>22998</v>
      </c>
      <c r="F635">
        <v>15517</v>
      </c>
      <c r="G635">
        <v>7481</v>
      </c>
      <c r="H635" t="s">
        <v>19</v>
      </c>
      <c r="I635" t="s">
        <v>20</v>
      </c>
      <c r="J635" t="s">
        <v>29</v>
      </c>
    </row>
    <row r="636" spans="1:10" x14ac:dyDescent="0.25">
      <c r="A636" t="s">
        <v>673</v>
      </c>
      <c r="B636" s="1">
        <v>45339</v>
      </c>
      <c r="C636" t="s">
        <v>17</v>
      </c>
      <c r="D636" t="s">
        <v>12</v>
      </c>
      <c r="E636">
        <v>21886</v>
      </c>
      <c r="F636">
        <v>19770</v>
      </c>
      <c r="G636">
        <v>2116</v>
      </c>
      <c r="H636" t="s">
        <v>19</v>
      </c>
      <c r="I636" t="s">
        <v>63</v>
      </c>
      <c r="J636" t="s">
        <v>29</v>
      </c>
    </row>
    <row r="637" spans="1:10" x14ac:dyDescent="0.25">
      <c r="A637" t="s">
        <v>674</v>
      </c>
      <c r="B637" s="1">
        <v>45767</v>
      </c>
      <c r="C637" t="s">
        <v>11</v>
      </c>
      <c r="D637" t="s">
        <v>12</v>
      </c>
      <c r="E637">
        <v>24335</v>
      </c>
      <c r="F637">
        <v>9151</v>
      </c>
      <c r="G637">
        <v>15184</v>
      </c>
      <c r="H637" t="s">
        <v>13</v>
      </c>
      <c r="I637" t="s">
        <v>23</v>
      </c>
      <c r="J637" t="s">
        <v>53</v>
      </c>
    </row>
    <row r="638" spans="1:10" x14ac:dyDescent="0.25">
      <c r="A638" t="s">
        <v>675</v>
      </c>
      <c r="B638" s="1">
        <v>46185</v>
      </c>
      <c r="C638" t="s">
        <v>11</v>
      </c>
      <c r="D638" t="s">
        <v>41</v>
      </c>
      <c r="E638">
        <v>24708</v>
      </c>
      <c r="F638">
        <v>22376</v>
      </c>
      <c r="G638">
        <v>2332</v>
      </c>
      <c r="H638" t="s">
        <v>19</v>
      </c>
      <c r="I638" t="s">
        <v>63</v>
      </c>
      <c r="J638" t="s">
        <v>42</v>
      </c>
    </row>
    <row r="639" spans="1:10" x14ac:dyDescent="0.25">
      <c r="A639" t="s">
        <v>676</v>
      </c>
      <c r="B639" s="1">
        <v>45215</v>
      </c>
      <c r="C639" t="s">
        <v>22</v>
      </c>
      <c r="D639" t="s">
        <v>33</v>
      </c>
      <c r="E639">
        <v>5266</v>
      </c>
      <c r="F639">
        <v>4413</v>
      </c>
      <c r="G639">
        <v>853</v>
      </c>
      <c r="H639" t="s">
        <v>27</v>
      </c>
      <c r="I639" t="s">
        <v>60</v>
      </c>
      <c r="J639" t="s">
        <v>53</v>
      </c>
    </row>
    <row r="640" spans="1:10" x14ac:dyDescent="0.25">
      <c r="A640" t="s">
        <v>677</v>
      </c>
      <c r="B640" s="1">
        <v>45161</v>
      </c>
      <c r="C640" t="s">
        <v>17</v>
      </c>
      <c r="D640" t="s">
        <v>12</v>
      </c>
      <c r="E640">
        <v>20712</v>
      </c>
      <c r="F640">
        <v>16974</v>
      </c>
      <c r="G640">
        <v>3738</v>
      </c>
      <c r="H640" t="s">
        <v>13</v>
      </c>
      <c r="I640" t="s">
        <v>31</v>
      </c>
      <c r="J640" t="s">
        <v>42</v>
      </c>
    </row>
    <row r="641" spans="1:10" x14ac:dyDescent="0.25">
      <c r="A641" t="s">
        <v>678</v>
      </c>
      <c r="B641" s="1">
        <v>45793</v>
      </c>
      <c r="C641" t="s">
        <v>17</v>
      </c>
      <c r="D641" t="s">
        <v>12</v>
      </c>
      <c r="E641">
        <v>24879</v>
      </c>
      <c r="F641">
        <v>11392</v>
      </c>
      <c r="G641">
        <v>13487</v>
      </c>
      <c r="H641" t="s">
        <v>27</v>
      </c>
      <c r="I641" t="s">
        <v>14</v>
      </c>
      <c r="J641" t="s">
        <v>15</v>
      </c>
    </row>
    <row r="642" spans="1:10" x14ac:dyDescent="0.25">
      <c r="A642" t="s">
        <v>679</v>
      </c>
      <c r="B642" s="1">
        <v>45596</v>
      </c>
      <c r="C642" t="s">
        <v>44</v>
      </c>
      <c r="D642" t="s">
        <v>33</v>
      </c>
      <c r="E642">
        <v>19859</v>
      </c>
      <c r="F642">
        <v>796</v>
      </c>
      <c r="G642">
        <v>19063</v>
      </c>
      <c r="H642" t="s">
        <v>13</v>
      </c>
      <c r="I642" t="s">
        <v>14</v>
      </c>
      <c r="J642" t="s">
        <v>53</v>
      </c>
    </row>
    <row r="643" spans="1:10" x14ac:dyDescent="0.25">
      <c r="A643" t="s">
        <v>680</v>
      </c>
      <c r="B643" s="1">
        <v>45323</v>
      </c>
      <c r="C643" t="s">
        <v>26</v>
      </c>
      <c r="D643" t="s">
        <v>33</v>
      </c>
      <c r="E643">
        <v>49706</v>
      </c>
      <c r="F643">
        <v>45231</v>
      </c>
      <c r="G643">
        <v>4475</v>
      </c>
      <c r="H643" t="s">
        <v>38</v>
      </c>
      <c r="I643" t="s">
        <v>31</v>
      </c>
      <c r="J643" t="s">
        <v>24</v>
      </c>
    </row>
    <row r="644" spans="1:10" x14ac:dyDescent="0.25">
      <c r="A644" t="s">
        <v>681</v>
      </c>
      <c r="B644" s="1">
        <v>45707</v>
      </c>
      <c r="C644" t="s">
        <v>44</v>
      </c>
      <c r="D644" t="s">
        <v>18</v>
      </c>
      <c r="E644">
        <v>31970</v>
      </c>
      <c r="F644">
        <v>20828</v>
      </c>
      <c r="G644">
        <v>11142</v>
      </c>
      <c r="H644" t="s">
        <v>27</v>
      </c>
      <c r="I644" t="s">
        <v>63</v>
      </c>
      <c r="J644" t="s">
        <v>24</v>
      </c>
    </row>
    <row r="645" spans="1:10" x14ac:dyDescent="0.25">
      <c r="A645" t="s">
        <v>682</v>
      </c>
      <c r="B645" s="1">
        <v>45883</v>
      </c>
      <c r="C645" t="s">
        <v>26</v>
      </c>
      <c r="D645" t="s">
        <v>18</v>
      </c>
      <c r="E645">
        <v>10618</v>
      </c>
      <c r="F645">
        <v>9630</v>
      </c>
      <c r="G645">
        <v>988</v>
      </c>
      <c r="H645" t="s">
        <v>27</v>
      </c>
      <c r="I645" t="s">
        <v>45</v>
      </c>
      <c r="J645" t="s">
        <v>29</v>
      </c>
    </row>
    <row r="646" spans="1:10" x14ac:dyDescent="0.25">
      <c r="A646" t="s">
        <v>683</v>
      </c>
      <c r="B646" s="1">
        <v>45622</v>
      </c>
      <c r="C646" t="s">
        <v>17</v>
      </c>
      <c r="D646" t="s">
        <v>12</v>
      </c>
      <c r="E646">
        <v>27771</v>
      </c>
      <c r="F646">
        <v>25612</v>
      </c>
      <c r="G646">
        <v>2159</v>
      </c>
      <c r="H646" t="s">
        <v>19</v>
      </c>
      <c r="I646" t="s">
        <v>34</v>
      </c>
      <c r="J646" t="s">
        <v>15</v>
      </c>
    </row>
    <row r="647" spans="1:10" x14ac:dyDescent="0.25">
      <c r="A647" t="s">
        <v>684</v>
      </c>
      <c r="B647" s="1">
        <v>45566</v>
      </c>
      <c r="C647" t="s">
        <v>17</v>
      </c>
      <c r="D647" t="s">
        <v>41</v>
      </c>
      <c r="E647">
        <v>25769</v>
      </c>
      <c r="F647">
        <v>16384</v>
      </c>
      <c r="G647">
        <v>9385</v>
      </c>
      <c r="H647" t="s">
        <v>13</v>
      </c>
      <c r="I647" t="s">
        <v>78</v>
      </c>
      <c r="J647" t="s">
        <v>29</v>
      </c>
    </row>
    <row r="648" spans="1:10" x14ac:dyDescent="0.25">
      <c r="A648" t="s">
        <v>685</v>
      </c>
      <c r="B648" s="1">
        <v>45994</v>
      </c>
      <c r="C648" t="s">
        <v>26</v>
      </c>
      <c r="D648" t="s">
        <v>36</v>
      </c>
      <c r="E648">
        <v>48453</v>
      </c>
      <c r="F648">
        <v>42344</v>
      </c>
      <c r="G648">
        <v>6109</v>
      </c>
      <c r="H648" t="s">
        <v>13</v>
      </c>
      <c r="I648" t="s">
        <v>28</v>
      </c>
      <c r="J648" t="s">
        <v>29</v>
      </c>
    </row>
    <row r="649" spans="1:10" x14ac:dyDescent="0.25">
      <c r="A649" t="s">
        <v>686</v>
      </c>
      <c r="B649" s="1">
        <v>45811</v>
      </c>
      <c r="C649" t="s">
        <v>22</v>
      </c>
      <c r="D649" t="s">
        <v>12</v>
      </c>
      <c r="E649">
        <v>23847</v>
      </c>
      <c r="F649">
        <v>7246</v>
      </c>
      <c r="G649">
        <v>16601</v>
      </c>
      <c r="H649" t="s">
        <v>19</v>
      </c>
      <c r="I649" t="s">
        <v>31</v>
      </c>
      <c r="J649" t="s">
        <v>29</v>
      </c>
    </row>
    <row r="650" spans="1:10" x14ac:dyDescent="0.25">
      <c r="A650" t="s">
        <v>687</v>
      </c>
      <c r="B650" s="1">
        <v>46110</v>
      </c>
      <c r="C650" t="s">
        <v>17</v>
      </c>
      <c r="D650" t="s">
        <v>41</v>
      </c>
      <c r="E650">
        <v>47636</v>
      </c>
      <c r="F650">
        <v>39876</v>
      </c>
      <c r="G650">
        <v>7760</v>
      </c>
      <c r="H650" t="s">
        <v>27</v>
      </c>
      <c r="I650" t="s">
        <v>28</v>
      </c>
      <c r="J650" t="s">
        <v>42</v>
      </c>
    </row>
    <row r="651" spans="1:10" x14ac:dyDescent="0.25">
      <c r="A651" t="s">
        <v>688</v>
      </c>
      <c r="B651" s="1">
        <v>45902</v>
      </c>
      <c r="C651" t="s">
        <v>17</v>
      </c>
      <c r="D651" t="s">
        <v>12</v>
      </c>
      <c r="E651">
        <v>5886</v>
      </c>
      <c r="F651">
        <v>2387</v>
      </c>
      <c r="G651">
        <v>3499</v>
      </c>
      <c r="H651" t="s">
        <v>38</v>
      </c>
      <c r="I651" t="s">
        <v>45</v>
      </c>
      <c r="J651" t="s">
        <v>15</v>
      </c>
    </row>
    <row r="652" spans="1:10" x14ac:dyDescent="0.25">
      <c r="A652" t="s">
        <v>689</v>
      </c>
      <c r="B652" s="1">
        <v>46098</v>
      </c>
      <c r="C652" t="s">
        <v>44</v>
      </c>
      <c r="D652" t="s">
        <v>33</v>
      </c>
      <c r="E652">
        <v>41302</v>
      </c>
      <c r="F652">
        <v>37063</v>
      </c>
      <c r="G652">
        <v>4239</v>
      </c>
      <c r="H652" t="s">
        <v>19</v>
      </c>
      <c r="I652" t="s">
        <v>78</v>
      </c>
      <c r="J652" t="s">
        <v>24</v>
      </c>
    </row>
    <row r="653" spans="1:10" x14ac:dyDescent="0.25">
      <c r="A653" t="s">
        <v>690</v>
      </c>
      <c r="B653" s="1">
        <v>45466</v>
      </c>
      <c r="C653" t="s">
        <v>44</v>
      </c>
      <c r="D653" t="s">
        <v>41</v>
      </c>
      <c r="E653">
        <v>26902</v>
      </c>
      <c r="F653">
        <v>25251</v>
      </c>
      <c r="G653">
        <v>1651</v>
      </c>
      <c r="H653" t="s">
        <v>13</v>
      </c>
      <c r="I653" t="s">
        <v>28</v>
      </c>
      <c r="J653" t="s">
        <v>29</v>
      </c>
    </row>
    <row r="654" spans="1:10" x14ac:dyDescent="0.25">
      <c r="A654" t="s">
        <v>691</v>
      </c>
      <c r="B654" s="1">
        <v>46194</v>
      </c>
      <c r="C654" t="s">
        <v>17</v>
      </c>
      <c r="D654" t="s">
        <v>33</v>
      </c>
      <c r="E654">
        <v>32013</v>
      </c>
      <c r="F654">
        <v>18695</v>
      </c>
      <c r="G654">
        <v>13318</v>
      </c>
      <c r="H654" t="s">
        <v>38</v>
      </c>
      <c r="I654" t="s">
        <v>34</v>
      </c>
      <c r="J654" t="s">
        <v>29</v>
      </c>
    </row>
    <row r="655" spans="1:10" x14ac:dyDescent="0.25">
      <c r="A655" t="s">
        <v>692</v>
      </c>
      <c r="B655" s="1">
        <v>46188</v>
      </c>
      <c r="C655" t="s">
        <v>44</v>
      </c>
      <c r="D655" t="s">
        <v>41</v>
      </c>
      <c r="E655">
        <v>40925</v>
      </c>
      <c r="F655">
        <v>23477</v>
      </c>
      <c r="G655">
        <v>17448</v>
      </c>
      <c r="H655" t="s">
        <v>13</v>
      </c>
      <c r="I655" t="s">
        <v>28</v>
      </c>
      <c r="J655" t="s">
        <v>42</v>
      </c>
    </row>
    <row r="656" spans="1:10" x14ac:dyDescent="0.25">
      <c r="A656" t="s">
        <v>693</v>
      </c>
      <c r="B656" s="1">
        <v>46070</v>
      </c>
      <c r="C656" t="s">
        <v>11</v>
      </c>
      <c r="D656" t="s">
        <v>33</v>
      </c>
      <c r="E656">
        <v>16546</v>
      </c>
      <c r="F656">
        <v>2965</v>
      </c>
      <c r="G656">
        <v>13581</v>
      </c>
      <c r="H656" t="s">
        <v>19</v>
      </c>
      <c r="I656" t="s">
        <v>28</v>
      </c>
      <c r="J656" t="s">
        <v>42</v>
      </c>
    </row>
    <row r="657" spans="1:10" x14ac:dyDescent="0.25">
      <c r="A657" t="s">
        <v>694</v>
      </c>
      <c r="B657" s="1">
        <v>46035</v>
      </c>
      <c r="C657" t="s">
        <v>22</v>
      </c>
      <c r="D657" t="s">
        <v>12</v>
      </c>
      <c r="E657">
        <v>25791</v>
      </c>
      <c r="F657">
        <v>22258</v>
      </c>
      <c r="G657">
        <v>3533</v>
      </c>
      <c r="H657" t="s">
        <v>19</v>
      </c>
      <c r="I657" t="s">
        <v>78</v>
      </c>
      <c r="J657" t="s">
        <v>24</v>
      </c>
    </row>
    <row r="658" spans="1:10" x14ac:dyDescent="0.25">
      <c r="A658" t="s">
        <v>695</v>
      </c>
      <c r="B658" s="1">
        <v>45557</v>
      </c>
      <c r="C658" t="s">
        <v>11</v>
      </c>
      <c r="D658" t="s">
        <v>33</v>
      </c>
      <c r="E658">
        <v>42542</v>
      </c>
      <c r="F658">
        <v>23613</v>
      </c>
      <c r="G658">
        <v>18929</v>
      </c>
      <c r="H658" t="s">
        <v>38</v>
      </c>
      <c r="I658" t="s">
        <v>34</v>
      </c>
      <c r="J658" t="s">
        <v>53</v>
      </c>
    </row>
    <row r="659" spans="1:10" x14ac:dyDescent="0.25">
      <c r="A659" t="s">
        <v>696</v>
      </c>
      <c r="B659" s="1">
        <v>45428</v>
      </c>
      <c r="C659" t="s">
        <v>22</v>
      </c>
      <c r="D659" t="s">
        <v>18</v>
      </c>
      <c r="E659">
        <v>10950</v>
      </c>
      <c r="F659">
        <v>130</v>
      </c>
      <c r="G659">
        <v>10820</v>
      </c>
      <c r="H659" t="s">
        <v>13</v>
      </c>
      <c r="I659" t="s">
        <v>63</v>
      </c>
      <c r="J659" t="s">
        <v>15</v>
      </c>
    </row>
    <row r="660" spans="1:10" x14ac:dyDescent="0.25">
      <c r="A660" t="s">
        <v>697</v>
      </c>
      <c r="B660" s="1">
        <v>45732</v>
      </c>
      <c r="C660" t="s">
        <v>44</v>
      </c>
      <c r="D660" t="s">
        <v>33</v>
      </c>
      <c r="E660">
        <v>25776</v>
      </c>
      <c r="F660">
        <v>25158</v>
      </c>
      <c r="G660">
        <v>618</v>
      </c>
      <c r="H660" t="s">
        <v>13</v>
      </c>
      <c r="I660" t="s">
        <v>63</v>
      </c>
      <c r="J660" t="s">
        <v>15</v>
      </c>
    </row>
    <row r="661" spans="1:10" x14ac:dyDescent="0.25">
      <c r="A661" t="s">
        <v>698</v>
      </c>
      <c r="B661" s="1">
        <v>45596</v>
      </c>
      <c r="C661" t="s">
        <v>11</v>
      </c>
      <c r="D661" t="s">
        <v>12</v>
      </c>
      <c r="E661">
        <v>46536</v>
      </c>
      <c r="F661">
        <v>43620</v>
      </c>
      <c r="G661">
        <v>2916</v>
      </c>
      <c r="H661" t="s">
        <v>27</v>
      </c>
      <c r="I661" t="s">
        <v>20</v>
      </c>
      <c r="J661" t="s">
        <v>53</v>
      </c>
    </row>
    <row r="662" spans="1:10" x14ac:dyDescent="0.25">
      <c r="A662" t="s">
        <v>699</v>
      </c>
      <c r="B662" s="1">
        <v>45574</v>
      </c>
      <c r="C662" t="s">
        <v>11</v>
      </c>
      <c r="D662" t="s">
        <v>12</v>
      </c>
      <c r="E662">
        <v>16986</v>
      </c>
      <c r="F662">
        <v>2945</v>
      </c>
      <c r="G662">
        <v>14041</v>
      </c>
      <c r="H662" t="s">
        <v>19</v>
      </c>
      <c r="I662" t="s">
        <v>14</v>
      </c>
      <c r="J662" t="s">
        <v>42</v>
      </c>
    </row>
    <row r="663" spans="1:10" x14ac:dyDescent="0.25">
      <c r="A663" t="s">
        <v>700</v>
      </c>
      <c r="B663" s="1">
        <v>45242</v>
      </c>
      <c r="C663" t="s">
        <v>22</v>
      </c>
      <c r="D663" t="s">
        <v>36</v>
      </c>
      <c r="E663">
        <v>39459</v>
      </c>
      <c r="F663">
        <v>31013</v>
      </c>
      <c r="G663">
        <v>8446</v>
      </c>
      <c r="H663" t="s">
        <v>13</v>
      </c>
      <c r="I663" t="s">
        <v>45</v>
      </c>
      <c r="J663" t="s">
        <v>29</v>
      </c>
    </row>
    <row r="664" spans="1:10" x14ac:dyDescent="0.25">
      <c r="A664" t="s">
        <v>701</v>
      </c>
      <c r="B664" s="1">
        <v>45498</v>
      </c>
      <c r="C664" t="s">
        <v>22</v>
      </c>
      <c r="D664" t="s">
        <v>12</v>
      </c>
      <c r="E664">
        <v>8415</v>
      </c>
      <c r="F664">
        <v>3175</v>
      </c>
      <c r="G664">
        <v>5240</v>
      </c>
      <c r="H664" t="s">
        <v>27</v>
      </c>
      <c r="I664" t="s">
        <v>78</v>
      </c>
      <c r="J664" t="s">
        <v>53</v>
      </c>
    </row>
    <row r="665" spans="1:10" x14ac:dyDescent="0.25">
      <c r="A665" t="s">
        <v>702</v>
      </c>
      <c r="B665" s="1">
        <v>45306</v>
      </c>
      <c r="C665" t="s">
        <v>44</v>
      </c>
      <c r="D665" t="s">
        <v>12</v>
      </c>
      <c r="E665">
        <v>21036</v>
      </c>
      <c r="F665">
        <v>9202</v>
      </c>
      <c r="G665">
        <v>11834</v>
      </c>
      <c r="H665" t="s">
        <v>38</v>
      </c>
      <c r="I665" t="s">
        <v>60</v>
      </c>
      <c r="J665" t="s">
        <v>24</v>
      </c>
    </row>
    <row r="666" spans="1:10" x14ac:dyDescent="0.25">
      <c r="A666" t="s">
        <v>703</v>
      </c>
      <c r="B666" s="1">
        <v>45303</v>
      </c>
      <c r="C666" t="s">
        <v>44</v>
      </c>
      <c r="D666" t="s">
        <v>18</v>
      </c>
      <c r="E666">
        <v>17953</v>
      </c>
      <c r="F666">
        <v>1269</v>
      </c>
      <c r="G666">
        <v>16684</v>
      </c>
      <c r="H666" t="s">
        <v>38</v>
      </c>
      <c r="I666" t="s">
        <v>78</v>
      </c>
      <c r="J666" t="s">
        <v>15</v>
      </c>
    </row>
    <row r="667" spans="1:10" x14ac:dyDescent="0.25">
      <c r="A667" t="s">
        <v>704</v>
      </c>
      <c r="B667" s="1">
        <v>45870</v>
      </c>
      <c r="C667" t="s">
        <v>22</v>
      </c>
      <c r="D667" t="s">
        <v>33</v>
      </c>
      <c r="E667">
        <v>49806</v>
      </c>
      <c r="F667">
        <v>31038</v>
      </c>
      <c r="G667">
        <v>18768</v>
      </c>
      <c r="H667" t="s">
        <v>27</v>
      </c>
      <c r="I667" t="s">
        <v>28</v>
      </c>
      <c r="J667" t="s">
        <v>42</v>
      </c>
    </row>
    <row r="668" spans="1:10" x14ac:dyDescent="0.25">
      <c r="A668" t="s">
        <v>705</v>
      </c>
      <c r="B668" s="1">
        <v>45708</v>
      </c>
      <c r="C668" t="s">
        <v>11</v>
      </c>
      <c r="D668" t="s">
        <v>18</v>
      </c>
      <c r="E668">
        <v>37930</v>
      </c>
      <c r="F668">
        <v>19161</v>
      </c>
      <c r="G668">
        <v>18769</v>
      </c>
      <c r="H668" t="s">
        <v>27</v>
      </c>
      <c r="I668" t="s">
        <v>45</v>
      </c>
      <c r="J668" t="s">
        <v>29</v>
      </c>
    </row>
    <row r="669" spans="1:10" x14ac:dyDescent="0.25">
      <c r="A669" t="s">
        <v>706</v>
      </c>
      <c r="B669" s="1">
        <v>45374</v>
      </c>
      <c r="C669" t="s">
        <v>17</v>
      </c>
      <c r="D669" t="s">
        <v>41</v>
      </c>
      <c r="E669">
        <v>20401</v>
      </c>
      <c r="F669">
        <v>15970</v>
      </c>
      <c r="G669">
        <v>4431</v>
      </c>
      <c r="H669" t="s">
        <v>19</v>
      </c>
      <c r="I669" t="s">
        <v>14</v>
      </c>
      <c r="J669" t="s">
        <v>24</v>
      </c>
    </row>
    <row r="670" spans="1:10" x14ac:dyDescent="0.25">
      <c r="A670" t="s">
        <v>707</v>
      </c>
      <c r="B670" s="1">
        <v>45989</v>
      </c>
      <c r="C670" t="s">
        <v>11</v>
      </c>
      <c r="D670" t="s">
        <v>36</v>
      </c>
      <c r="E670">
        <v>9176</v>
      </c>
      <c r="F670">
        <v>7611</v>
      </c>
      <c r="G670">
        <v>1565</v>
      </c>
      <c r="H670" t="s">
        <v>27</v>
      </c>
      <c r="I670" t="s">
        <v>45</v>
      </c>
      <c r="J670" t="s">
        <v>53</v>
      </c>
    </row>
    <row r="671" spans="1:10" x14ac:dyDescent="0.25">
      <c r="A671" t="s">
        <v>708</v>
      </c>
      <c r="B671" s="1">
        <v>45594</v>
      </c>
      <c r="C671" t="s">
        <v>17</v>
      </c>
      <c r="D671" t="s">
        <v>18</v>
      </c>
      <c r="E671">
        <v>37398</v>
      </c>
      <c r="F671">
        <v>35193</v>
      </c>
      <c r="G671">
        <v>2205</v>
      </c>
      <c r="H671" t="s">
        <v>19</v>
      </c>
      <c r="I671" t="s">
        <v>78</v>
      </c>
      <c r="J671" t="s">
        <v>24</v>
      </c>
    </row>
    <row r="672" spans="1:10" x14ac:dyDescent="0.25">
      <c r="A672" t="s">
        <v>709</v>
      </c>
      <c r="B672" s="1">
        <v>45839</v>
      </c>
      <c r="C672" t="s">
        <v>44</v>
      </c>
      <c r="D672" t="s">
        <v>36</v>
      </c>
      <c r="E672">
        <v>32247</v>
      </c>
      <c r="F672">
        <v>17859</v>
      </c>
      <c r="G672">
        <v>14388</v>
      </c>
      <c r="H672" t="s">
        <v>27</v>
      </c>
      <c r="I672" t="s">
        <v>14</v>
      </c>
      <c r="J672" t="s">
        <v>53</v>
      </c>
    </row>
    <row r="673" spans="1:10" x14ac:dyDescent="0.25">
      <c r="A673" t="s">
        <v>710</v>
      </c>
      <c r="B673" s="1">
        <v>45288</v>
      </c>
      <c r="C673" t="s">
        <v>44</v>
      </c>
      <c r="D673" t="s">
        <v>41</v>
      </c>
      <c r="E673">
        <v>45240</v>
      </c>
      <c r="F673">
        <v>28851</v>
      </c>
      <c r="G673">
        <v>16389</v>
      </c>
      <c r="H673" t="s">
        <v>13</v>
      </c>
      <c r="I673" t="s">
        <v>31</v>
      </c>
      <c r="J673" t="s">
        <v>53</v>
      </c>
    </row>
    <row r="674" spans="1:10" x14ac:dyDescent="0.25">
      <c r="A674" t="s">
        <v>711</v>
      </c>
      <c r="B674" s="1">
        <v>45543</v>
      </c>
      <c r="C674" t="s">
        <v>44</v>
      </c>
      <c r="D674" t="s">
        <v>18</v>
      </c>
      <c r="E674">
        <v>25462</v>
      </c>
      <c r="F674">
        <v>6913</v>
      </c>
      <c r="G674">
        <v>18549</v>
      </c>
      <c r="H674" t="s">
        <v>19</v>
      </c>
      <c r="I674" t="s">
        <v>31</v>
      </c>
      <c r="J674" t="s">
        <v>42</v>
      </c>
    </row>
    <row r="675" spans="1:10" x14ac:dyDescent="0.25">
      <c r="A675" t="s">
        <v>712</v>
      </c>
      <c r="B675" s="1">
        <v>45991</v>
      </c>
      <c r="C675" t="s">
        <v>22</v>
      </c>
      <c r="D675" t="s">
        <v>12</v>
      </c>
      <c r="E675">
        <v>16383</v>
      </c>
      <c r="F675">
        <v>6289</v>
      </c>
      <c r="G675">
        <v>10094</v>
      </c>
      <c r="H675" t="s">
        <v>13</v>
      </c>
      <c r="I675" t="s">
        <v>31</v>
      </c>
      <c r="J675" t="s">
        <v>24</v>
      </c>
    </row>
    <row r="676" spans="1:10" x14ac:dyDescent="0.25">
      <c r="A676" t="s">
        <v>713</v>
      </c>
      <c r="B676" s="1">
        <v>45981</v>
      </c>
      <c r="C676" t="s">
        <v>17</v>
      </c>
      <c r="D676" t="s">
        <v>33</v>
      </c>
      <c r="E676">
        <v>14811</v>
      </c>
      <c r="F676">
        <v>3000</v>
      </c>
      <c r="G676">
        <v>11811</v>
      </c>
      <c r="H676" t="s">
        <v>19</v>
      </c>
      <c r="I676" t="s">
        <v>63</v>
      </c>
      <c r="J676" t="s">
        <v>15</v>
      </c>
    </row>
    <row r="677" spans="1:10" x14ac:dyDescent="0.25">
      <c r="A677" t="s">
        <v>714</v>
      </c>
      <c r="B677" s="1">
        <v>45597</v>
      </c>
      <c r="C677" t="s">
        <v>44</v>
      </c>
      <c r="D677" t="s">
        <v>18</v>
      </c>
      <c r="E677">
        <v>31660</v>
      </c>
      <c r="F677">
        <v>24857</v>
      </c>
      <c r="G677">
        <v>6803</v>
      </c>
      <c r="H677" t="s">
        <v>19</v>
      </c>
      <c r="I677" t="s">
        <v>20</v>
      </c>
      <c r="J677" t="s">
        <v>53</v>
      </c>
    </row>
    <row r="678" spans="1:10" x14ac:dyDescent="0.25">
      <c r="A678" t="s">
        <v>715</v>
      </c>
      <c r="B678" s="1">
        <v>46173</v>
      </c>
      <c r="C678" t="s">
        <v>11</v>
      </c>
      <c r="D678" t="s">
        <v>36</v>
      </c>
      <c r="E678">
        <v>15800</v>
      </c>
      <c r="F678">
        <v>9103</v>
      </c>
      <c r="G678">
        <v>6697</v>
      </c>
      <c r="H678" t="s">
        <v>19</v>
      </c>
      <c r="I678" t="s">
        <v>31</v>
      </c>
      <c r="J678" t="s">
        <v>53</v>
      </c>
    </row>
    <row r="679" spans="1:10" x14ac:dyDescent="0.25">
      <c r="A679" t="s">
        <v>716</v>
      </c>
      <c r="B679" s="1">
        <v>45966</v>
      </c>
      <c r="C679" t="s">
        <v>26</v>
      </c>
      <c r="D679" t="s">
        <v>33</v>
      </c>
      <c r="E679">
        <v>29949</v>
      </c>
      <c r="F679">
        <v>11906</v>
      </c>
      <c r="G679">
        <v>18043</v>
      </c>
      <c r="H679" t="s">
        <v>19</v>
      </c>
      <c r="I679" t="s">
        <v>45</v>
      </c>
      <c r="J679" t="s">
        <v>15</v>
      </c>
    </row>
    <row r="680" spans="1:10" x14ac:dyDescent="0.25">
      <c r="A680" t="s">
        <v>717</v>
      </c>
      <c r="B680" s="1">
        <v>45330</v>
      </c>
      <c r="C680" t="s">
        <v>11</v>
      </c>
      <c r="D680" t="s">
        <v>12</v>
      </c>
      <c r="E680">
        <v>22030</v>
      </c>
      <c r="F680">
        <v>8825</v>
      </c>
      <c r="G680">
        <v>13205</v>
      </c>
      <c r="H680" t="s">
        <v>19</v>
      </c>
      <c r="I680" t="s">
        <v>34</v>
      </c>
      <c r="J680" t="s">
        <v>15</v>
      </c>
    </row>
    <row r="681" spans="1:10" x14ac:dyDescent="0.25">
      <c r="A681" t="s">
        <v>718</v>
      </c>
      <c r="B681" s="1">
        <v>46166</v>
      </c>
      <c r="C681" t="s">
        <v>26</v>
      </c>
      <c r="D681" t="s">
        <v>33</v>
      </c>
      <c r="E681">
        <v>43921</v>
      </c>
      <c r="F681">
        <v>28050</v>
      </c>
      <c r="G681">
        <v>15871</v>
      </c>
      <c r="H681" t="s">
        <v>27</v>
      </c>
      <c r="I681" t="s">
        <v>23</v>
      </c>
      <c r="J681" t="s">
        <v>42</v>
      </c>
    </row>
    <row r="682" spans="1:10" x14ac:dyDescent="0.25">
      <c r="A682" t="s">
        <v>719</v>
      </c>
      <c r="B682" s="1">
        <v>46045</v>
      </c>
      <c r="C682" t="s">
        <v>22</v>
      </c>
      <c r="D682" t="s">
        <v>33</v>
      </c>
      <c r="E682">
        <v>49153</v>
      </c>
      <c r="F682">
        <v>40300</v>
      </c>
      <c r="G682">
        <v>8853</v>
      </c>
      <c r="H682" t="s">
        <v>19</v>
      </c>
      <c r="I682" t="s">
        <v>63</v>
      </c>
      <c r="J682" t="s">
        <v>42</v>
      </c>
    </row>
    <row r="683" spans="1:10" x14ac:dyDescent="0.25">
      <c r="A683" t="s">
        <v>720</v>
      </c>
      <c r="B683" s="1">
        <v>45409</v>
      </c>
      <c r="C683" t="s">
        <v>22</v>
      </c>
      <c r="D683" t="s">
        <v>12</v>
      </c>
      <c r="E683">
        <v>15453</v>
      </c>
      <c r="F683">
        <v>8606</v>
      </c>
      <c r="G683">
        <v>6847</v>
      </c>
      <c r="H683" t="s">
        <v>19</v>
      </c>
      <c r="I683" t="s">
        <v>28</v>
      </c>
      <c r="J683" t="s">
        <v>29</v>
      </c>
    </row>
    <row r="684" spans="1:10" x14ac:dyDescent="0.25">
      <c r="A684" t="s">
        <v>721</v>
      </c>
      <c r="B684" s="1">
        <v>46170</v>
      </c>
      <c r="C684" t="s">
        <v>44</v>
      </c>
      <c r="D684" t="s">
        <v>18</v>
      </c>
      <c r="E684">
        <v>48871</v>
      </c>
      <c r="F684">
        <v>47548</v>
      </c>
      <c r="G684">
        <v>1323</v>
      </c>
      <c r="H684" t="s">
        <v>13</v>
      </c>
      <c r="I684" t="s">
        <v>31</v>
      </c>
      <c r="J684" t="s">
        <v>15</v>
      </c>
    </row>
    <row r="685" spans="1:10" x14ac:dyDescent="0.25">
      <c r="A685" t="s">
        <v>722</v>
      </c>
      <c r="B685" s="1">
        <v>45697</v>
      </c>
      <c r="C685" t="s">
        <v>11</v>
      </c>
      <c r="D685" t="s">
        <v>36</v>
      </c>
      <c r="E685">
        <v>28550</v>
      </c>
      <c r="F685">
        <v>9514</v>
      </c>
      <c r="G685">
        <v>19036</v>
      </c>
      <c r="H685" t="s">
        <v>38</v>
      </c>
      <c r="I685" t="s">
        <v>23</v>
      </c>
      <c r="J685" t="s">
        <v>24</v>
      </c>
    </row>
    <row r="686" spans="1:10" x14ac:dyDescent="0.25">
      <c r="A686" t="s">
        <v>723</v>
      </c>
      <c r="B686" s="1">
        <v>46113</v>
      </c>
      <c r="C686" t="s">
        <v>26</v>
      </c>
      <c r="D686" t="s">
        <v>12</v>
      </c>
      <c r="E686">
        <v>31463</v>
      </c>
      <c r="F686">
        <v>20822</v>
      </c>
      <c r="G686">
        <v>10641</v>
      </c>
      <c r="H686" t="s">
        <v>13</v>
      </c>
      <c r="I686" t="s">
        <v>28</v>
      </c>
      <c r="J686" t="s">
        <v>42</v>
      </c>
    </row>
    <row r="687" spans="1:10" x14ac:dyDescent="0.25">
      <c r="A687" t="s">
        <v>724</v>
      </c>
      <c r="B687" s="1">
        <v>45357</v>
      </c>
      <c r="C687" t="s">
        <v>11</v>
      </c>
      <c r="D687" t="s">
        <v>12</v>
      </c>
      <c r="E687">
        <v>29525</v>
      </c>
      <c r="F687">
        <v>10274</v>
      </c>
      <c r="G687">
        <v>19251</v>
      </c>
      <c r="H687" t="s">
        <v>38</v>
      </c>
      <c r="I687" t="s">
        <v>34</v>
      </c>
      <c r="J687" t="s">
        <v>53</v>
      </c>
    </row>
    <row r="688" spans="1:10" x14ac:dyDescent="0.25">
      <c r="A688" t="s">
        <v>725</v>
      </c>
      <c r="B688" s="1">
        <v>45852</v>
      </c>
      <c r="C688" t="s">
        <v>26</v>
      </c>
      <c r="D688" t="s">
        <v>36</v>
      </c>
      <c r="E688">
        <v>7054</v>
      </c>
      <c r="F688">
        <v>3328</v>
      </c>
      <c r="G688">
        <v>3726</v>
      </c>
      <c r="H688" t="s">
        <v>27</v>
      </c>
      <c r="I688" t="s">
        <v>45</v>
      </c>
      <c r="J688" t="s">
        <v>42</v>
      </c>
    </row>
    <row r="689" spans="1:10" x14ac:dyDescent="0.25">
      <c r="A689" t="s">
        <v>726</v>
      </c>
      <c r="B689" s="1">
        <v>45705</v>
      </c>
      <c r="C689" t="s">
        <v>44</v>
      </c>
      <c r="D689" t="s">
        <v>41</v>
      </c>
      <c r="E689">
        <v>42696</v>
      </c>
      <c r="F689">
        <v>24412</v>
      </c>
      <c r="G689">
        <v>18284</v>
      </c>
      <c r="H689" t="s">
        <v>38</v>
      </c>
      <c r="I689" t="s">
        <v>63</v>
      </c>
      <c r="J689" t="s">
        <v>29</v>
      </c>
    </row>
    <row r="690" spans="1:10" x14ac:dyDescent="0.25">
      <c r="A690" t="s">
        <v>727</v>
      </c>
      <c r="B690" s="1">
        <v>45739</v>
      </c>
      <c r="C690" t="s">
        <v>26</v>
      </c>
      <c r="D690" t="s">
        <v>36</v>
      </c>
      <c r="E690">
        <v>5684</v>
      </c>
      <c r="F690">
        <v>4005</v>
      </c>
      <c r="G690">
        <v>1679</v>
      </c>
      <c r="H690" t="s">
        <v>19</v>
      </c>
      <c r="I690" t="s">
        <v>34</v>
      </c>
      <c r="J690" t="s">
        <v>53</v>
      </c>
    </row>
    <row r="691" spans="1:10" x14ac:dyDescent="0.25">
      <c r="A691" t="s">
        <v>728</v>
      </c>
      <c r="B691" s="1">
        <v>45427</v>
      </c>
      <c r="C691" t="s">
        <v>22</v>
      </c>
      <c r="D691" t="s">
        <v>18</v>
      </c>
      <c r="E691">
        <v>7035</v>
      </c>
      <c r="F691">
        <v>5845</v>
      </c>
      <c r="G691">
        <v>1190</v>
      </c>
      <c r="H691" t="s">
        <v>38</v>
      </c>
      <c r="I691" t="s">
        <v>63</v>
      </c>
      <c r="J691" t="s">
        <v>29</v>
      </c>
    </row>
    <row r="692" spans="1:10" x14ac:dyDescent="0.25">
      <c r="A692" t="s">
        <v>729</v>
      </c>
      <c r="B692" s="1">
        <v>45750</v>
      </c>
      <c r="C692" t="s">
        <v>22</v>
      </c>
      <c r="D692" t="s">
        <v>18</v>
      </c>
      <c r="E692">
        <v>35688</v>
      </c>
      <c r="F692">
        <v>24532</v>
      </c>
      <c r="G692">
        <v>11156</v>
      </c>
      <c r="H692" t="s">
        <v>19</v>
      </c>
      <c r="I692" t="s">
        <v>34</v>
      </c>
      <c r="J692" t="s">
        <v>53</v>
      </c>
    </row>
    <row r="693" spans="1:10" x14ac:dyDescent="0.25">
      <c r="A693" t="s">
        <v>730</v>
      </c>
      <c r="B693" s="1">
        <v>45326</v>
      </c>
      <c r="C693" t="s">
        <v>11</v>
      </c>
      <c r="D693" t="s">
        <v>12</v>
      </c>
      <c r="E693">
        <v>42198</v>
      </c>
      <c r="F693">
        <v>32625</v>
      </c>
      <c r="G693">
        <v>9573</v>
      </c>
      <c r="H693" t="s">
        <v>13</v>
      </c>
      <c r="I693" t="s">
        <v>28</v>
      </c>
      <c r="J693" t="s">
        <v>42</v>
      </c>
    </row>
    <row r="694" spans="1:10" x14ac:dyDescent="0.25">
      <c r="A694" t="s">
        <v>731</v>
      </c>
      <c r="B694" s="1">
        <v>45852</v>
      </c>
      <c r="C694" t="s">
        <v>44</v>
      </c>
      <c r="D694" t="s">
        <v>41</v>
      </c>
      <c r="E694">
        <v>36717</v>
      </c>
      <c r="F694">
        <v>26208</v>
      </c>
      <c r="G694">
        <v>10509</v>
      </c>
      <c r="H694" t="s">
        <v>13</v>
      </c>
      <c r="I694" t="s">
        <v>63</v>
      </c>
      <c r="J694" t="s">
        <v>15</v>
      </c>
    </row>
    <row r="695" spans="1:10" x14ac:dyDescent="0.25">
      <c r="A695" t="s">
        <v>732</v>
      </c>
      <c r="B695" s="1">
        <v>46035</v>
      </c>
      <c r="C695" t="s">
        <v>44</v>
      </c>
      <c r="D695" t="s">
        <v>36</v>
      </c>
      <c r="E695">
        <v>8882</v>
      </c>
      <c r="F695">
        <v>219</v>
      </c>
      <c r="G695">
        <v>8663</v>
      </c>
      <c r="H695" t="s">
        <v>13</v>
      </c>
      <c r="I695" t="s">
        <v>63</v>
      </c>
      <c r="J695" t="s">
        <v>29</v>
      </c>
    </row>
    <row r="696" spans="1:10" x14ac:dyDescent="0.25">
      <c r="A696" t="s">
        <v>733</v>
      </c>
      <c r="B696" s="1">
        <v>45992</v>
      </c>
      <c r="C696" t="s">
        <v>22</v>
      </c>
      <c r="D696" t="s">
        <v>18</v>
      </c>
      <c r="E696">
        <v>11790</v>
      </c>
      <c r="F696">
        <v>932</v>
      </c>
      <c r="G696">
        <v>10858</v>
      </c>
      <c r="H696" t="s">
        <v>13</v>
      </c>
      <c r="I696" t="s">
        <v>34</v>
      </c>
      <c r="J696" t="s">
        <v>42</v>
      </c>
    </row>
    <row r="697" spans="1:10" x14ac:dyDescent="0.25">
      <c r="A697" t="s">
        <v>734</v>
      </c>
      <c r="B697" s="1">
        <v>45492</v>
      </c>
      <c r="C697" t="s">
        <v>26</v>
      </c>
      <c r="D697" t="s">
        <v>33</v>
      </c>
      <c r="E697">
        <v>10077</v>
      </c>
      <c r="F697">
        <v>4077</v>
      </c>
      <c r="G697">
        <v>6000</v>
      </c>
      <c r="H697" t="s">
        <v>13</v>
      </c>
      <c r="I697" t="s">
        <v>31</v>
      </c>
      <c r="J697" t="s">
        <v>15</v>
      </c>
    </row>
    <row r="698" spans="1:10" x14ac:dyDescent="0.25">
      <c r="A698" t="s">
        <v>735</v>
      </c>
      <c r="B698" s="1">
        <v>45219</v>
      </c>
      <c r="C698" t="s">
        <v>44</v>
      </c>
      <c r="D698" t="s">
        <v>18</v>
      </c>
      <c r="E698">
        <v>49530</v>
      </c>
      <c r="F698">
        <v>42516</v>
      </c>
      <c r="G698">
        <v>7014</v>
      </c>
      <c r="H698" t="s">
        <v>38</v>
      </c>
      <c r="I698" t="s">
        <v>31</v>
      </c>
      <c r="J698" t="s">
        <v>15</v>
      </c>
    </row>
    <row r="699" spans="1:10" x14ac:dyDescent="0.25">
      <c r="A699" t="s">
        <v>736</v>
      </c>
      <c r="B699" s="1">
        <v>46062</v>
      </c>
      <c r="C699" t="s">
        <v>17</v>
      </c>
      <c r="D699" t="s">
        <v>33</v>
      </c>
      <c r="E699">
        <v>17316</v>
      </c>
      <c r="F699">
        <v>1586</v>
      </c>
      <c r="G699">
        <v>15730</v>
      </c>
      <c r="H699" t="s">
        <v>13</v>
      </c>
      <c r="I699" t="s">
        <v>34</v>
      </c>
      <c r="J699" t="s">
        <v>29</v>
      </c>
    </row>
    <row r="700" spans="1:10" x14ac:dyDescent="0.25">
      <c r="A700" t="s">
        <v>737</v>
      </c>
      <c r="B700" s="1">
        <v>45540</v>
      </c>
      <c r="C700" t="s">
        <v>26</v>
      </c>
      <c r="D700" t="s">
        <v>18</v>
      </c>
      <c r="E700">
        <v>22667</v>
      </c>
      <c r="F700">
        <v>4459</v>
      </c>
      <c r="G700">
        <v>18208</v>
      </c>
      <c r="H700" t="s">
        <v>13</v>
      </c>
      <c r="I700" t="s">
        <v>63</v>
      </c>
      <c r="J700" t="s">
        <v>15</v>
      </c>
    </row>
    <row r="701" spans="1:10" x14ac:dyDescent="0.25">
      <c r="A701" t="s">
        <v>738</v>
      </c>
      <c r="B701" s="1">
        <v>45882</v>
      </c>
      <c r="C701" t="s">
        <v>17</v>
      </c>
      <c r="D701" t="s">
        <v>33</v>
      </c>
      <c r="E701">
        <v>37445</v>
      </c>
      <c r="F701">
        <v>26881</v>
      </c>
      <c r="G701">
        <v>10564</v>
      </c>
      <c r="H701" t="s">
        <v>13</v>
      </c>
      <c r="I701" t="s">
        <v>20</v>
      </c>
      <c r="J701" t="s">
        <v>53</v>
      </c>
    </row>
    <row r="702" spans="1:10" x14ac:dyDescent="0.25">
      <c r="A702" t="s">
        <v>739</v>
      </c>
      <c r="B702" s="1">
        <v>46186</v>
      </c>
      <c r="C702" t="s">
        <v>44</v>
      </c>
      <c r="D702" t="s">
        <v>18</v>
      </c>
      <c r="E702">
        <v>45658</v>
      </c>
      <c r="F702">
        <v>36360</v>
      </c>
      <c r="G702">
        <v>9298</v>
      </c>
      <c r="H702" t="s">
        <v>38</v>
      </c>
      <c r="I702" t="s">
        <v>31</v>
      </c>
      <c r="J702" t="s">
        <v>15</v>
      </c>
    </row>
    <row r="703" spans="1:10" x14ac:dyDescent="0.25">
      <c r="A703" t="s">
        <v>740</v>
      </c>
      <c r="B703" s="1">
        <v>45149</v>
      </c>
      <c r="C703" t="s">
        <v>44</v>
      </c>
      <c r="D703" t="s">
        <v>36</v>
      </c>
      <c r="E703">
        <v>10200</v>
      </c>
      <c r="F703">
        <v>8754</v>
      </c>
      <c r="G703">
        <v>1446</v>
      </c>
      <c r="H703" t="s">
        <v>38</v>
      </c>
      <c r="I703" t="s">
        <v>14</v>
      </c>
      <c r="J703" t="s">
        <v>24</v>
      </c>
    </row>
    <row r="704" spans="1:10" x14ac:dyDescent="0.25">
      <c r="A704" t="s">
        <v>741</v>
      </c>
      <c r="B704" s="1">
        <v>45669</v>
      </c>
      <c r="C704" t="s">
        <v>26</v>
      </c>
      <c r="D704" t="s">
        <v>33</v>
      </c>
      <c r="E704">
        <v>43767</v>
      </c>
      <c r="F704">
        <v>25563</v>
      </c>
      <c r="G704">
        <v>18204</v>
      </c>
      <c r="H704" t="s">
        <v>38</v>
      </c>
      <c r="I704" t="s">
        <v>34</v>
      </c>
      <c r="J704" t="s">
        <v>29</v>
      </c>
    </row>
    <row r="705" spans="1:10" x14ac:dyDescent="0.25">
      <c r="A705" t="s">
        <v>742</v>
      </c>
      <c r="B705" s="1">
        <v>45608</v>
      </c>
      <c r="C705" t="s">
        <v>11</v>
      </c>
      <c r="D705" t="s">
        <v>12</v>
      </c>
      <c r="E705">
        <v>13331</v>
      </c>
      <c r="F705">
        <v>2575</v>
      </c>
      <c r="G705">
        <v>10756</v>
      </c>
      <c r="H705" t="s">
        <v>13</v>
      </c>
      <c r="I705" t="s">
        <v>14</v>
      </c>
      <c r="J705" t="s">
        <v>24</v>
      </c>
    </row>
    <row r="706" spans="1:10" x14ac:dyDescent="0.25">
      <c r="A706" t="s">
        <v>743</v>
      </c>
      <c r="B706" s="1">
        <v>45436</v>
      </c>
      <c r="C706" t="s">
        <v>44</v>
      </c>
      <c r="D706" t="s">
        <v>12</v>
      </c>
      <c r="E706">
        <v>30194</v>
      </c>
      <c r="F706">
        <v>13484</v>
      </c>
      <c r="G706">
        <v>16710</v>
      </c>
      <c r="H706" t="s">
        <v>27</v>
      </c>
      <c r="I706" t="s">
        <v>78</v>
      </c>
      <c r="J706" t="s">
        <v>42</v>
      </c>
    </row>
    <row r="707" spans="1:10" x14ac:dyDescent="0.25">
      <c r="A707" t="s">
        <v>744</v>
      </c>
      <c r="B707" s="1">
        <v>46174</v>
      </c>
      <c r="C707" t="s">
        <v>44</v>
      </c>
      <c r="D707" t="s">
        <v>36</v>
      </c>
      <c r="E707">
        <v>22025</v>
      </c>
      <c r="F707">
        <v>5486</v>
      </c>
      <c r="G707">
        <v>16539</v>
      </c>
      <c r="H707" t="s">
        <v>27</v>
      </c>
      <c r="I707" t="s">
        <v>63</v>
      </c>
      <c r="J707" t="s">
        <v>15</v>
      </c>
    </row>
    <row r="708" spans="1:10" x14ac:dyDescent="0.25">
      <c r="A708" t="s">
        <v>745</v>
      </c>
      <c r="B708" s="1">
        <v>45992</v>
      </c>
      <c r="C708" t="s">
        <v>44</v>
      </c>
      <c r="D708" t="s">
        <v>36</v>
      </c>
      <c r="E708">
        <v>39634</v>
      </c>
      <c r="F708">
        <v>20172</v>
      </c>
      <c r="G708">
        <v>19462</v>
      </c>
      <c r="H708" t="s">
        <v>19</v>
      </c>
      <c r="I708" t="s">
        <v>78</v>
      </c>
      <c r="J708" t="s">
        <v>15</v>
      </c>
    </row>
    <row r="709" spans="1:10" x14ac:dyDescent="0.25">
      <c r="A709" t="s">
        <v>746</v>
      </c>
      <c r="B709" s="1">
        <v>45869</v>
      </c>
      <c r="C709" t="s">
        <v>44</v>
      </c>
      <c r="D709" t="s">
        <v>36</v>
      </c>
      <c r="E709">
        <v>25920</v>
      </c>
      <c r="F709">
        <v>18258</v>
      </c>
      <c r="G709">
        <v>7662</v>
      </c>
      <c r="H709" t="s">
        <v>27</v>
      </c>
      <c r="I709" t="s">
        <v>34</v>
      </c>
      <c r="J709" t="s">
        <v>15</v>
      </c>
    </row>
    <row r="710" spans="1:10" x14ac:dyDescent="0.25">
      <c r="A710" t="s">
        <v>747</v>
      </c>
      <c r="B710" s="1">
        <v>45699</v>
      </c>
      <c r="C710" t="s">
        <v>22</v>
      </c>
      <c r="D710" t="s">
        <v>33</v>
      </c>
      <c r="E710">
        <v>13270</v>
      </c>
      <c r="F710">
        <v>5827</v>
      </c>
      <c r="G710">
        <v>7443</v>
      </c>
      <c r="H710" t="s">
        <v>38</v>
      </c>
      <c r="I710" t="s">
        <v>34</v>
      </c>
      <c r="J710" t="s">
        <v>42</v>
      </c>
    </row>
    <row r="711" spans="1:10" x14ac:dyDescent="0.25">
      <c r="A711" t="s">
        <v>748</v>
      </c>
      <c r="B711" s="1">
        <v>45746</v>
      </c>
      <c r="C711" t="s">
        <v>26</v>
      </c>
      <c r="D711" t="s">
        <v>36</v>
      </c>
      <c r="E711">
        <v>5715</v>
      </c>
      <c r="F711">
        <v>4398</v>
      </c>
      <c r="G711">
        <v>1317</v>
      </c>
      <c r="H711" t="s">
        <v>19</v>
      </c>
      <c r="I711" t="s">
        <v>31</v>
      </c>
      <c r="J711" t="s">
        <v>42</v>
      </c>
    </row>
    <row r="712" spans="1:10" x14ac:dyDescent="0.25">
      <c r="A712" t="s">
        <v>749</v>
      </c>
      <c r="B712" s="1">
        <v>45807</v>
      </c>
      <c r="C712" t="s">
        <v>26</v>
      </c>
      <c r="D712" t="s">
        <v>12</v>
      </c>
      <c r="E712">
        <v>19528</v>
      </c>
      <c r="F712">
        <v>4088</v>
      </c>
      <c r="G712">
        <v>15440</v>
      </c>
      <c r="H712" t="s">
        <v>13</v>
      </c>
      <c r="I712" t="s">
        <v>20</v>
      </c>
      <c r="J712" t="s">
        <v>42</v>
      </c>
    </row>
    <row r="713" spans="1:10" x14ac:dyDescent="0.25">
      <c r="A713" t="s">
        <v>750</v>
      </c>
      <c r="B713" s="1">
        <v>46041</v>
      </c>
      <c r="C713" t="s">
        <v>26</v>
      </c>
      <c r="D713" t="s">
        <v>41</v>
      </c>
      <c r="E713">
        <v>45146</v>
      </c>
      <c r="F713">
        <v>29322</v>
      </c>
      <c r="G713">
        <v>15824</v>
      </c>
      <c r="H713" t="s">
        <v>19</v>
      </c>
      <c r="I713" t="s">
        <v>28</v>
      </c>
      <c r="J713" t="s">
        <v>24</v>
      </c>
    </row>
    <row r="714" spans="1:10" x14ac:dyDescent="0.25">
      <c r="A714" t="s">
        <v>751</v>
      </c>
      <c r="B714" s="1">
        <v>45904</v>
      </c>
      <c r="C714" t="s">
        <v>44</v>
      </c>
      <c r="D714" t="s">
        <v>18</v>
      </c>
      <c r="E714">
        <v>41214</v>
      </c>
      <c r="F714">
        <v>25688</v>
      </c>
      <c r="G714">
        <v>15526</v>
      </c>
      <c r="H714" t="s">
        <v>38</v>
      </c>
      <c r="I714" t="s">
        <v>63</v>
      </c>
      <c r="J714" t="s">
        <v>24</v>
      </c>
    </row>
    <row r="715" spans="1:10" x14ac:dyDescent="0.25">
      <c r="A715" t="s">
        <v>752</v>
      </c>
      <c r="B715" s="1">
        <v>45394</v>
      </c>
      <c r="C715" t="s">
        <v>11</v>
      </c>
      <c r="D715" t="s">
        <v>33</v>
      </c>
      <c r="E715">
        <v>18426</v>
      </c>
      <c r="F715">
        <v>7932</v>
      </c>
      <c r="G715">
        <v>10494</v>
      </c>
      <c r="H715" t="s">
        <v>19</v>
      </c>
      <c r="I715" t="s">
        <v>78</v>
      </c>
      <c r="J715" t="s">
        <v>15</v>
      </c>
    </row>
    <row r="716" spans="1:10" x14ac:dyDescent="0.25">
      <c r="A716" t="s">
        <v>753</v>
      </c>
      <c r="B716" s="1">
        <v>45880</v>
      </c>
      <c r="C716" t="s">
        <v>17</v>
      </c>
      <c r="D716" t="s">
        <v>41</v>
      </c>
      <c r="E716">
        <v>10309</v>
      </c>
      <c r="F716">
        <v>5762</v>
      </c>
      <c r="G716">
        <v>4547</v>
      </c>
      <c r="H716" t="s">
        <v>19</v>
      </c>
      <c r="I716" t="s">
        <v>28</v>
      </c>
      <c r="J716" t="s">
        <v>42</v>
      </c>
    </row>
    <row r="717" spans="1:10" x14ac:dyDescent="0.25">
      <c r="A717" t="s">
        <v>754</v>
      </c>
      <c r="B717" s="1">
        <v>45770</v>
      </c>
      <c r="C717" t="s">
        <v>44</v>
      </c>
      <c r="D717" t="s">
        <v>41</v>
      </c>
      <c r="E717">
        <v>19120</v>
      </c>
      <c r="F717">
        <v>9181</v>
      </c>
      <c r="G717">
        <v>9939</v>
      </c>
      <c r="H717" t="s">
        <v>38</v>
      </c>
      <c r="I717" t="s">
        <v>23</v>
      </c>
      <c r="J717" t="s">
        <v>42</v>
      </c>
    </row>
    <row r="718" spans="1:10" x14ac:dyDescent="0.25">
      <c r="A718" t="s">
        <v>755</v>
      </c>
      <c r="B718" s="1">
        <v>45173</v>
      </c>
      <c r="C718" t="s">
        <v>44</v>
      </c>
      <c r="D718" t="s">
        <v>41</v>
      </c>
      <c r="E718">
        <v>19437</v>
      </c>
      <c r="F718">
        <v>10377</v>
      </c>
      <c r="G718">
        <v>9060</v>
      </c>
      <c r="H718" t="s">
        <v>19</v>
      </c>
      <c r="I718" t="s">
        <v>31</v>
      </c>
      <c r="J718" t="s">
        <v>29</v>
      </c>
    </row>
    <row r="719" spans="1:10" x14ac:dyDescent="0.25">
      <c r="A719" t="s">
        <v>756</v>
      </c>
      <c r="B719" s="1">
        <v>46084</v>
      </c>
      <c r="C719" t="s">
        <v>17</v>
      </c>
      <c r="D719" t="s">
        <v>36</v>
      </c>
      <c r="E719">
        <v>26378</v>
      </c>
      <c r="F719">
        <v>13786</v>
      </c>
      <c r="G719">
        <v>12592</v>
      </c>
      <c r="H719" t="s">
        <v>38</v>
      </c>
      <c r="I719" t="s">
        <v>60</v>
      </c>
      <c r="J719" t="s">
        <v>29</v>
      </c>
    </row>
    <row r="720" spans="1:10" x14ac:dyDescent="0.25">
      <c r="A720" t="s">
        <v>757</v>
      </c>
      <c r="B720" s="1">
        <v>45911</v>
      </c>
      <c r="C720" t="s">
        <v>11</v>
      </c>
      <c r="D720" t="s">
        <v>33</v>
      </c>
      <c r="E720">
        <v>29805</v>
      </c>
      <c r="F720">
        <v>29122</v>
      </c>
      <c r="G720">
        <v>683</v>
      </c>
      <c r="H720" t="s">
        <v>13</v>
      </c>
      <c r="I720" t="s">
        <v>28</v>
      </c>
      <c r="J720" t="s">
        <v>29</v>
      </c>
    </row>
    <row r="721" spans="1:10" x14ac:dyDescent="0.25">
      <c r="A721" t="s">
        <v>758</v>
      </c>
      <c r="B721" s="1">
        <v>45623</v>
      </c>
      <c r="C721" t="s">
        <v>22</v>
      </c>
      <c r="D721" t="s">
        <v>18</v>
      </c>
      <c r="E721">
        <v>43060</v>
      </c>
      <c r="F721">
        <v>36255</v>
      </c>
      <c r="G721">
        <v>6805</v>
      </c>
      <c r="H721" t="s">
        <v>27</v>
      </c>
      <c r="I721" t="s">
        <v>78</v>
      </c>
      <c r="J721" t="s">
        <v>24</v>
      </c>
    </row>
    <row r="722" spans="1:10" x14ac:dyDescent="0.25">
      <c r="A722" t="s">
        <v>759</v>
      </c>
      <c r="B722" s="1">
        <v>45728</v>
      </c>
      <c r="C722" t="s">
        <v>22</v>
      </c>
      <c r="D722" t="s">
        <v>41</v>
      </c>
      <c r="E722">
        <v>5536</v>
      </c>
      <c r="F722">
        <v>3873</v>
      </c>
      <c r="G722">
        <v>1663</v>
      </c>
      <c r="H722" t="s">
        <v>38</v>
      </c>
      <c r="I722" t="s">
        <v>63</v>
      </c>
      <c r="J722" t="s">
        <v>53</v>
      </c>
    </row>
    <row r="723" spans="1:10" x14ac:dyDescent="0.25">
      <c r="A723" t="s">
        <v>760</v>
      </c>
      <c r="B723" s="1">
        <v>46111</v>
      </c>
      <c r="C723" t="s">
        <v>26</v>
      </c>
      <c r="D723" t="s">
        <v>41</v>
      </c>
      <c r="E723">
        <v>8083</v>
      </c>
      <c r="F723">
        <v>6005</v>
      </c>
      <c r="G723">
        <v>2078</v>
      </c>
      <c r="H723" t="s">
        <v>19</v>
      </c>
      <c r="I723" t="s">
        <v>28</v>
      </c>
      <c r="J723" t="s">
        <v>24</v>
      </c>
    </row>
    <row r="724" spans="1:10" x14ac:dyDescent="0.25">
      <c r="A724" t="s">
        <v>761</v>
      </c>
      <c r="B724" s="1">
        <v>45625</v>
      </c>
      <c r="C724" t="s">
        <v>44</v>
      </c>
      <c r="D724" t="s">
        <v>33</v>
      </c>
      <c r="E724">
        <v>28402</v>
      </c>
      <c r="F724">
        <v>11362</v>
      </c>
      <c r="G724">
        <v>17040</v>
      </c>
      <c r="H724" t="s">
        <v>38</v>
      </c>
      <c r="I724" t="s">
        <v>45</v>
      </c>
      <c r="J724" t="s">
        <v>29</v>
      </c>
    </row>
    <row r="725" spans="1:10" x14ac:dyDescent="0.25">
      <c r="A725" t="s">
        <v>762</v>
      </c>
      <c r="B725" s="1">
        <v>46163</v>
      </c>
      <c r="C725" t="s">
        <v>44</v>
      </c>
      <c r="D725" t="s">
        <v>41</v>
      </c>
      <c r="E725">
        <v>17624</v>
      </c>
      <c r="F725">
        <v>14888</v>
      </c>
      <c r="G725">
        <v>2736</v>
      </c>
      <c r="H725" t="s">
        <v>38</v>
      </c>
      <c r="I725" t="s">
        <v>60</v>
      </c>
      <c r="J725" t="s">
        <v>29</v>
      </c>
    </row>
    <row r="726" spans="1:10" x14ac:dyDescent="0.25">
      <c r="A726" t="s">
        <v>763</v>
      </c>
      <c r="B726" s="1">
        <v>45274</v>
      </c>
      <c r="C726" t="s">
        <v>17</v>
      </c>
      <c r="D726" t="s">
        <v>41</v>
      </c>
      <c r="E726">
        <v>25386</v>
      </c>
      <c r="F726">
        <v>18814</v>
      </c>
      <c r="G726">
        <v>6572</v>
      </c>
      <c r="H726" t="s">
        <v>19</v>
      </c>
      <c r="I726" t="s">
        <v>31</v>
      </c>
      <c r="J726" t="s">
        <v>29</v>
      </c>
    </row>
    <row r="727" spans="1:10" x14ac:dyDescent="0.25">
      <c r="A727" t="s">
        <v>764</v>
      </c>
      <c r="B727" s="1">
        <v>45197</v>
      </c>
      <c r="C727" t="s">
        <v>17</v>
      </c>
      <c r="D727" t="s">
        <v>33</v>
      </c>
      <c r="E727">
        <v>28413</v>
      </c>
      <c r="F727">
        <v>26563</v>
      </c>
      <c r="G727">
        <v>1850</v>
      </c>
      <c r="H727" t="s">
        <v>13</v>
      </c>
      <c r="I727" t="s">
        <v>34</v>
      </c>
      <c r="J727" t="s">
        <v>29</v>
      </c>
    </row>
    <row r="728" spans="1:10" x14ac:dyDescent="0.25">
      <c r="A728" t="s">
        <v>765</v>
      </c>
      <c r="B728" s="1">
        <v>45715</v>
      </c>
      <c r="C728" t="s">
        <v>17</v>
      </c>
      <c r="D728" t="s">
        <v>41</v>
      </c>
      <c r="E728">
        <v>35663</v>
      </c>
      <c r="F728">
        <v>20249</v>
      </c>
      <c r="G728">
        <v>15414</v>
      </c>
      <c r="H728" t="s">
        <v>38</v>
      </c>
      <c r="I728" t="s">
        <v>23</v>
      </c>
      <c r="J728" t="s">
        <v>42</v>
      </c>
    </row>
    <row r="729" spans="1:10" x14ac:dyDescent="0.25">
      <c r="A729" t="s">
        <v>766</v>
      </c>
      <c r="B729" s="1">
        <v>45362</v>
      </c>
      <c r="C729" t="s">
        <v>26</v>
      </c>
      <c r="D729" t="s">
        <v>18</v>
      </c>
      <c r="E729">
        <v>47363</v>
      </c>
      <c r="F729">
        <v>42901</v>
      </c>
      <c r="G729">
        <v>4462</v>
      </c>
      <c r="H729" t="s">
        <v>38</v>
      </c>
      <c r="I729" t="s">
        <v>34</v>
      </c>
      <c r="J729" t="s">
        <v>24</v>
      </c>
    </row>
    <row r="730" spans="1:10" x14ac:dyDescent="0.25">
      <c r="A730" t="s">
        <v>767</v>
      </c>
      <c r="B730" s="1">
        <v>45878</v>
      </c>
      <c r="C730" t="s">
        <v>44</v>
      </c>
      <c r="D730" t="s">
        <v>12</v>
      </c>
      <c r="E730">
        <v>36846</v>
      </c>
      <c r="F730">
        <v>19861</v>
      </c>
      <c r="G730">
        <v>16985</v>
      </c>
      <c r="H730" t="s">
        <v>27</v>
      </c>
      <c r="I730" t="s">
        <v>34</v>
      </c>
      <c r="J730" t="s">
        <v>42</v>
      </c>
    </row>
    <row r="731" spans="1:10" x14ac:dyDescent="0.25">
      <c r="A731" t="s">
        <v>768</v>
      </c>
      <c r="B731" s="1">
        <v>45637</v>
      </c>
      <c r="C731" t="s">
        <v>11</v>
      </c>
      <c r="D731" t="s">
        <v>12</v>
      </c>
      <c r="E731">
        <v>42787</v>
      </c>
      <c r="F731">
        <v>24145</v>
      </c>
      <c r="G731">
        <v>18642</v>
      </c>
      <c r="H731" t="s">
        <v>27</v>
      </c>
      <c r="I731" t="s">
        <v>45</v>
      </c>
      <c r="J731" t="s">
        <v>24</v>
      </c>
    </row>
    <row r="732" spans="1:10" x14ac:dyDescent="0.25">
      <c r="A732" t="s">
        <v>769</v>
      </c>
      <c r="B732" s="1">
        <v>45683</v>
      </c>
      <c r="C732" t="s">
        <v>17</v>
      </c>
      <c r="D732" t="s">
        <v>41</v>
      </c>
      <c r="E732">
        <v>17888</v>
      </c>
      <c r="F732">
        <v>6059</v>
      </c>
      <c r="G732">
        <v>11829</v>
      </c>
      <c r="H732" t="s">
        <v>19</v>
      </c>
      <c r="I732" t="s">
        <v>60</v>
      </c>
      <c r="J732" t="s">
        <v>53</v>
      </c>
    </row>
    <row r="733" spans="1:10" x14ac:dyDescent="0.25">
      <c r="A733" t="s">
        <v>770</v>
      </c>
      <c r="B733" s="1">
        <v>45552</v>
      </c>
      <c r="C733" t="s">
        <v>17</v>
      </c>
      <c r="D733" t="s">
        <v>41</v>
      </c>
      <c r="E733">
        <v>18428</v>
      </c>
      <c r="F733">
        <v>10026</v>
      </c>
      <c r="G733">
        <v>8402</v>
      </c>
      <c r="H733" t="s">
        <v>27</v>
      </c>
      <c r="I733" t="s">
        <v>23</v>
      </c>
      <c r="J733" t="s">
        <v>53</v>
      </c>
    </row>
    <row r="734" spans="1:10" x14ac:dyDescent="0.25">
      <c r="A734" t="s">
        <v>771</v>
      </c>
      <c r="B734" s="1">
        <v>45840</v>
      </c>
      <c r="C734" t="s">
        <v>17</v>
      </c>
      <c r="D734" t="s">
        <v>33</v>
      </c>
      <c r="E734">
        <v>7850</v>
      </c>
      <c r="F734">
        <v>4164</v>
      </c>
      <c r="G734">
        <v>3686</v>
      </c>
      <c r="H734" t="s">
        <v>13</v>
      </c>
      <c r="I734" t="s">
        <v>60</v>
      </c>
      <c r="J734" t="s">
        <v>29</v>
      </c>
    </row>
    <row r="735" spans="1:10" x14ac:dyDescent="0.25">
      <c r="A735" t="s">
        <v>772</v>
      </c>
      <c r="B735" s="1">
        <v>45352</v>
      </c>
      <c r="C735" t="s">
        <v>22</v>
      </c>
      <c r="D735" t="s">
        <v>18</v>
      </c>
      <c r="E735">
        <v>38558</v>
      </c>
      <c r="F735">
        <v>35431</v>
      </c>
      <c r="G735">
        <v>3127</v>
      </c>
      <c r="H735" t="s">
        <v>38</v>
      </c>
      <c r="I735" t="s">
        <v>23</v>
      </c>
      <c r="J735" t="s">
        <v>53</v>
      </c>
    </row>
    <row r="736" spans="1:10" x14ac:dyDescent="0.25">
      <c r="A736" t="s">
        <v>773</v>
      </c>
      <c r="B736" s="1">
        <v>45970</v>
      </c>
      <c r="C736" t="s">
        <v>26</v>
      </c>
      <c r="D736" t="s">
        <v>18</v>
      </c>
      <c r="E736">
        <v>47533</v>
      </c>
      <c r="F736">
        <v>37491</v>
      </c>
      <c r="G736">
        <v>10042</v>
      </c>
      <c r="H736" t="s">
        <v>38</v>
      </c>
      <c r="I736" t="s">
        <v>78</v>
      </c>
      <c r="J736" t="s">
        <v>24</v>
      </c>
    </row>
    <row r="737" spans="1:10" x14ac:dyDescent="0.25">
      <c r="A737" t="s">
        <v>774</v>
      </c>
      <c r="B737" s="1">
        <v>45794</v>
      </c>
      <c r="C737" t="s">
        <v>17</v>
      </c>
      <c r="D737" t="s">
        <v>18</v>
      </c>
      <c r="E737">
        <v>46560</v>
      </c>
      <c r="F737">
        <v>30300</v>
      </c>
      <c r="G737">
        <v>16260</v>
      </c>
      <c r="H737" t="s">
        <v>27</v>
      </c>
      <c r="I737" t="s">
        <v>23</v>
      </c>
      <c r="J737" t="s">
        <v>53</v>
      </c>
    </row>
    <row r="738" spans="1:10" x14ac:dyDescent="0.25">
      <c r="A738" t="s">
        <v>775</v>
      </c>
      <c r="B738" s="1">
        <v>45616</v>
      </c>
      <c r="C738" t="s">
        <v>17</v>
      </c>
      <c r="D738" t="s">
        <v>33</v>
      </c>
      <c r="E738">
        <v>22036</v>
      </c>
      <c r="F738">
        <v>3493</v>
      </c>
      <c r="G738">
        <v>18543</v>
      </c>
      <c r="H738" t="s">
        <v>19</v>
      </c>
      <c r="I738" t="s">
        <v>31</v>
      </c>
      <c r="J738" t="s">
        <v>24</v>
      </c>
    </row>
    <row r="739" spans="1:10" x14ac:dyDescent="0.25">
      <c r="A739" t="s">
        <v>776</v>
      </c>
      <c r="B739" s="1">
        <v>45735</v>
      </c>
      <c r="C739" t="s">
        <v>11</v>
      </c>
      <c r="D739" t="s">
        <v>36</v>
      </c>
      <c r="E739">
        <v>24014</v>
      </c>
      <c r="F739">
        <v>10480</v>
      </c>
      <c r="G739">
        <v>13534</v>
      </c>
      <c r="H739" t="s">
        <v>13</v>
      </c>
      <c r="I739" t="s">
        <v>45</v>
      </c>
      <c r="J739" t="s">
        <v>29</v>
      </c>
    </row>
    <row r="740" spans="1:10" x14ac:dyDescent="0.25">
      <c r="A740" t="s">
        <v>777</v>
      </c>
      <c r="B740" s="1">
        <v>46173</v>
      </c>
      <c r="C740" t="s">
        <v>22</v>
      </c>
      <c r="D740" t="s">
        <v>12</v>
      </c>
      <c r="E740">
        <v>16664</v>
      </c>
      <c r="F740">
        <v>7797</v>
      </c>
      <c r="G740">
        <v>8867</v>
      </c>
      <c r="H740" t="s">
        <v>27</v>
      </c>
      <c r="I740" t="s">
        <v>60</v>
      </c>
      <c r="J740" t="s">
        <v>24</v>
      </c>
    </row>
    <row r="741" spans="1:10" x14ac:dyDescent="0.25">
      <c r="A741" t="s">
        <v>778</v>
      </c>
      <c r="B741" s="1">
        <v>45399</v>
      </c>
      <c r="C741" t="s">
        <v>44</v>
      </c>
      <c r="D741" t="s">
        <v>41</v>
      </c>
      <c r="E741">
        <v>15148</v>
      </c>
      <c r="F741">
        <v>13066</v>
      </c>
      <c r="G741">
        <v>2082</v>
      </c>
      <c r="H741" t="s">
        <v>27</v>
      </c>
      <c r="I741" t="s">
        <v>31</v>
      </c>
      <c r="J741" t="s">
        <v>24</v>
      </c>
    </row>
    <row r="742" spans="1:10" x14ac:dyDescent="0.25">
      <c r="A742" t="s">
        <v>779</v>
      </c>
      <c r="B742" s="1">
        <v>45151</v>
      </c>
      <c r="C742" t="s">
        <v>22</v>
      </c>
      <c r="D742" t="s">
        <v>18</v>
      </c>
      <c r="E742">
        <v>18533</v>
      </c>
      <c r="F742">
        <v>15015</v>
      </c>
      <c r="G742">
        <v>3518</v>
      </c>
      <c r="H742" t="s">
        <v>19</v>
      </c>
      <c r="I742" t="s">
        <v>60</v>
      </c>
      <c r="J742" t="s">
        <v>42</v>
      </c>
    </row>
    <row r="743" spans="1:10" x14ac:dyDescent="0.25">
      <c r="A743" t="s">
        <v>780</v>
      </c>
      <c r="B743" s="1">
        <v>45218</v>
      </c>
      <c r="C743" t="s">
        <v>22</v>
      </c>
      <c r="D743" t="s">
        <v>18</v>
      </c>
      <c r="E743">
        <v>25938</v>
      </c>
      <c r="F743">
        <v>25181</v>
      </c>
      <c r="G743">
        <v>757</v>
      </c>
      <c r="H743" t="s">
        <v>13</v>
      </c>
      <c r="I743" t="s">
        <v>28</v>
      </c>
      <c r="J743" t="s">
        <v>29</v>
      </c>
    </row>
    <row r="744" spans="1:10" x14ac:dyDescent="0.25">
      <c r="A744" t="s">
        <v>781</v>
      </c>
      <c r="B744" s="1">
        <v>45232</v>
      </c>
      <c r="C744" t="s">
        <v>26</v>
      </c>
      <c r="D744" t="s">
        <v>18</v>
      </c>
      <c r="E744">
        <v>8709</v>
      </c>
      <c r="F744">
        <v>5876</v>
      </c>
      <c r="G744">
        <v>2833</v>
      </c>
      <c r="H744" t="s">
        <v>19</v>
      </c>
      <c r="I744" t="s">
        <v>63</v>
      </c>
      <c r="J744" t="s">
        <v>53</v>
      </c>
    </row>
    <row r="745" spans="1:10" x14ac:dyDescent="0.25">
      <c r="A745" t="s">
        <v>782</v>
      </c>
      <c r="B745" s="1">
        <v>45321</v>
      </c>
      <c r="C745" t="s">
        <v>17</v>
      </c>
      <c r="D745" t="s">
        <v>18</v>
      </c>
      <c r="E745">
        <v>14771</v>
      </c>
      <c r="F745">
        <v>3619</v>
      </c>
      <c r="G745">
        <v>11152</v>
      </c>
      <c r="H745" t="s">
        <v>13</v>
      </c>
      <c r="I745" t="s">
        <v>78</v>
      </c>
      <c r="J745" t="s">
        <v>15</v>
      </c>
    </row>
    <row r="746" spans="1:10" x14ac:dyDescent="0.25">
      <c r="A746" t="s">
        <v>783</v>
      </c>
      <c r="B746" s="1">
        <v>46150</v>
      </c>
      <c r="C746" t="s">
        <v>26</v>
      </c>
      <c r="D746" t="s">
        <v>12</v>
      </c>
      <c r="E746">
        <v>7338</v>
      </c>
      <c r="F746">
        <v>3306</v>
      </c>
      <c r="G746">
        <v>4032</v>
      </c>
      <c r="H746" t="s">
        <v>38</v>
      </c>
      <c r="I746" t="s">
        <v>23</v>
      </c>
      <c r="J746" t="s">
        <v>53</v>
      </c>
    </row>
    <row r="747" spans="1:10" x14ac:dyDescent="0.25">
      <c r="A747" t="s">
        <v>784</v>
      </c>
      <c r="B747" s="1">
        <v>45616</v>
      </c>
      <c r="C747" t="s">
        <v>26</v>
      </c>
      <c r="D747" t="s">
        <v>12</v>
      </c>
      <c r="E747">
        <v>42667</v>
      </c>
      <c r="F747">
        <v>39552</v>
      </c>
      <c r="G747">
        <v>3115</v>
      </c>
      <c r="H747" t="s">
        <v>38</v>
      </c>
      <c r="I747" t="s">
        <v>45</v>
      </c>
      <c r="J747" t="s">
        <v>53</v>
      </c>
    </row>
    <row r="748" spans="1:10" x14ac:dyDescent="0.25">
      <c r="A748" t="s">
        <v>785</v>
      </c>
      <c r="B748" s="1">
        <v>45245</v>
      </c>
      <c r="C748" t="s">
        <v>22</v>
      </c>
      <c r="D748" t="s">
        <v>36</v>
      </c>
      <c r="E748">
        <v>39104</v>
      </c>
      <c r="F748">
        <v>27750</v>
      </c>
      <c r="G748">
        <v>11354</v>
      </c>
      <c r="H748" t="s">
        <v>19</v>
      </c>
      <c r="I748" t="s">
        <v>28</v>
      </c>
      <c r="J748" t="s">
        <v>42</v>
      </c>
    </row>
    <row r="749" spans="1:10" x14ac:dyDescent="0.25">
      <c r="A749" t="s">
        <v>786</v>
      </c>
      <c r="B749" s="1">
        <v>45350</v>
      </c>
      <c r="C749" t="s">
        <v>22</v>
      </c>
      <c r="D749" t="s">
        <v>12</v>
      </c>
      <c r="E749">
        <v>8765</v>
      </c>
      <c r="F749">
        <v>929</v>
      </c>
      <c r="G749">
        <v>7836</v>
      </c>
      <c r="H749" t="s">
        <v>13</v>
      </c>
      <c r="I749" t="s">
        <v>60</v>
      </c>
      <c r="J749" t="s">
        <v>15</v>
      </c>
    </row>
    <row r="750" spans="1:10" x14ac:dyDescent="0.25">
      <c r="A750" t="s">
        <v>787</v>
      </c>
      <c r="B750" s="1">
        <v>46137</v>
      </c>
      <c r="C750" t="s">
        <v>22</v>
      </c>
      <c r="D750" t="s">
        <v>36</v>
      </c>
      <c r="E750">
        <v>10119</v>
      </c>
      <c r="F750">
        <v>8583</v>
      </c>
      <c r="G750">
        <v>1536</v>
      </c>
      <c r="H750" t="s">
        <v>38</v>
      </c>
      <c r="I750" t="s">
        <v>63</v>
      </c>
      <c r="J750" t="s">
        <v>42</v>
      </c>
    </row>
    <row r="751" spans="1:10" x14ac:dyDescent="0.25">
      <c r="A751" t="s">
        <v>788</v>
      </c>
      <c r="B751" s="1">
        <v>45279</v>
      </c>
      <c r="C751" t="s">
        <v>11</v>
      </c>
      <c r="D751" t="s">
        <v>33</v>
      </c>
      <c r="E751">
        <v>11052</v>
      </c>
      <c r="F751">
        <v>5353</v>
      </c>
      <c r="G751">
        <v>5699</v>
      </c>
      <c r="H751" t="s">
        <v>27</v>
      </c>
      <c r="I751" t="s">
        <v>63</v>
      </c>
      <c r="J751" t="s">
        <v>42</v>
      </c>
    </row>
    <row r="752" spans="1:10" x14ac:dyDescent="0.25">
      <c r="A752" t="s">
        <v>789</v>
      </c>
      <c r="B752" s="1">
        <v>45447</v>
      </c>
      <c r="C752" t="s">
        <v>17</v>
      </c>
      <c r="D752" t="s">
        <v>41</v>
      </c>
      <c r="E752">
        <v>12020</v>
      </c>
      <c r="F752">
        <v>2825</v>
      </c>
      <c r="G752">
        <v>9195</v>
      </c>
      <c r="H752" t="s">
        <v>19</v>
      </c>
      <c r="I752" t="s">
        <v>20</v>
      </c>
      <c r="J752" t="s">
        <v>15</v>
      </c>
    </row>
    <row r="753" spans="1:10" x14ac:dyDescent="0.25">
      <c r="A753" t="s">
        <v>790</v>
      </c>
      <c r="B753" s="1">
        <v>45979</v>
      </c>
      <c r="C753" t="s">
        <v>11</v>
      </c>
      <c r="D753" t="s">
        <v>12</v>
      </c>
      <c r="E753">
        <v>28848</v>
      </c>
      <c r="F753">
        <v>25788</v>
      </c>
      <c r="G753">
        <v>3060</v>
      </c>
      <c r="H753" t="s">
        <v>19</v>
      </c>
      <c r="I753" t="s">
        <v>20</v>
      </c>
      <c r="J753" t="s">
        <v>15</v>
      </c>
    </row>
    <row r="754" spans="1:10" x14ac:dyDescent="0.25">
      <c r="A754" t="s">
        <v>791</v>
      </c>
      <c r="B754" s="1">
        <v>45902</v>
      </c>
      <c r="C754" t="s">
        <v>17</v>
      </c>
      <c r="D754" t="s">
        <v>18</v>
      </c>
      <c r="E754">
        <v>39647</v>
      </c>
      <c r="F754">
        <v>22358</v>
      </c>
      <c r="G754">
        <v>17289</v>
      </c>
      <c r="H754" t="s">
        <v>19</v>
      </c>
      <c r="I754" t="s">
        <v>31</v>
      </c>
      <c r="J754" t="s">
        <v>29</v>
      </c>
    </row>
    <row r="755" spans="1:10" x14ac:dyDescent="0.25">
      <c r="A755" t="s">
        <v>792</v>
      </c>
      <c r="B755" s="1">
        <v>46114</v>
      </c>
      <c r="C755" t="s">
        <v>26</v>
      </c>
      <c r="D755" t="s">
        <v>36</v>
      </c>
      <c r="E755">
        <v>40269</v>
      </c>
      <c r="F755">
        <v>29971</v>
      </c>
      <c r="G755">
        <v>10298</v>
      </c>
      <c r="H755" t="s">
        <v>27</v>
      </c>
      <c r="I755" t="s">
        <v>78</v>
      </c>
      <c r="J755" t="s">
        <v>24</v>
      </c>
    </row>
    <row r="756" spans="1:10" x14ac:dyDescent="0.25">
      <c r="A756" t="s">
        <v>793</v>
      </c>
      <c r="B756" s="1">
        <v>45712</v>
      </c>
      <c r="C756" t="s">
        <v>26</v>
      </c>
      <c r="D756" t="s">
        <v>12</v>
      </c>
      <c r="E756">
        <v>42605</v>
      </c>
      <c r="F756">
        <v>31363</v>
      </c>
      <c r="G756">
        <v>11242</v>
      </c>
      <c r="H756" t="s">
        <v>27</v>
      </c>
      <c r="I756" t="s">
        <v>28</v>
      </c>
      <c r="J756" t="s">
        <v>29</v>
      </c>
    </row>
    <row r="757" spans="1:10" x14ac:dyDescent="0.25">
      <c r="A757" t="s">
        <v>794</v>
      </c>
      <c r="B757" s="1">
        <v>46144</v>
      </c>
      <c r="C757" t="s">
        <v>44</v>
      </c>
      <c r="D757" t="s">
        <v>18</v>
      </c>
      <c r="E757">
        <v>24671</v>
      </c>
      <c r="F757">
        <v>14849</v>
      </c>
      <c r="G757">
        <v>9822</v>
      </c>
      <c r="H757" t="s">
        <v>38</v>
      </c>
      <c r="I757" t="s">
        <v>34</v>
      </c>
      <c r="J757" t="s">
        <v>53</v>
      </c>
    </row>
    <row r="758" spans="1:10" x14ac:dyDescent="0.25">
      <c r="A758" t="s">
        <v>795</v>
      </c>
      <c r="B758" s="1">
        <v>45199</v>
      </c>
      <c r="C758" t="s">
        <v>17</v>
      </c>
      <c r="D758" t="s">
        <v>12</v>
      </c>
      <c r="E758">
        <v>25310</v>
      </c>
      <c r="F758">
        <v>12200</v>
      </c>
      <c r="G758">
        <v>13110</v>
      </c>
      <c r="H758" t="s">
        <v>38</v>
      </c>
      <c r="I758" t="s">
        <v>45</v>
      </c>
      <c r="J758" t="s">
        <v>42</v>
      </c>
    </row>
    <row r="759" spans="1:10" x14ac:dyDescent="0.25">
      <c r="A759" t="s">
        <v>796</v>
      </c>
      <c r="B759" s="1">
        <v>46177</v>
      </c>
      <c r="C759" t="s">
        <v>17</v>
      </c>
      <c r="D759" t="s">
        <v>12</v>
      </c>
      <c r="E759">
        <v>32373</v>
      </c>
      <c r="F759">
        <v>21979</v>
      </c>
      <c r="G759">
        <v>10394</v>
      </c>
      <c r="H759" t="s">
        <v>27</v>
      </c>
      <c r="I759" t="s">
        <v>14</v>
      </c>
      <c r="J759" t="s">
        <v>24</v>
      </c>
    </row>
    <row r="760" spans="1:10" x14ac:dyDescent="0.25">
      <c r="A760" t="s">
        <v>797</v>
      </c>
      <c r="B760" s="1">
        <v>45681</v>
      </c>
      <c r="C760" t="s">
        <v>44</v>
      </c>
      <c r="D760" t="s">
        <v>41</v>
      </c>
      <c r="E760">
        <v>32252</v>
      </c>
      <c r="F760">
        <v>13487</v>
      </c>
      <c r="G760">
        <v>18765</v>
      </c>
      <c r="H760" t="s">
        <v>27</v>
      </c>
      <c r="I760" t="s">
        <v>60</v>
      </c>
      <c r="J760" t="s">
        <v>15</v>
      </c>
    </row>
    <row r="761" spans="1:10" x14ac:dyDescent="0.25">
      <c r="A761" t="s">
        <v>798</v>
      </c>
      <c r="B761" s="1">
        <v>45602</v>
      </c>
      <c r="C761" t="s">
        <v>22</v>
      </c>
      <c r="D761" t="s">
        <v>36</v>
      </c>
      <c r="E761">
        <v>10855</v>
      </c>
      <c r="F761">
        <v>1249</v>
      </c>
      <c r="G761">
        <v>9606</v>
      </c>
      <c r="H761" t="s">
        <v>38</v>
      </c>
      <c r="I761" t="s">
        <v>31</v>
      </c>
      <c r="J761" t="s">
        <v>42</v>
      </c>
    </row>
    <row r="762" spans="1:10" x14ac:dyDescent="0.25">
      <c r="A762" t="s">
        <v>799</v>
      </c>
      <c r="B762" s="1">
        <v>45752</v>
      </c>
      <c r="C762" t="s">
        <v>26</v>
      </c>
      <c r="D762" t="s">
        <v>12</v>
      </c>
      <c r="E762">
        <v>23818</v>
      </c>
      <c r="F762">
        <v>20816</v>
      </c>
      <c r="G762">
        <v>3002</v>
      </c>
      <c r="H762" t="s">
        <v>38</v>
      </c>
      <c r="I762" t="s">
        <v>23</v>
      </c>
      <c r="J762" t="s">
        <v>42</v>
      </c>
    </row>
    <row r="763" spans="1:10" x14ac:dyDescent="0.25">
      <c r="A763" t="s">
        <v>800</v>
      </c>
      <c r="B763" s="1">
        <v>45504</v>
      </c>
      <c r="C763" t="s">
        <v>26</v>
      </c>
      <c r="D763" t="s">
        <v>41</v>
      </c>
      <c r="E763">
        <v>29517</v>
      </c>
      <c r="F763">
        <v>14044</v>
      </c>
      <c r="G763">
        <v>15473</v>
      </c>
      <c r="H763" t="s">
        <v>13</v>
      </c>
      <c r="I763" t="s">
        <v>20</v>
      </c>
      <c r="J763" t="s">
        <v>24</v>
      </c>
    </row>
    <row r="764" spans="1:10" x14ac:dyDescent="0.25">
      <c r="A764" t="s">
        <v>801</v>
      </c>
      <c r="B764" s="1">
        <v>45653</v>
      </c>
      <c r="C764" t="s">
        <v>11</v>
      </c>
      <c r="D764" t="s">
        <v>12</v>
      </c>
      <c r="E764">
        <v>35777</v>
      </c>
      <c r="F764">
        <v>28868</v>
      </c>
      <c r="G764">
        <v>6909</v>
      </c>
      <c r="H764" t="s">
        <v>13</v>
      </c>
      <c r="I764" t="s">
        <v>14</v>
      </c>
      <c r="J764" t="s">
        <v>42</v>
      </c>
    </row>
    <row r="765" spans="1:10" x14ac:dyDescent="0.25">
      <c r="A765" t="s">
        <v>802</v>
      </c>
      <c r="B765" s="1">
        <v>45118</v>
      </c>
      <c r="C765" t="s">
        <v>11</v>
      </c>
      <c r="D765" t="s">
        <v>41</v>
      </c>
      <c r="E765">
        <v>47817</v>
      </c>
      <c r="F765">
        <v>46956</v>
      </c>
      <c r="G765">
        <v>861</v>
      </c>
      <c r="H765" t="s">
        <v>19</v>
      </c>
      <c r="I765" t="s">
        <v>60</v>
      </c>
      <c r="J765" t="s">
        <v>29</v>
      </c>
    </row>
    <row r="766" spans="1:10" x14ac:dyDescent="0.25">
      <c r="A766" t="s">
        <v>803</v>
      </c>
      <c r="B766" s="1">
        <v>45917</v>
      </c>
      <c r="C766" t="s">
        <v>26</v>
      </c>
      <c r="D766" t="s">
        <v>33</v>
      </c>
      <c r="E766">
        <v>5534</v>
      </c>
      <c r="F766">
        <v>3395</v>
      </c>
      <c r="G766">
        <v>2139</v>
      </c>
      <c r="H766" t="s">
        <v>38</v>
      </c>
      <c r="I766" t="s">
        <v>28</v>
      </c>
      <c r="J766" t="s">
        <v>15</v>
      </c>
    </row>
    <row r="767" spans="1:10" x14ac:dyDescent="0.25">
      <c r="A767" t="s">
        <v>804</v>
      </c>
      <c r="B767" s="1">
        <v>46193</v>
      </c>
      <c r="C767" t="s">
        <v>17</v>
      </c>
      <c r="D767" t="s">
        <v>18</v>
      </c>
      <c r="E767">
        <v>30312</v>
      </c>
      <c r="F767">
        <v>20960</v>
      </c>
      <c r="G767">
        <v>9352</v>
      </c>
      <c r="H767" t="s">
        <v>38</v>
      </c>
      <c r="I767" t="s">
        <v>78</v>
      </c>
      <c r="J767" t="s">
        <v>15</v>
      </c>
    </row>
    <row r="768" spans="1:10" x14ac:dyDescent="0.25">
      <c r="A768" t="s">
        <v>805</v>
      </c>
      <c r="B768" s="1">
        <v>45892</v>
      </c>
      <c r="C768" t="s">
        <v>11</v>
      </c>
      <c r="D768" t="s">
        <v>18</v>
      </c>
      <c r="E768">
        <v>40806</v>
      </c>
      <c r="F768">
        <v>21129</v>
      </c>
      <c r="G768">
        <v>19677</v>
      </c>
      <c r="H768" t="s">
        <v>13</v>
      </c>
      <c r="I768" t="s">
        <v>45</v>
      </c>
      <c r="J768" t="s">
        <v>15</v>
      </c>
    </row>
    <row r="769" spans="1:10" x14ac:dyDescent="0.25">
      <c r="A769" t="s">
        <v>806</v>
      </c>
      <c r="B769" s="1">
        <v>45624</v>
      </c>
      <c r="C769" t="s">
        <v>26</v>
      </c>
      <c r="D769" t="s">
        <v>36</v>
      </c>
      <c r="E769">
        <v>18819</v>
      </c>
      <c r="F769">
        <v>5548</v>
      </c>
      <c r="G769">
        <v>13271</v>
      </c>
      <c r="H769" t="s">
        <v>38</v>
      </c>
      <c r="I769" t="s">
        <v>63</v>
      </c>
      <c r="J769" t="s">
        <v>53</v>
      </c>
    </row>
    <row r="770" spans="1:10" x14ac:dyDescent="0.25">
      <c r="A770" t="s">
        <v>807</v>
      </c>
      <c r="B770" s="1">
        <v>45474</v>
      </c>
      <c r="C770" t="s">
        <v>17</v>
      </c>
      <c r="D770" t="s">
        <v>41</v>
      </c>
      <c r="E770">
        <v>9832</v>
      </c>
      <c r="F770">
        <v>2262</v>
      </c>
      <c r="G770">
        <v>7570</v>
      </c>
      <c r="H770" t="s">
        <v>38</v>
      </c>
      <c r="I770" t="s">
        <v>63</v>
      </c>
      <c r="J770" t="s">
        <v>24</v>
      </c>
    </row>
    <row r="771" spans="1:10" x14ac:dyDescent="0.25">
      <c r="A771" t="s">
        <v>808</v>
      </c>
      <c r="B771" s="1">
        <v>46208</v>
      </c>
      <c r="C771" t="s">
        <v>11</v>
      </c>
      <c r="D771" t="s">
        <v>36</v>
      </c>
      <c r="E771">
        <v>19064</v>
      </c>
      <c r="F771">
        <v>12072</v>
      </c>
      <c r="G771">
        <v>6992</v>
      </c>
      <c r="H771" t="s">
        <v>13</v>
      </c>
      <c r="I771" t="s">
        <v>60</v>
      </c>
      <c r="J771" t="s">
        <v>29</v>
      </c>
    </row>
    <row r="772" spans="1:10" x14ac:dyDescent="0.25">
      <c r="A772" t="s">
        <v>809</v>
      </c>
      <c r="B772" s="1">
        <v>45540</v>
      </c>
      <c r="C772" t="s">
        <v>11</v>
      </c>
      <c r="D772" t="s">
        <v>36</v>
      </c>
      <c r="E772">
        <v>13792</v>
      </c>
      <c r="F772">
        <v>6315</v>
      </c>
      <c r="G772">
        <v>7477</v>
      </c>
      <c r="H772" t="s">
        <v>19</v>
      </c>
      <c r="I772" t="s">
        <v>45</v>
      </c>
      <c r="J772" t="s">
        <v>53</v>
      </c>
    </row>
    <row r="773" spans="1:10" x14ac:dyDescent="0.25">
      <c r="A773" t="s">
        <v>810</v>
      </c>
      <c r="B773" s="1">
        <v>46203</v>
      </c>
      <c r="C773" t="s">
        <v>44</v>
      </c>
      <c r="D773" t="s">
        <v>12</v>
      </c>
      <c r="E773">
        <v>45030</v>
      </c>
      <c r="F773">
        <v>33838</v>
      </c>
      <c r="G773">
        <v>11192</v>
      </c>
      <c r="H773" t="s">
        <v>13</v>
      </c>
      <c r="I773" t="s">
        <v>31</v>
      </c>
      <c r="J773" t="s">
        <v>53</v>
      </c>
    </row>
    <row r="774" spans="1:10" x14ac:dyDescent="0.25">
      <c r="A774" t="s">
        <v>811</v>
      </c>
      <c r="B774" s="1">
        <v>45648</v>
      </c>
      <c r="C774" t="s">
        <v>44</v>
      </c>
      <c r="D774" t="s">
        <v>12</v>
      </c>
      <c r="E774">
        <v>45123</v>
      </c>
      <c r="F774">
        <v>38963</v>
      </c>
      <c r="G774">
        <v>6160</v>
      </c>
      <c r="H774" t="s">
        <v>38</v>
      </c>
      <c r="I774" t="s">
        <v>45</v>
      </c>
      <c r="J774" t="s">
        <v>29</v>
      </c>
    </row>
    <row r="775" spans="1:10" x14ac:dyDescent="0.25">
      <c r="A775" t="s">
        <v>812</v>
      </c>
      <c r="B775" s="1">
        <v>46166</v>
      </c>
      <c r="C775" t="s">
        <v>22</v>
      </c>
      <c r="D775" t="s">
        <v>36</v>
      </c>
      <c r="E775">
        <v>30788</v>
      </c>
      <c r="F775">
        <v>14827</v>
      </c>
      <c r="G775">
        <v>15961</v>
      </c>
      <c r="H775" t="s">
        <v>19</v>
      </c>
      <c r="I775" t="s">
        <v>14</v>
      </c>
      <c r="J775" t="s">
        <v>42</v>
      </c>
    </row>
    <row r="776" spans="1:10" x14ac:dyDescent="0.25">
      <c r="A776" t="s">
        <v>813</v>
      </c>
      <c r="B776" s="1">
        <v>45653</v>
      </c>
      <c r="C776" t="s">
        <v>11</v>
      </c>
      <c r="D776" t="s">
        <v>41</v>
      </c>
      <c r="E776">
        <v>20372</v>
      </c>
      <c r="F776">
        <v>9604</v>
      </c>
      <c r="G776">
        <v>10768</v>
      </c>
      <c r="H776" t="s">
        <v>19</v>
      </c>
      <c r="I776" t="s">
        <v>78</v>
      </c>
      <c r="J776" t="s">
        <v>42</v>
      </c>
    </row>
    <row r="777" spans="1:10" x14ac:dyDescent="0.25">
      <c r="A777" t="s">
        <v>814</v>
      </c>
      <c r="B777" s="1">
        <v>45758</v>
      </c>
      <c r="C777" t="s">
        <v>17</v>
      </c>
      <c r="D777" t="s">
        <v>41</v>
      </c>
      <c r="E777">
        <v>8483</v>
      </c>
      <c r="F777">
        <v>5589</v>
      </c>
      <c r="G777">
        <v>2894</v>
      </c>
      <c r="H777" t="s">
        <v>19</v>
      </c>
      <c r="I777" t="s">
        <v>23</v>
      </c>
      <c r="J777" t="s">
        <v>15</v>
      </c>
    </row>
    <row r="778" spans="1:10" x14ac:dyDescent="0.25">
      <c r="A778" t="s">
        <v>815</v>
      </c>
      <c r="B778" s="1">
        <v>46166</v>
      </c>
      <c r="C778" t="s">
        <v>44</v>
      </c>
      <c r="D778" t="s">
        <v>41</v>
      </c>
      <c r="E778">
        <v>27840</v>
      </c>
      <c r="F778">
        <v>17799</v>
      </c>
      <c r="G778">
        <v>10041</v>
      </c>
      <c r="H778" t="s">
        <v>27</v>
      </c>
      <c r="I778" t="s">
        <v>31</v>
      </c>
      <c r="J778" t="s">
        <v>53</v>
      </c>
    </row>
    <row r="779" spans="1:10" x14ac:dyDescent="0.25">
      <c r="A779" t="s">
        <v>816</v>
      </c>
      <c r="B779" s="1">
        <v>45295</v>
      </c>
      <c r="C779" t="s">
        <v>22</v>
      </c>
      <c r="D779" t="s">
        <v>18</v>
      </c>
      <c r="E779">
        <v>39891</v>
      </c>
      <c r="F779">
        <v>21780</v>
      </c>
      <c r="G779">
        <v>18111</v>
      </c>
      <c r="H779" t="s">
        <v>38</v>
      </c>
      <c r="I779" t="s">
        <v>31</v>
      </c>
      <c r="J779" t="s">
        <v>53</v>
      </c>
    </row>
    <row r="780" spans="1:10" x14ac:dyDescent="0.25">
      <c r="A780" t="s">
        <v>817</v>
      </c>
      <c r="B780" s="1">
        <v>46034</v>
      </c>
      <c r="C780" t="s">
        <v>22</v>
      </c>
      <c r="D780" t="s">
        <v>41</v>
      </c>
      <c r="E780">
        <v>25833</v>
      </c>
      <c r="F780">
        <v>16217</v>
      </c>
      <c r="G780">
        <v>9616</v>
      </c>
      <c r="H780" t="s">
        <v>13</v>
      </c>
      <c r="I780" t="s">
        <v>14</v>
      </c>
      <c r="J780" t="s">
        <v>15</v>
      </c>
    </row>
    <row r="781" spans="1:10" x14ac:dyDescent="0.25">
      <c r="A781" t="s">
        <v>818</v>
      </c>
      <c r="B781" s="1">
        <v>45417</v>
      </c>
      <c r="C781" t="s">
        <v>11</v>
      </c>
      <c r="D781" t="s">
        <v>18</v>
      </c>
      <c r="E781">
        <v>23255</v>
      </c>
      <c r="F781">
        <v>5550</v>
      </c>
      <c r="G781">
        <v>17705</v>
      </c>
      <c r="H781" t="s">
        <v>38</v>
      </c>
      <c r="I781" t="s">
        <v>31</v>
      </c>
      <c r="J781" t="s">
        <v>53</v>
      </c>
    </row>
    <row r="782" spans="1:10" x14ac:dyDescent="0.25">
      <c r="A782" t="s">
        <v>819</v>
      </c>
      <c r="B782" s="1">
        <v>46197</v>
      </c>
      <c r="C782" t="s">
        <v>22</v>
      </c>
      <c r="D782" t="s">
        <v>36</v>
      </c>
      <c r="E782">
        <v>35620</v>
      </c>
      <c r="F782">
        <v>15861</v>
      </c>
      <c r="G782">
        <v>19759</v>
      </c>
      <c r="H782" t="s">
        <v>27</v>
      </c>
      <c r="I782" t="s">
        <v>34</v>
      </c>
      <c r="J782" t="s">
        <v>53</v>
      </c>
    </row>
    <row r="783" spans="1:10" x14ac:dyDescent="0.25">
      <c r="A783" t="s">
        <v>820</v>
      </c>
      <c r="B783" s="1">
        <v>46200</v>
      </c>
      <c r="C783" t="s">
        <v>44</v>
      </c>
      <c r="D783" t="s">
        <v>18</v>
      </c>
      <c r="E783">
        <v>16161</v>
      </c>
      <c r="F783">
        <v>13361</v>
      </c>
      <c r="G783">
        <v>2800</v>
      </c>
      <c r="H783" t="s">
        <v>38</v>
      </c>
      <c r="I783" t="s">
        <v>34</v>
      </c>
      <c r="J783" t="s">
        <v>24</v>
      </c>
    </row>
    <row r="784" spans="1:10" x14ac:dyDescent="0.25">
      <c r="A784" t="s">
        <v>821</v>
      </c>
      <c r="B784" s="1">
        <v>45900</v>
      </c>
      <c r="C784" t="s">
        <v>22</v>
      </c>
      <c r="D784" t="s">
        <v>18</v>
      </c>
      <c r="E784">
        <v>49029</v>
      </c>
      <c r="F784">
        <v>44781</v>
      </c>
      <c r="G784">
        <v>4248</v>
      </c>
      <c r="H784" t="s">
        <v>38</v>
      </c>
      <c r="I784" t="s">
        <v>45</v>
      </c>
      <c r="J784" t="s">
        <v>24</v>
      </c>
    </row>
    <row r="785" spans="1:10" x14ac:dyDescent="0.25">
      <c r="A785" t="s">
        <v>822</v>
      </c>
      <c r="B785" s="1">
        <v>45332</v>
      </c>
      <c r="C785" t="s">
        <v>44</v>
      </c>
      <c r="D785" t="s">
        <v>33</v>
      </c>
      <c r="E785">
        <v>34961</v>
      </c>
      <c r="F785">
        <v>21733</v>
      </c>
      <c r="G785">
        <v>13228</v>
      </c>
      <c r="H785" t="s">
        <v>38</v>
      </c>
      <c r="I785" t="s">
        <v>45</v>
      </c>
      <c r="J785" t="s">
        <v>42</v>
      </c>
    </row>
    <row r="786" spans="1:10" x14ac:dyDescent="0.25">
      <c r="A786" t="s">
        <v>823</v>
      </c>
      <c r="B786" s="1">
        <v>45735</v>
      </c>
      <c r="C786" t="s">
        <v>26</v>
      </c>
      <c r="D786" t="s">
        <v>33</v>
      </c>
      <c r="E786">
        <v>21029</v>
      </c>
      <c r="F786">
        <v>10663</v>
      </c>
      <c r="G786">
        <v>10366</v>
      </c>
      <c r="H786" t="s">
        <v>13</v>
      </c>
      <c r="I786" t="s">
        <v>34</v>
      </c>
      <c r="J786" t="s">
        <v>53</v>
      </c>
    </row>
    <row r="787" spans="1:10" x14ac:dyDescent="0.25">
      <c r="A787" t="s">
        <v>824</v>
      </c>
      <c r="B787" s="1">
        <v>45401</v>
      </c>
      <c r="C787" t="s">
        <v>44</v>
      </c>
      <c r="D787" t="s">
        <v>12</v>
      </c>
      <c r="E787">
        <v>17739</v>
      </c>
      <c r="F787">
        <v>5951</v>
      </c>
      <c r="G787">
        <v>11788</v>
      </c>
      <c r="H787" t="s">
        <v>27</v>
      </c>
      <c r="I787" t="s">
        <v>63</v>
      </c>
      <c r="J787" t="s">
        <v>24</v>
      </c>
    </row>
    <row r="788" spans="1:10" x14ac:dyDescent="0.25">
      <c r="A788" t="s">
        <v>825</v>
      </c>
      <c r="B788" s="1">
        <v>45916</v>
      </c>
      <c r="C788" t="s">
        <v>11</v>
      </c>
      <c r="D788" t="s">
        <v>36</v>
      </c>
      <c r="E788">
        <v>47297</v>
      </c>
      <c r="F788">
        <v>29760</v>
      </c>
      <c r="G788">
        <v>17537</v>
      </c>
      <c r="H788" t="s">
        <v>13</v>
      </c>
      <c r="I788" t="s">
        <v>14</v>
      </c>
      <c r="J788" t="s">
        <v>15</v>
      </c>
    </row>
    <row r="789" spans="1:10" x14ac:dyDescent="0.25">
      <c r="A789" t="s">
        <v>826</v>
      </c>
      <c r="B789" s="1">
        <v>46159</v>
      </c>
      <c r="C789" t="s">
        <v>22</v>
      </c>
      <c r="D789" t="s">
        <v>41</v>
      </c>
      <c r="E789">
        <v>23876</v>
      </c>
      <c r="F789">
        <v>20715</v>
      </c>
      <c r="G789">
        <v>3161</v>
      </c>
      <c r="H789" t="s">
        <v>13</v>
      </c>
      <c r="I789" t="s">
        <v>28</v>
      </c>
      <c r="J789" t="s">
        <v>24</v>
      </c>
    </row>
    <row r="790" spans="1:10" x14ac:dyDescent="0.25">
      <c r="A790" t="s">
        <v>827</v>
      </c>
      <c r="B790" s="1">
        <v>45598</v>
      </c>
      <c r="C790" t="s">
        <v>44</v>
      </c>
      <c r="D790" t="s">
        <v>36</v>
      </c>
      <c r="E790">
        <v>12540</v>
      </c>
      <c r="F790">
        <v>2812</v>
      </c>
      <c r="G790">
        <v>9728</v>
      </c>
      <c r="H790" t="s">
        <v>13</v>
      </c>
      <c r="I790" t="s">
        <v>31</v>
      </c>
      <c r="J790" t="s">
        <v>24</v>
      </c>
    </row>
    <row r="791" spans="1:10" x14ac:dyDescent="0.25">
      <c r="A791" t="s">
        <v>828</v>
      </c>
      <c r="B791" s="1">
        <v>45370</v>
      </c>
      <c r="C791" t="s">
        <v>26</v>
      </c>
      <c r="D791" t="s">
        <v>33</v>
      </c>
      <c r="E791">
        <v>44380</v>
      </c>
      <c r="F791">
        <v>34069</v>
      </c>
      <c r="G791">
        <v>10311</v>
      </c>
      <c r="H791" t="s">
        <v>19</v>
      </c>
      <c r="I791" t="s">
        <v>34</v>
      </c>
      <c r="J791" t="s">
        <v>24</v>
      </c>
    </row>
    <row r="792" spans="1:10" x14ac:dyDescent="0.25">
      <c r="A792" t="s">
        <v>829</v>
      </c>
      <c r="B792" s="1">
        <v>45392</v>
      </c>
      <c r="C792" t="s">
        <v>11</v>
      </c>
      <c r="D792" t="s">
        <v>36</v>
      </c>
      <c r="E792">
        <v>16163</v>
      </c>
      <c r="F792">
        <v>14253</v>
      </c>
      <c r="G792">
        <v>1910</v>
      </c>
      <c r="H792" t="s">
        <v>38</v>
      </c>
      <c r="I792" t="s">
        <v>23</v>
      </c>
      <c r="J792" t="s">
        <v>24</v>
      </c>
    </row>
    <row r="793" spans="1:10" x14ac:dyDescent="0.25">
      <c r="A793" t="s">
        <v>830</v>
      </c>
      <c r="B793" s="1">
        <v>45114</v>
      </c>
      <c r="C793" t="s">
        <v>44</v>
      </c>
      <c r="D793" t="s">
        <v>41</v>
      </c>
      <c r="E793">
        <v>43307</v>
      </c>
      <c r="F793">
        <v>30523</v>
      </c>
      <c r="G793">
        <v>12784</v>
      </c>
      <c r="H793" t="s">
        <v>38</v>
      </c>
      <c r="I793" t="s">
        <v>34</v>
      </c>
      <c r="J793" t="s">
        <v>42</v>
      </c>
    </row>
    <row r="794" spans="1:10" x14ac:dyDescent="0.25">
      <c r="A794" t="s">
        <v>831</v>
      </c>
      <c r="B794" s="1">
        <v>46176</v>
      </c>
      <c r="C794" t="s">
        <v>44</v>
      </c>
      <c r="D794" t="s">
        <v>18</v>
      </c>
      <c r="E794">
        <v>40218</v>
      </c>
      <c r="F794">
        <v>32526</v>
      </c>
      <c r="G794">
        <v>7692</v>
      </c>
      <c r="H794" t="s">
        <v>13</v>
      </c>
      <c r="I794" t="s">
        <v>20</v>
      </c>
      <c r="J794" t="s">
        <v>29</v>
      </c>
    </row>
    <row r="795" spans="1:10" x14ac:dyDescent="0.25">
      <c r="A795" t="s">
        <v>832</v>
      </c>
      <c r="B795" s="1">
        <v>45535</v>
      </c>
      <c r="C795" t="s">
        <v>26</v>
      </c>
      <c r="D795" t="s">
        <v>41</v>
      </c>
      <c r="E795">
        <v>35241</v>
      </c>
      <c r="F795">
        <v>24821</v>
      </c>
      <c r="G795">
        <v>10420</v>
      </c>
      <c r="H795" t="s">
        <v>13</v>
      </c>
      <c r="I795" t="s">
        <v>34</v>
      </c>
      <c r="J795" t="s">
        <v>53</v>
      </c>
    </row>
    <row r="796" spans="1:10" x14ac:dyDescent="0.25">
      <c r="A796" t="s">
        <v>833</v>
      </c>
      <c r="B796" s="1">
        <v>45464</v>
      </c>
      <c r="C796" t="s">
        <v>44</v>
      </c>
      <c r="D796" t="s">
        <v>18</v>
      </c>
      <c r="E796">
        <v>46563</v>
      </c>
      <c r="F796">
        <v>29726</v>
      </c>
      <c r="G796">
        <v>16837</v>
      </c>
      <c r="H796" t="s">
        <v>19</v>
      </c>
      <c r="I796" t="s">
        <v>45</v>
      </c>
      <c r="J796" t="s">
        <v>29</v>
      </c>
    </row>
    <row r="797" spans="1:10" x14ac:dyDescent="0.25">
      <c r="A797" t="s">
        <v>834</v>
      </c>
      <c r="B797" s="1">
        <v>46193</v>
      </c>
      <c r="C797" t="s">
        <v>11</v>
      </c>
      <c r="D797" t="s">
        <v>18</v>
      </c>
      <c r="E797">
        <v>9524</v>
      </c>
      <c r="F797">
        <v>6157</v>
      </c>
      <c r="G797">
        <v>3367</v>
      </c>
      <c r="H797" t="s">
        <v>19</v>
      </c>
      <c r="I797" t="s">
        <v>20</v>
      </c>
      <c r="J797" t="s">
        <v>53</v>
      </c>
    </row>
    <row r="798" spans="1:10" x14ac:dyDescent="0.25">
      <c r="A798" t="s">
        <v>835</v>
      </c>
      <c r="B798" s="1">
        <v>45364</v>
      </c>
      <c r="C798" t="s">
        <v>17</v>
      </c>
      <c r="D798" t="s">
        <v>18</v>
      </c>
      <c r="E798">
        <v>28282</v>
      </c>
      <c r="F798">
        <v>9689</v>
      </c>
      <c r="G798">
        <v>18593</v>
      </c>
      <c r="H798" t="s">
        <v>27</v>
      </c>
      <c r="I798" t="s">
        <v>45</v>
      </c>
      <c r="J798" t="s">
        <v>53</v>
      </c>
    </row>
    <row r="799" spans="1:10" x14ac:dyDescent="0.25">
      <c r="A799" t="s">
        <v>836</v>
      </c>
      <c r="B799" s="1">
        <v>46183</v>
      </c>
      <c r="C799" t="s">
        <v>17</v>
      </c>
      <c r="D799" t="s">
        <v>33</v>
      </c>
      <c r="E799">
        <v>45271</v>
      </c>
      <c r="F799">
        <v>38953</v>
      </c>
      <c r="G799">
        <v>6318</v>
      </c>
      <c r="H799" t="s">
        <v>13</v>
      </c>
      <c r="I799" t="s">
        <v>20</v>
      </c>
      <c r="J799" t="s">
        <v>15</v>
      </c>
    </row>
    <row r="800" spans="1:10" x14ac:dyDescent="0.25">
      <c r="A800" t="s">
        <v>837</v>
      </c>
      <c r="B800" s="1">
        <v>46146</v>
      </c>
      <c r="C800" t="s">
        <v>11</v>
      </c>
      <c r="D800" t="s">
        <v>18</v>
      </c>
      <c r="E800">
        <v>16648</v>
      </c>
      <c r="F800">
        <v>10317</v>
      </c>
      <c r="G800">
        <v>6331</v>
      </c>
      <c r="H800" t="s">
        <v>27</v>
      </c>
      <c r="I800" t="s">
        <v>34</v>
      </c>
      <c r="J800" t="s">
        <v>53</v>
      </c>
    </row>
    <row r="801" spans="1:10" x14ac:dyDescent="0.25">
      <c r="A801" t="s">
        <v>838</v>
      </c>
      <c r="B801" s="1">
        <v>45908</v>
      </c>
      <c r="C801" t="s">
        <v>44</v>
      </c>
      <c r="D801" t="s">
        <v>33</v>
      </c>
      <c r="E801">
        <v>46394</v>
      </c>
      <c r="F801">
        <v>44042</v>
      </c>
      <c r="G801">
        <v>2352</v>
      </c>
      <c r="H801" t="s">
        <v>27</v>
      </c>
      <c r="I801" t="s">
        <v>45</v>
      </c>
      <c r="J801" t="s">
        <v>29</v>
      </c>
    </row>
    <row r="802" spans="1:10" x14ac:dyDescent="0.25">
      <c r="A802" t="s">
        <v>839</v>
      </c>
      <c r="B802" s="1">
        <v>46082</v>
      </c>
      <c r="C802" t="s">
        <v>11</v>
      </c>
      <c r="D802" t="s">
        <v>12</v>
      </c>
      <c r="E802">
        <v>13391</v>
      </c>
      <c r="F802">
        <v>4549</v>
      </c>
      <c r="G802">
        <v>8842</v>
      </c>
      <c r="H802" t="s">
        <v>13</v>
      </c>
      <c r="I802" t="s">
        <v>23</v>
      </c>
      <c r="J802" t="s">
        <v>29</v>
      </c>
    </row>
    <row r="803" spans="1:10" x14ac:dyDescent="0.25">
      <c r="A803" t="s">
        <v>840</v>
      </c>
      <c r="B803" s="1">
        <v>45717</v>
      </c>
      <c r="C803" t="s">
        <v>22</v>
      </c>
      <c r="D803" t="s">
        <v>18</v>
      </c>
      <c r="E803">
        <v>35256</v>
      </c>
      <c r="F803">
        <v>16126</v>
      </c>
      <c r="G803">
        <v>19130</v>
      </c>
      <c r="H803" t="s">
        <v>19</v>
      </c>
      <c r="I803" t="s">
        <v>45</v>
      </c>
      <c r="J803" t="s">
        <v>15</v>
      </c>
    </row>
    <row r="804" spans="1:10" x14ac:dyDescent="0.25">
      <c r="A804" t="s">
        <v>841</v>
      </c>
      <c r="B804" s="1">
        <v>45544</v>
      </c>
      <c r="C804" t="s">
        <v>17</v>
      </c>
      <c r="D804" t="s">
        <v>36</v>
      </c>
      <c r="E804">
        <v>21148</v>
      </c>
      <c r="F804">
        <v>19498</v>
      </c>
      <c r="G804">
        <v>1650</v>
      </c>
      <c r="H804" t="s">
        <v>38</v>
      </c>
      <c r="I804" t="s">
        <v>78</v>
      </c>
      <c r="J804" t="s">
        <v>53</v>
      </c>
    </row>
    <row r="805" spans="1:10" x14ac:dyDescent="0.25">
      <c r="A805" t="s">
        <v>842</v>
      </c>
      <c r="B805" s="1">
        <v>45471</v>
      </c>
      <c r="C805" t="s">
        <v>26</v>
      </c>
      <c r="D805" t="s">
        <v>41</v>
      </c>
      <c r="E805">
        <v>34833</v>
      </c>
      <c r="F805">
        <v>32840</v>
      </c>
      <c r="G805">
        <v>1993</v>
      </c>
      <c r="H805" t="s">
        <v>13</v>
      </c>
      <c r="I805" t="s">
        <v>63</v>
      </c>
      <c r="J805" t="s">
        <v>53</v>
      </c>
    </row>
    <row r="806" spans="1:10" x14ac:dyDescent="0.25">
      <c r="A806" t="s">
        <v>843</v>
      </c>
      <c r="B806" s="1">
        <v>46091</v>
      </c>
      <c r="C806" t="s">
        <v>44</v>
      </c>
      <c r="D806" t="s">
        <v>18</v>
      </c>
      <c r="E806">
        <v>36637</v>
      </c>
      <c r="F806">
        <v>33131</v>
      </c>
      <c r="G806">
        <v>3506</v>
      </c>
      <c r="H806" t="s">
        <v>38</v>
      </c>
      <c r="I806" t="s">
        <v>20</v>
      </c>
      <c r="J806" t="s">
        <v>24</v>
      </c>
    </row>
    <row r="807" spans="1:10" x14ac:dyDescent="0.25">
      <c r="A807" t="s">
        <v>844</v>
      </c>
      <c r="B807" s="1">
        <v>45217</v>
      </c>
      <c r="C807" t="s">
        <v>22</v>
      </c>
      <c r="D807" t="s">
        <v>41</v>
      </c>
      <c r="E807">
        <v>5102</v>
      </c>
      <c r="F807">
        <v>4520</v>
      </c>
      <c r="G807">
        <v>582</v>
      </c>
      <c r="H807" t="s">
        <v>13</v>
      </c>
      <c r="I807" t="s">
        <v>60</v>
      </c>
      <c r="J807" t="s">
        <v>24</v>
      </c>
    </row>
    <row r="808" spans="1:10" x14ac:dyDescent="0.25">
      <c r="A808" t="s">
        <v>845</v>
      </c>
      <c r="B808" s="1">
        <v>45562</v>
      </c>
      <c r="C808" t="s">
        <v>26</v>
      </c>
      <c r="D808" t="s">
        <v>18</v>
      </c>
      <c r="E808">
        <v>47524</v>
      </c>
      <c r="F808">
        <v>33389</v>
      </c>
      <c r="G808">
        <v>14135</v>
      </c>
      <c r="H808" t="s">
        <v>27</v>
      </c>
      <c r="I808" t="s">
        <v>20</v>
      </c>
      <c r="J808" t="s">
        <v>42</v>
      </c>
    </row>
    <row r="809" spans="1:10" x14ac:dyDescent="0.25">
      <c r="A809" t="s">
        <v>846</v>
      </c>
      <c r="B809" s="1">
        <v>45836</v>
      </c>
      <c r="C809" t="s">
        <v>22</v>
      </c>
      <c r="D809" t="s">
        <v>41</v>
      </c>
      <c r="E809">
        <v>47342</v>
      </c>
      <c r="F809">
        <v>34685</v>
      </c>
      <c r="G809">
        <v>12657</v>
      </c>
      <c r="H809" t="s">
        <v>13</v>
      </c>
      <c r="I809" t="s">
        <v>45</v>
      </c>
      <c r="J809" t="s">
        <v>24</v>
      </c>
    </row>
    <row r="810" spans="1:10" x14ac:dyDescent="0.25">
      <c r="A810" t="s">
        <v>847</v>
      </c>
      <c r="B810" s="1">
        <v>45251</v>
      </c>
      <c r="C810" t="s">
        <v>17</v>
      </c>
      <c r="D810" t="s">
        <v>41</v>
      </c>
      <c r="E810">
        <v>46401</v>
      </c>
      <c r="F810">
        <v>35470</v>
      </c>
      <c r="G810">
        <v>10931</v>
      </c>
      <c r="H810" t="s">
        <v>19</v>
      </c>
      <c r="I810" t="s">
        <v>28</v>
      </c>
      <c r="J810" t="s">
        <v>15</v>
      </c>
    </row>
    <row r="811" spans="1:10" x14ac:dyDescent="0.25">
      <c r="A811" t="s">
        <v>848</v>
      </c>
      <c r="B811" s="1">
        <v>45399</v>
      </c>
      <c r="C811" t="s">
        <v>11</v>
      </c>
      <c r="D811" t="s">
        <v>36</v>
      </c>
      <c r="E811">
        <v>9375</v>
      </c>
      <c r="F811">
        <v>2042</v>
      </c>
      <c r="G811">
        <v>7333</v>
      </c>
      <c r="H811" t="s">
        <v>27</v>
      </c>
      <c r="I811" t="s">
        <v>78</v>
      </c>
      <c r="J811" t="s">
        <v>15</v>
      </c>
    </row>
    <row r="812" spans="1:10" x14ac:dyDescent="0.25">
      <c r="A812" t="s">
        <v>849</v>
      </c>
      <c r="B812" s="1">
        <v>45305</v>
      </c>
      <c r="C812" t="s">
        <v>44</v>
      </c>
      <c r="D812" t="s">
        <v>18</v>
      </c>
      <c r="E812">
        <v>27332</v>
      </c>
      <c r="F812">
        <v>8335</v>
      </c>
      <c r="G812">
        <v>18997</v>
      </c>
      <c r="H812" t="s">
        <v>19</v>
      </c>
      <c r="I812" t="s">
        <v>28</v>
      </c>
      <c r="J812" t="s">
        <v>29</v>
      </c>
    </row>
    <row r="813" spans="1:10" x14ac:dyDescent="0.25">
      <c r="A813" t="s">
        <v>850</v>
      </c>
      <c r="B813" s="1">
        <v>45523</v>
      </c>
      <c r="C813" t="s">
        <v>44</v>
      </c>
      <c r="D813" t="s">
        <v>36</v>
      </c>
      <c r="E813">
        <v>13095</v>
      </c>
      <c r="F813">
        <v>7401</v>
      </c>
      <c r="G813">
        <v>5694</v>
      </c>
      <c r="H813" t="s">
        <v>19</v>
      </c>
      <c r="I813" t="s">
        <v>45</v>
      </c>
      <c r="J813" t="s">
        <v>24</v>
      </c>
    </row>
    <row r="814" spans="1:10" x14ac:dyDescent="0.25">
      <c r="A814" t="s">
        <v>851</v>
      </c>
      <c r="B814" s="1">
        <v>46045</v>
      </c>
      <c r="C814" t="s">
        <v>26</v>
      </c>
      <c r="D814" t="s">
        <v>36</v>
      </c>
      <c r="E814">
        <v>18520</v>
      </c>
      <c r="F814">
        <v>1463</v>
      </c>
      <c r="G814">
        <v>17057</v>
      </c>
      <c r="H814" t="s">
        <v>38</v>
      </c>
      <c r="I814" t="s">
        <v>45</v>
      </c>
      <c r="J814" t="s">
        <v>42</v>
      </c>
    </row>
    <row r="815" spans="1:10" x14ac:dyDescent="0.25">
      <c r="A815" t="s">
        <v>852</v>
      </c>
      <c r="B815" s="1">
        <v>45142</v>
      </c>
      <c r="C815" t="s">
        <v>22</v>
      </c>
      <c r="D815" t="s">
        <v>33</v>
      </c>
      <c r="E815">
        <v>10433</v>
      </c>
      <c r="F815">
        <v>3955</v>
      </c>
      <c r="G815">
        <v>6478</v>
      </c>
      <c r="H815" t="s">
        <v>38</v>
      </c>
      <c r="I815" t="s">
        <v>45</v>
      </c>
      <c r="J815" t="s">
        <v>42</v>
      </c>
    </row>
    <row r="816" spans="1:10" x14ac:dyDescent="0.25">
      <c r="A816" t="s">
        <v>853</v>
      </c>
      <c r="B816" s="1">
        <v>45813</v>
      </c>
      <c r="C816" t="s">
        <v>26</v>
      </c>
      <c r="D816" t="s">
        <v>18</v>
      </c>
      <c r="E816">
        <v>19753</v>
      </c>
      <c r="F816">
        <v>5682</v>
      </c>
      <c r="G816">
        <v>14071</v>
      </c>
      <c r="H816" t="s">
        <v>13</v>
      </c>
      <c r="I816" t="s">
        <v>14</v>
      </c>
      <c r="J816" t="s">
        <v>24</v>
      </c>
    </row>
    <row r="817" spans="1:10" x14ac:dyDescent="0.25">
      <c r="A817" t="s">
        <v>854</v>
      </c>
      <c r="B817" s="1">
        <v>45842</v>
      </c>
      <c r="C817" t="s">
        <v>22</v>
      </c>
      <c r="D817" t="s">
        <v>18</v>
      </c>
      <c r="E817">
        <v>39839</v>
      </c>
      <c r="F817">
        <v>35523</v>
      </c>
      <c r="G817">
        <v>4316</v>
      </c>
      <c r="H817" t="s">
        <v>27</v>
      </c>
      <c r="I817" t="s">
        <v>34</v>
      </c>
      <c r="J817" t="s">
        <v>29</v>
      </c>
    </row>
    <row r="818" spans="1:10" x14ac:dyDescent="0.25">
      <c r="A818" t="s">
        <v>855</v>
      </c>
      <c r="B818" s="1">
        <v>46026</v>
      </c>
      <c r="C818" t="s">
        <v>22</v>
      </c>
      <c r="D818" t="s">
        <v>18</v>
      </c>
      <c r="E818">
        <v>15190</v>
      </c>
      <c r="F818">
        <v>2904</v>
      </c>
      <c r="G818">
        <v>12286</v>
      </c>
      <c r="H818" t="s">
        <v>38</v>
      </c>
      <c r="I818" t="s">
        <v>23</v>
      </c>
      <c r="J818" t="s">
        <v>29</v>
      </c>
    </row>
    <row r="819" spans="1:10" x14ac:dyDescent="0.25">
      <c r="A819" t="s">
        <v>856</v>
      </c>
      <c r="B819" s="1">
        <v>46132</v>
      </c>
      <c r="C819" t="s">
        <v>26</v>
      </c>
      <c r="D819" t="s">
        <v>41</v>
      </c>
      <c r="E819">
        <v>28354</v>
      </c>
      <c r="F819">
        <v>8856</v>
      </c>
      <c r="G819">
        <v>19498</v>
      </c>
      <c r="H819" t="s">
        <v>27</v>
      </c>
      <c r="I819" t="s">
        <v>31</v>
      </c>
      <c r="J819" t="s">
        <v>42</v>
      </c>
    </row>
    <row r="820" spans="1:10" x14ac:dyDescent="0.25">
      <c r="A820" t="s">
        <v>857</v>
      </c>
      <c r="B820" s="1">
        <v>45395</v>
      </c>
      <c r="C820" t="s">
        <v>17</v>
      </c>
      <c r="D820" t="s">
        <v>18</v>
      </c>
      <c r="E820">
        <v>38398</v>
      </c>
      <c r="F820">
        <v>35126</v>
      </c>
      <c r="G820">
        <v>3272</v>
      </c>
      <c r="H820" t="s">
        <v>38</v>
      </c>
      <c r="I820" t="s">
        <v>31</v>
      </c>
      <c r="J820" t="s">
        <v>42</v>
      </c>
    </row>
    <row r="821" spans="1:10" x14ac:dyDescent="0.25">
      <c r="A821" t="s">
        <v>858</v>
      </c>
      <c r="B821" s="1">
        <v>45862</v>
      </c>
      <c r="C821" t="s">
        <v>17</v>
      </c>
      <c r="D821" t="s">
        <v>41</v>
      </c>
      <c r="E821">
        <v>5654</v>
      </c>
      <c r="F821">
        <v>912</v>
      </c>
      <c r="G821">
        <v>4742</v>
      </c>
      <c r="H821" t="s">
        <v>38</v>
      </c>
      <c r="I821" t="s">
        <v>31</v>
      </c>
      <c r="J821" t="s">
        <v>29</v>
      </c>
    </row>
    <row r="822" spans="1:10" x14ac:dyDescent="0.25">
      <c r="A822" t="s">
        <v>859</v>
      </c>
      <c r="B822" s="1">
        <v>45529</v>
      </c>
      <c r="C822" t="s">
        <v>44</v>
      </c>
      <c r="D822" t="s">
        <v>12</v>
      </c>
      <c r="E822">
        <v>48618</v>
      </c>
      <c r="F822">
        <v>29320</v>
      </c>
      <c r="G822">
        <v>19298</v>
      </c>
      <c r="H822" t="s">
        <v>19</v>
      </c>
      <c r="I822" t="s">
        <v>63</v>
      </c>
      <c r="J822" t="s">
        <v>42</v>
      </c>
    </row>
    <row r="823" spans="1:10" x14ac:dyDescent="0.25">
      <c r="A823" t="s">
        <v>860</v>
      </c>
      <c r="B823" s="1">
        <v>45223</v>
      </c>
      <c r="C823" t="s">
        <v>11</v>
      </c>
      <c r="D823" t="s">
        <v>18</v>
      </c>
      <c r="E823">
        <v>22277</v>
      </c>
      <c r="F823">
        <v>10799</v>
      </c>
      <c r="G823">
        <v>11478</v>
      </c>
      <c r="H823" t="s">
        <v>19</v>
      </c>
      <c r="I823" t="s">
        <v>20</v>
      </c>
      <c r="J823" t="s">
        <v>15</v>
      </c>
    </row>
    <row r="824" spans="1:10" x14ac:dyDescent="0.25">
      <c r="A824" t="s">
        <v>861</v>
      </c>
      <c r="B824" s="1">
        <v>45191</v>
      </c>
      <c r="C824" t="s">
        <v>17</v>
      </c>
      <c r="D824" t="s">
        <v>33</v>
      </c>
      <c r="E824">
        <v>9320</v>
      </c>
      <c r="F824">
        <v>3932</v>
      </c>
      <c r="G824">
        <v>5388</v>
      </c>
      <c r="H824" t="s">
        <v>27</v>
      </c>
      <c r="I824" t="s">
        <v>60</v>
      </c>
      <c r="J824" t="s">
        <v>15</v>
      </c>
    </row>
    <row r="825" spans="1:10" x14ac:dyDescent="0.25">
      <c r="A825" t="s">
        <v>862</v>
      </c>
      <c r="B825" s="1">
        <v>45173</v>
      </c>
      <c r="C825" t="s">
        <v>17</v>
      </c>
      <c r="D825" t="s">
        <v>12</v>
      </c>
      <c r="E825">
        <v>42676</v>
      </c>
      <c r="F825">
        <v>27637</v>
      </c>
      <c r="G825">
        <v>15039</v>
      </c>
      <c r="H825" t="s">
        <v>38</v>
      </c>
      <c r="I825" t="s">
        <v>45</v>
      </c>
      <c r="J825" t="s">
        <v>29</v>
      </c>
    </row>
    <row r="826" spans="1:10" x14ac:dyDescent="0.25">
      <c r="A826" t="s">
        <v>863</v>
      </c>
      <c r="B826" s="1">
        <v>46121</v>
      </c>
      <c r="C826" t="s">
        <v>17</v>
      </c>
      <c r="D826" t="s">
        <v>18</v>
      </c>
      <c r="E826">
        <v>17298</v>
      </c>
      <c r="F826">
        <v>13505</v>
      </c>
      <c r="G826">
        <v>3793</v>
      </c>
      <c r="H826" t="s">
        <v>13</v>
      </c>
      <c r="I826" t="s">
        <v>78</v>
      </c>
      <c r="J826" t="s">
        <v>42</v>
      </c>
    </row>
    <row r="827" spans="1:10" x14ac:dyDescent="0.25">
      <c r="A827" t="s">
        <v>864</v>
      </c>
      <c r="B827" s="1">
        <v>45773</v>
      </c>
      <c r="C827" t="s">
        <v>17</v>
      </c>
      <c r="D827" t="s">
        <v>18</v>
      </c>
      <c r="E827">
        <v>10327</v>
      </c>
      <c r="F827">
        <v>6189</v>
      </c>
      <c r="G827">
        <v>4138</v>
      </c>
      <c r="H827" t="s">
        <v>13</v>
      </c>
      <c r="I827" t="s">
        <v>60</v>
      </c>
      <c r="J827" t="s">
        <v>24</v>
      </c>
    </row>
    <row r="828" spans="1:10" x14ac:dyDescent="0.25">
      <c r="A828" t="s">
        <v>865</v>
      </c>
      <c r="B828" s="1">
        <v>45408</v>
      </c>
      <c r="C828" t="s">
        <v>44</v>
      </c>
      <c r="D828" t="s">
        <v>36</v>
      </c>
      <c r="E828">
        <v>9806</v>
      </c>
      <c r="F828">
        <v>6538</v>
      </c>
      <c r="G828">
        <v>3268</v>
      </c>
      <c r="H828" t="s">
        <v>27</v>
      </c>
      <c r="I828" t="s">
        <v>78</v>
      </c>
      <c r="J828" t="s">
        <v>42</v>
      </c>
    </row>
    <row r="829" spans="1:10" x14ac:dyDescent="0.25">
      <c r="A829" t="s">
        <v>866</v>
      </c>
      <c r="B829" s="1">
        <v>45466</v>
      </c>
      <c r="C829" t="s">
        <v>17</v>
      </c>
      <c r="D829" t="s">
        <v>36</v>
      </c>
      <c r="E829">
        <v>19210</v>
      </c>
      <c r="F829">
        <v>17581</v>
      </c>
      <c r="G829">
        <v>1629</v>
      </c>
      <c r="H829" t="s">
        <v>27</v>
      </c>
      <c r="I829" t="s">
        <v>63</v>
      </c>
      <c r="J829" t="s">
        <v>15</v>
      </c>
    </row>
    <row r="830" spans="1:10" x14ac:dyDescent="0.25">
      <c r="A830" t="s">
        <v>867</v>
      </c>
      <c r="B830" s="1">
        <v>45128</v>
      </c>
      <c r="C830" t="s">
        <v>44</v>
      </c>
      <c r="D830" t="s">
        <v>18</v>
      </c>
      <c r="E830">
        <v>10260</v>
      </c>
      <c r="F830">
        <v>2809</v>
      </c>
      <c r="G830">
        <v>7451</v>
      </c>
      <c r="H830" t="s">
        <v>38</v>
      </c>
      <c r="I830" t="s">
        <v>14</v>
      </c>
      <c r="J830" t="s">
        <v>29</v>
      </c>
    </row>
    <row r="831" spans="1:10" x14ac:dyDescent="0.25">
      <c r="A831" t="s">
        <v>868</v>
      </c>
      <c r="B831" s="1">
        <v>45959</v>
      </c>
      <c r="C831" t="s">
        <v>17</v>
      </c>
      <c r="D831" t="s">
        <v>33</v>
      </c>
      <c r="E831">
        <v>40706</v>
      </c>
      <c r="F831">
        <v>32338</v>
      </c>
      <c r="G831">
        <v>8368</v>
      </c>
      <c r="H831" t="s">
        <v>19</v>
      </c>
      <c r="I831" t="s">
        <v>23</v>
      </c>
      <c r="J831" t="s">
        <v>15</v>
      </c>
    </row>
    <row r="832" spans="1:10" x14ac:dyDescent="0.25">
      <c r="A832" t="s">
        <v>869</v>
      </c>
      <c r="B832" s="1">
        <v>45850</v>
      </c>
      <c r="C832" t="s">
        <v>44</v>
      </c>
      <c r="D832" t="s">
        <v>33</v>
      </c>
      <c r="E832">
        <v>17568</v>
      </c>
      <c r="F832">
        <v>4026</v>
      </c>
      <c r="G832">
        <v>13542</v>
      </c>
      <c r="H832" t="s">
        <v>13</v>
      </c>
      <c r="I832" t="s">
        <v>31</v>
      </c>
      <c r="J832" t="s">
        <v>15</v>
      </c>
    </row>
    <row r="833" spans="1:10" x14ac:dyDescent="0.25">
      <c r="A833" t="s">
        <v>870</v>
      </c>
      <c r="B833" s="1">
        <v>45468</v>
      </c>
      <c r="C833" t="s">
        <v>11</v>
      </c>
      <c r="D833" t="s">
        <v>36</v>
      </c>
      <c r="E833">
        <v>38836</v>
      </c>
      <c r="F833">
        <v>25898</v>
      </c>
      <c r="G833">
        <v>12938</v>
      </c>
      <c r="H833" t="s">
        <v>19</v>
      </c>
      <c r="I833" t="s">
        <v>60</v>
      </c>
      <c r="J833" t="s">
        <v>42</v>
      </c>
    </row>
    <row r="834" spans="1:10" x14ac:dyDescent="0.25">
      <c r="A834" t="s">
        <v>871</v>
      </c>
      <c r="B834" s="1">
        <v>46008</v>
      </c>
      <c r="C834" t="s">
        <v>44</v>
      </c>
      <c r="D834" t="s">
        <v>36</v>
      </c>
      <c r="E834">
        <v>37032</v>
      </c>
      <c r="F834">
        <v>17297</v>
      </c>
      <c r="G834">
        <v>19735</v>
      </c>
      <c r="H834" t="s">
        <v>27</v>
      </c>
      <c r="I834" t="s">
        <v>14</v>
      </c>
      <c r="J834" t="s">
        <v>42</v>
      </c>
    </row>
    <row r="835" spans="1:10" x14ac:dyDescent="0.25">
      <c r="A835" t="s">
        <v>872</v>
      </c>
      <c r="B835" s="1">
        <v>46129</v>
      </c>
      <c r="C835" t="s">
        <v>22</v>
      </c>
      <c r="D835" t="s">
        <v>18</v>
      </c>
      <c r="E835">
        <v>14818</v>
      </c>
      <c r="F835">
        <v>12304</v>
      </c>
      <c r="G835">
        <v>2514</v>
      </c>
      <c r="H835" t="s">
        <v>38</v>
      </c>
      <c r="I835" t="s">
        <v>78</v>
      </c>
      <c r="J835" t="s">
        <v>15</v>
      </c>
    </row>
    <row r="836" spans="1:10" x14ac:dyDescent="0.25">
      <c r="A836" t="s">
        <v>873</v>
      </c>
      <c r="B836" s="1">
        <v>45918</v>
      </c>
      <c r="C836" t="s">
        <v>11</v>
      </c>
      <c r="D836" t="s">
        <v>18</v>
      </c>
      <c r="E836">
        <v>41920</v>
      </c>
      <c r="F836">
        <v>32849</v>
      </c>
      <c r="G836">
        <v>9071</v>
      </c>
      <c r="H836" t="s">
        <v>19</v>
      </c>
      <c r="I836" t="s">
        <v>78</v>
      </c>
      <c r="J836" t="s">
        <v>15</v>
      </c>
    </row>
    <row r="837" spans="1:10" x14ac:dyDescent="0.25">
      <c r="A837" t="s">
        <v>874</v>
      </c>
      <c r="B837" s="1">
        <v>45494</v>
      </c>
      <c r="C837" t="s">
        <v>17</v>
      </c>
      <c r="D837" t="s">
        <v>41</v>
      </c>
      <c r="E837">
        <v>9923</v>
      </c>
      <c r="F837">
        <v>8294</v>
      </c>
      <c r="G837">
        <v>1629</v>
      </c>
      <c r="H837" t="s">
        <v>13</v>
      </c>
      <c r="I837" t="s">
        <v>20</v>
      </c>
      <c r="J837" t="s">
        <v>29</v>
      </c>
    </row>
    <row r="838" spans="1:10" x14ac:dyDescent="0.25">
      <c r="A838" t="s">
        <v>875</v>
      </c>
      <c r="B838" s="1">
        <v>45298</v>
      </c>
      <c r="C838" t="s">
        <v>26</v>
      </c>
      <c r="D838" t="s">
        <v>36</v>
      </c>
      <c r="E838">
        <v>5828</v>
      </c>
      <c r="F838">
        <v>4172</v>
      </c>
      <c r="G838">
        <v>1656</v>
      </c>
      <c r="H838" t="s">
        <v>19</v>
      </c>
      <c r="I838" t="s">
        <v>31</v>
      </c>
      <c r="J838" t="s">
        <v>15</v>
      </c>
    </row>
    <row r="839" spans="1:10" x14ac:dyDescent="0.25">
      <c r="A839" t="s">
        <v>876</v>
      </c>
      <c r="B839" s="1">
        <v>45641</v>
      </c>
      <c r="C839" t="s">
        <v>11</v>
      </c>
      <c r="D839" t="s">
        <v>41</v>
      </c>
      <c r="E839">
        <v>29306</v>
      </c>
      <c r="F839">
        <v>18617</v>
      </c>
      <c r="G839">
        <v>10689</v>
      </c>
      <c r="H839" t="s">
        <v>38</v>
      </c>
      <c r="I839" t="s">
        <v>20</v>
      </c>
      <c r="J839" t="s">
        <v>29</v>
      </c>
    </row>
    <row r="840" spans="1:10" x14ac:dyDescent="0.25">
      <c r="A840" t="s">
        <v>877</v>
      </c>
      <c r="B840" s="1">
        <v>45499</v>
      </c>
      <c r="C840" t="s">
        <v>11</v>
      </c>
      <c r="D840" t="s">
        <v>41</v>
      </c>
      <c r="E840">
        <v>9321</v>
      </c>
      <c r="F840">
        <v>6023</v>
      </c>
      <c r="G840">
        <v>3298</v>
      </c>
      <c r="H840" t="s">
        <v>13</v>
      </c>
      <c r="I840" t="s">
        <v>20</v>
      </c>
      <c r="J840" t="s">
        <v>53</v>
      </c>
    </row>
    <row r="841" spans="1:10" x14ac:dyDescent="0.25">
      <c r="A841" t="s">
        <v>878</v>
      </c>
      <c r="B841" s="1">
        <v>45343</v>
      </c>
      <c r="C841" t="s">
        <v>26</v>
      </c>
      <c r="D841" t="s">
        <v>33</v>
      </c>
      <c r="E841">
        <v>19755</v>
      </c>
      <c r="F841">
        <v>4346</v>
      </c>
      <c r="G841">
        <v>15409</v>
      </c>
      <c r="H841" t="s">
        <v>13</v>
      </c>
      <c r="I841" t="s">
        <v>20</v>
      </c>
      <c r="J841" t="s">
        <v>42</v>
      </c>
    </row>
    <row r="842" spans="1:10" x14ac:dyDescent="0.25">
      <c r="A842" t="s">
        <v>879</v>
      </c>
      <c r="B842" s="1">
        <v>45568</v>
      </c>
      <c r="C842" t="s">
        <v>26</v>
      </c>
      <c r="D842" t="s">
        <v>36</v>
      </c>
      <c r="E842">
        <v>23148</v>
      </c>
      <c r="F842">
        <v>5234</v>
      </c>
      <c r="G842">
        <v>17914</v>
      </c>
      <c r="H842" t="s">
        <v>13</v>
      </c>
      <c r="I842" t="s">
        <v>23</v>
      </c>
      <c r="J842" t="s">
        <v>29</v>
      </c>
    </row>
    <row r="843" spans="1:10" x14ac:dyDescent="0.25">
      <c r="A843" t="s">
        <v>880</v>
      </c>
      <c r="B843" s="1">
        <v>45198</v>
      </c>
      <c r="C843" t="s">
        <v>44</v>
      </c>
      <c r="D843" t="s">
        <v>12</v>
      </c>
      <c r="E843">
        <v>47459</v>
      </c>
      <c r="F843">
        <v>28683</v>
      </c>
      <c r="G843">
        <v>18776</v>
      </c>
      <c r="H843" t="s">
        <v>13</v>
      </c>
      <c r="I843" t="s">
        <v>28</v>
      </c>
      <c r="J843" t="s">
        <v>29</v>
      </c>
    </row>
    <row r="844" spans="1:10" x14ac:dyDescent="0.25">
      <c r="A844" t="s">
        <v>881</v>
      </c>
      <c r="B844" s="1">
        <v>45924</v>
      </c>
      <c r="C844" t="s">
        <v>11</v>
      </c>
      <c r="D844" t="s">
        <v>18</v>
      </c>
      <c r="E844">
        <v>48689</v>
      </c>
      <c r="F844">
        <v>47716</v>
      </c>
      <c r="G844">
        <v>973</v>
      </c>
      <c r="H844" t="s">
        <v>19</v>
      </c>
      <c r="I844" t="s">
        <v>45</v>
      </c>
      <c r="J844" t="s">
        <v>42</v>
      </c>
    </row>
    <row r="845" spans="1:10" x14ac:dyDescent="0.25">
      <c r="A845" t="s">
        <v>882</v>
      </c>
      <c r="B845" s="1">
        <v>45955</v>
      </c>
      <c r="C845" t="s">
        <v>22</v>
      </c>
      <c r="D845" t="s">
        <v>12</v>
      </c>
      <c r="E845">
        <v>33543</v>
      </c>
      <c r="F845">
        <v>24299</v>
      </c>
      <c r="G845">
        <v>9244</v>
      </c>
      <c r="H845" t="s">
        <v>27</v>
      </c>
      <c r="I845" t="s">
        <v>20</v>
      </c>
      <c r="J845" t="s">
        <v>42</v>
      </c>
    </row>
    <row r="846" spans="1:10" x14ac:dyDescent="0.25">
      <c r="A846" t="s">
        <v>883</v>
      </c>
      <c r="B846" s="1">
        <v>46104</v>
      </c>
      <c r="C846" t="s">
        <v>22</v>
      </c>
      <c r="D846" t="s">
        <v>18</v>
      </c>
      <c r="E846">
        <v>29740</v>
      </c>
      <c r="F846">
        <v>20934</v>
      </c>
      <c r="G846">
        <v>8806</v>
      </c>
      <c r="H846" t="s">
        <v>19</v>
      </c>
      <c r="I846" t="s">
        <v>34</v>
      </c>
      <c r="J846" t="s">
        <v>29</v>
      </c>
    </row>
    <row r="847" spans="1:10" x14ac:dyDescent="0.25">
      <c r="A847" t="s">
        <v>884</v>
      </c>
      <c r="B847" s="1">
        <v>45410</v>
      </c>
      <c r="C847" t="s">
        <v>11</v>
      </c>
      <c r="D847" t="s">
        <v>33</v>
      </c>
      <c r="E847">
        <v>12728</v>
      </c>
      <c r="F847">
        <v>11673</v>
      </c>
      <c r="G847">
        <v>1055</v>
      </c>
      <c r="H847" t="s">
        <v>19</v>
      </c>
      <c r="I847" t="s">
        <v>14</v>
      </c>
      <c r="J847" t="s">
        <v>15</v>
      </c>
    </row>
    <row r="848" spans="1:10" x14ac:dyDescent="0.25">
      <c r="A848" t="s">
        <v>885</v>
      </c>
      <c r="B848" s="1">
        <v>45415</v>
      </c>
      <c r="C848" t="s">
        <v>22</v>
      </c>
      <c r="D848" t="s">
        <v>41</v>
      </c>
      <c r="E848">
        <v>19459</v>
      </c>
      <c r="F848">
        <v>4338</v>
      </c>
      <c r="G848">
        <v>15121</v>
      </c>
      <c r="H848" t="s">
        <v>19</v>
      </c>
      <c r="I848" t="s">
        <v>20</v>
      </c>
      <c r="J848" t="s">
        <v>42</v>
      </c>
    </row>
    <row r="849" spans="1:10" x14ac:dyDescent="0.25">
      <c r="A849" t="s">
        <v>886</v>
      </c>
      <c r="B849" s="1">
        <v>45394</v>
      </c>
      <c r="C849" t="s">
        <v>44</v>
      </c>
      <c r="D849" t="s">
        <v>33</v>
      </c>
      <c r="E849">
        <v>31556</v>
      </c>
      <c r="F849">
        <v>20291</v>
      </c>
      <c r="G849">
        <v>11265</v>
      </c>
      <c r="H849" t="s">
        <v>13</v>
      </c>
      <c r="I849" t="s">
        <v>78</v>
      </c>
      <c r="J849" t="s">
        <v>42</v>
      </c>
    </row>
    <row r="850" spans="1:10" x14ac:dyDescent="0.25">
      <c r="A850" t="s">
        <v>887</v>
      </c>
      <c r="B850" s="1">
        <v>45661</v>
      </c>
      <c r="C850" t="s">
        <v>44</v>
      </c>
      <c r="D850" t="s">
        <v>41</v>
      </c>
      <c r="E850">
        <v>28899</v>
      </c>
      <c r="F850">
        <v>23465</v>
      </c>
      <c r="G850">
        <v>5434</v>
      </c>
      <c r="H850" t="s">
        <v>27</v>
      </c>
      <c r="I850" t="s">
        <v>23</v>
      </c>
      <c r="J850" t="s">
        <v>42</v>
      </c>
    </row>
    <row r="851" spans="1:10" x14ac:dyDescent="0.25">
      <c r="A851" t="s">
        <v>888</v>
      </c>
      <c r="B851" s="1">
        <v>45668</v>
      </c>
      <c r="C851" t="s">
        <v>26</v>
      </c>
      <c r="D851" t="s">
        <v>12</v>
      </c>
      <c r="E851">
        <v>23789</v>
      </c>
      <c r="F851">
        <v>7011</v>
      </c>
      <c r="G851">
        <v>16778</v>
      </c>
      <c r="H851" t="s">
        <v>19</v>
      </c>
      <c r="I851" t="s">
        <v>20</v>
      </c>
      <c r="J851" t="s">
        <v>53</v>
      </c>
    </row>
    <row r="852" spans="1:10" x14ac:dyDescent="0.25">
      <c r="A852" t="s">
        <v>889</v>
      </c>
      <c r="B852" s="1">
        <v>45888</v>
      </c>
      <c r="C852" t="s">
        <v>11</v>
      </c>
      <c r="D852" t="s">
        <v>33</v>
      </c>
      <c r="E852">
        <v>38179</v>
      </c>
      <c r="F852">
        <v>26492</v>
      </c>
      <c r="G852">
        <v>11687</v>
      </c>
      <c r="H852" t="s">
        <v>19</v>
      </c>
      <c r="I852" t="s">
        <v>45</v>
      </c>
      <c r="J852" t="s">
        <v>53</v>
      </c>
    </row>
    <row r="853" spans="1:10" x14ac:dyDescent="0.25">
      <c r="A853" t="s">
        <v>890</v>
      </c>
      <c r="B853" s="1">
        <v>45429</v>
      </c>
      <c r="C853" t="s">
        <v>17</v>
      </c>
      <c r="D853" t="s">
        <v>36</v>
      </c>
      <c r="E853">
        <v>6170</v>
      </c>
      <c r="F853">
        <v>3648</v>
      </c>
      <c r="G853">
        <v>2522</v>
      </c>
      <c r="H853" t="s">
        <v>38</v>
      </c>
      <c r="I853" t="s">
        <v>63</v>
      </c>
      <c r="J853" t="s">
        <v>29</v>
      </c>
    </row>
    <row r="854" spans="1:10" x14ac:dyDescent="0.25">
      <c r="A854" t="s">
        <v>891</v>
      </c>
      <c r="B854" s="1">
        <v>46092</v>
      </c>
      <c r="C854" t="s">
        <v>11</v>
      </c>
      <c r="D854" t="s">
        <v>36</v>
      </c>
      <c r="E854">
        <v>44388</v>
      </c>
      <c r="F854">
        <v>30618</v>
      </c>
      <c r="G854">
        <v>13770</v>
      </c>
      <c r="H854" t="s">
        <v>38</v>
      </c>
      <c r="I854" t="s">
        <v>78</v>
      </c>
      <c r="J854" t="s">
        <v>24</v>
      </c>
    </row>
    <row r="855" spans="1:10" x14ac:dyDescent="0.25">
      <c r="A855" t="s">
        <v>892</v>
      </c>
      <c r="B855" s="1">
        <v>45576</v>
      </c>
      <c r="C855" t="s">
        <v>22</v>
      </c>
      <c r="D855" t="s">
        <v>41</v>
      </c>
      <c r="E855">
        <v>47299</v>
      </c>
      <c r="F855">
        <v>34641</v>
      </c>
      <c r="G855">
        <v>12658</v>
      </c>
      <c r="H855" t="s">
        <v>27</v>
      </c>
      <c r="I855" t="s">
        <v>63</v>
      </c>
      <c r="J855" t="s">
        <v>15</v>
      </c>
    </row>
    <row r="856" spans="1:10" x14ac:dyDescent="0.25">
      <c r="A856" t="s">
        <v>893</v>
      </c>
      <c r="B856" s="1">
        <v>45312</v>
      </c>
      <c r="C856" t="s">
        <v>44</v>
      </c>
      <c r="D856" t="s">
        <v>36</v>
      </c>
      <c r="E856">
        <v>48271</v>
      </c>
      <c r="F856">
        <v>38973</v>
      </c>
      <c r="G856">
        <v>9298</v>
      </c>
      <c r="H856" t="s">
        <v>19</v>
      </c>
      <c r="I856" t="s">
        <v>78</v>
      </c>
      <c r="J856" t="s">
        <v>42</v>
      </c>
    </row>
    <row r="857" spans="1:10" x14ac:dyDescent="0.25">
      <c r="A857" t="s">
        <v>894</v>
      </c>
      <c r="B857" s="1">
        <v>45181</v>
      </c>
      <c r="C857" t="s">
        <v>44</v>
      </c>
      <c r="D857" t="s">
        <v>33</v>
      </c>
      <c r="E857">
        <v>48974</v>
      </c>
      <c r="F857">
        <v>37652</v>
      </c>
      <c r="G857">
        <v>11322</v>
      </c>
      <c r="H857" t="s">
        <v>13</v>
      </c>
      <c r="I857" t="s">
        <v>20</v>
      </c>
      <c r="J857" t="s">
        <v>29</v>
      </c>
    </row>
    <row r="858" spans="1:10" x14ac:dyDescent="0.25">
      <c r="A858" t="s">
        <v>895</v>
      </c>
      <c r="B858" s="1">
        <v>45776</v>
      </c>
      <c r="C858" t="s">
        <v>11</v>
      </c>
      <c r="D858" t="s">
        <v>18</v>
      </c>
      <c r="E858">
        <v>15727</v>
      </c>
      <c r="F858">
        <v>5892</v>
      </c>
      <c r="G858">
        <v>9835</v>
      </c>
      <c r="H858" t="s">
        <v>38</v>
      </c>
      <c r="I858" t="s">
        <v>60</v>
      </c>
      <c r="J858" t="s">
        <v>24</v>
      </c>
    </row>
    <row r="859" spans="1:10" x14ac:dyDescent="0.25">
      <c r="A859" t="s">
        <v>896</v>
      </c>
      <c r="B859" s="1">
        <v>45259</v>
      </c>
      <c r="C859" t="s">
        <v>11</v>
      </c>
      <c r="D859" t="s">
        <v>12</v>
      </c>
      <c r="E859">
        <v>31268</v>
      </c>
      <c r="F859">
        <v>24433</v>
      </c>
      <c r="G859">
        <v>6835</v>
      </c>
      <c r="H859" t="s">
        <v>19</v>
      </c>
      <c r="I859" t="s">
        <v>20</v>
      </c>
      <c r="J859" t="s">
        <v>15</v>
      </c>
    </row>
    <row r="860" spans="1:10" x14ac:dyDescent="0.25">
      <c r="A860" t="s">
        <v>897</v>
      </c>
      <c r="B860" s="1">
        <v>46100</v>
      </c>
      <c r="C860" t="s">
        <v>44</v>
      </c>
      <c r="D860" t="s">
        <v>18</v>
      </c>
      <c r="E860">
        <v>39243</v>
      </c>
      <c r="F860">
        <v>33140</v>
      </c>
      <c r="G860">
        <v>6103</v>
      </c>
      <c r="H860" t="s">
        <v>27</v>
      </c>
      <c r="I860" t="s">
        <v>14</v>
      </c>
      <c r="J860" t="s">
        <v>24</v>
      </c>
    </row>
    <row r="861" spans="1:10" x14ac:dyDescent="0.25">
      <c r="A861" t="s">
        <v>898</v>
      </c>
      <c r="B861" s="1">
        <v>45132</v>
      </c>
      <c r="C861" t="s">
        <v>26</v>
      </c>
      <c r="D861" t="s">
        <v>12</v>
      </c>
      <c r="E861">
        <v>7331</v>
      </c>
      <c r="F861">
        <v>1331</v>
      </c>
      <c r="G861">
        <v>6000</v>
      </c>
      <c r="H861" t="s">
        <v>19</v>
      </c>
      <c r="I861" t="s">
        <v>28</v>
      </c>
      <c r="J861" t="s">
        <v>24</v>
      </c>
    </row>
    <row r="862" spans="1:10" x14ac:dyDescent="0.25">
      <c r="A862" t="s">
        <v>899</v>
      </c>
      <c r="B862" s="1">
        <v>45956</v>
      </c>
      <c r="C862" t="s">
        <v>44</v>
      </c>
      <c r="D862" t="s">
        <v>33</v>
      </c>
      <c r="E862">
        <v>23285</v>
      </c>
      <c r="F862">
        <v>10686</v>
      </c>
      <c r="G862">
        <v>12599</v>
      </c>
      <c r="H862" t="s">
        <v>27</v>
      </c>
      <c r="I862" t="s">
        <v>20</v>
      </c>
      <c r="J862" t="s">
        <v>53</v>
      </c>
    </row>
    <row r="863" spans="1:10" x14ac:dyDescent="0.25">
      <c r="A863" t="s">
        <v>900</v>
      </c>
      <c r="B863" s="1">
        <v>45853</v>
      </c>
      <c r="C863" t="s">
        <v>17</v>
      </c>
      <c r="D863" t="s">
        <v>18</v>
      </c>
      <c r="E863">
        <v>7913</v>
      </c>
      <c r="F863">
        <v>2999</v>
      </c>
      <c r="G863">
        <v>4914</v>
      </c>
      <c r="H863" t="s">
        <v>19</v>
      </c>
      <c r="I863" t="s">
        <v>60</v>
      </c>
      <c r="J863" t="s">
        <v>53</v>
      </c>
    </row>
    <row r="864" spans="1:10" x14ac:dyDescent="0.25">
      <c r="A864" t="s">
        <v>901</v>
      </c>
      <c r="B864" s="1">
        <v>45888</v>
      </c>
      <c r="C864" t="s">
        <v>26</v>
      </c>
      <c r="D864" t="s">
        <v>18</v>
      </c>
      <c r="E864">
        <v>16353</v>
      </c>
      <c r="F864">
        <v>4248</v>
      </c>
      <c r="G864">
        <v>12105</v>
      </c>
      <c r="H864" t="s">
        <v>19</v>
      </c>
      <c r="I864" t="s">
        <v>60</v>
      </c>
      <c r="J864" t="s">
        <v>53</v>
      </c>
    </row>
    <row r="865" spans="1:10" x14ac:dyDescent="0.25">
      <c r="A865" t="s">
        <v>902</v>
      </c>
      <c r="B865" s="1">
        <v>45474</v>
      </c>
      <c r="C865" t="s">
        <v>22</v>
      </c>
      <c r="D865" t="s">
        <v>12</v>
      </c>
      <c r="E865">
        <v>32675</v>
      </c>
      <c r="F865">
        <v>29699</v>
      </c>
      <c r="G865">
        <v>2976</v>
      </c>
      <c r="H865" t="s">
        <v>27</v>
      </c>
      <c r="I865" t="s">
        <v>14</v>
      </c>
      <c r="J865" t="s">
        <v>42</v>
      </c>
    </row>
    <row r="866" spans="1:10" x14ac:dyDescent="0.25">
      <c r="A866" t="s">
        <v>903</v>
      </c>
      <c r="B866" s="1">
        <v>45352</v>
      </c>
      <c r="C866" t="s">
        <v>17</v>
      </c>
      <c r="D866" t="s">
        <v>18</v>
      </c>
      <c r="E866">
        <v>48024</v>
      </c>
      <c r="F866">
        <v>38283</v>
      </c>
      <c r="G866">
        <v>9741</v>
      </c>
      <c r="H866" t="s">
        <v>19</v>
      </c>
      <c r="I866" t="s">
        <v>28</v>
      </c>
      <c r="J866" t="s">
        <v>53</v>
      </c>
    </row>
    <row r="867" spans="1:10" x14ac:dyDescent="0.25">
      <c r="A867" t="s">
        <v>904</v>
      </c>
      <c r="B867" s="1">
        <v>45567</v>
      </c>
      <c r="C867" t="s">
        <v>22</v>
      </c>
      <c r="D867" t="s">
        <v>18</v>
      </c>
      <c r="E867">
        <v>9261</v>
      </c>
      <c r="F867">
        <v>4417</v>
      </c>
      <c r="G867">
        <v>4844</v>
      </c>
      <c r="H867" t="s">
        <v>13</v>
      </c>
      <c r="I867" t="s">
        <v>60</v>
      </c>
      <c r="J867" t="s">
        <v>53</v>
      </c>
    </row>
    <row r="868" spans="1:10" x14ac:dyDescent="0.25">
      <c r="A868" t="s">
        <v>905</v>
      </c>
      <c r="B868" s="1">
        <v>45502</v>
      </c>
      <c r="C868" t="s">
        <v>26</v>
      </c>
      <c r="D868" t="s">
        <v>12</v>
      </c>
      <c r="E868">
        <v>6744</v>
      </c>
      <c r="F868">
        <v>1531</v>
      </c>
      <c r="G868">
        <v>5213</v>
      </c>
      <c r="H868" t="s">
        <v>13</v>
      </c>
      <c r="I868" t="s">
        <v>63</v>
      </c>
      <c r="J868" t="s">
        <v>42</v>
      </c>
    </row>
    <row r="869" spans="1:10" x14ac:dyDescent="0.25">
      <c r="A869" t="s">
        <v>906</v>
      </c>
      <c r="B869" s="1">
        <v>45599</v>
      </c>
      <c r="C869" t="s">
        <v>44</v>
      </c>
      <c r="D869" t="s">
        <v>33</v>
      </c>
      <c r="E869">
        <v>33407</v>
      </c>
      <c r="F869">
        <v>18769</v>
      </c>
      <c r="G869">
        <v>14638</v>
      </c>
      <c r="H869" t="s">
        <v>38</v>
      </c>
      <c r="I869" t="s">
        <v>63</v>
      </c>
      <c r="J869" t="s">
        <v>42</v>
      </c>
    </row>
    <row r="870" spans="1:10" x14ac:dyDescent="0.25">
      <c r="A870" t="s">
        <v>907</v>
      </c>
      <c r="B870" s="1">
        <v>45598</v>
      </c>
      <c r="C870" t="s">
        <v>26</v>
      </c>
      <c r="D870" t="s">
        <v>41</v>
      </c>
      <c r="E870">
        <v>16685</v>
      </c>
      <c r="F870">
        <v>14988</v>
      </c>
      <c r="G870">
        <v>1697</v>
      </c>
      <c r="H870" t="s">
        <v>38</v>
      </c>
      <c r="I870" t="s">
        <v>34</v>
      </c>
      <c r="J870" t="s">
        <v>15</v>
      </c>
    </row>
    <row r="871" spans="1:10" x14ac:dyDescent="0.25">
      <c r="A871" t="s">
        <v>908</v>
      </c>
      <c r="B871" s="1">
        <v>45282</v>
      </c>
      <c r="C871" t="s">
        <v>17</v>
      </c>
      <c r="D871" t="s">
        <v>12</v>
      </c>
      <c r="E871">
        <v>16620</v>
      </c>
      <c r="F871">
        <v>608</v>
      </c>
      <c r="G871">
        <v>16012</v>
      </c>
      <c r="H871" t="s">
        <v>38</v>
      </c>
      <c r="I871" t="s">
        <v>31</v>
      </c>
      <c r="J871" t="s">
        <v>29</v>
      </c>
    </row>
    <row r="872" spans="1:10" x14ac:dyDescent="0.25">
      <c r="A872" t="s">
        <v>909</v>
      </c>
      <c r="B872" s="1">
        <v>45368</v>
      </c>
      <c r="C872" t="s">
        <v>44</v>
      </c>
      <c r="D872" t="s">
        <v>12</v>
      </c>
      <c r="E872">
        <v>20186</v>
      </c>
      <c r="F872">
        <v>15668</v>
      </c>
      <c r="G872">
        <v>4518</v>
      </c>
      <c r="H872" t="s">
        <v>27</v>
      </c>
      <c r="I872" t="s">
        <v>31</v>
      </c>
      <c r="J872" t="s">
        <v>42</v>
      </c>
    </row>
    <row r="873" spans="1:10" x14ac:dyDescent="0.25">
      <c r="A873" t="s">
        <v>910</v>
      </c>
      <c r="B873" s="1">
        <v>45578</v>
      </c>
      <c r="C873" t="s">
        <v>44</v>
      </c>
      <c r="D873" t="s">
        <v>41</v>
      </c>
      <c r="E873">
        <v>39412</v>
      </c>
      <c r="F873">
        <v>19428</v>
      </c>
      <c r="G873">
        <v>19984</v>
      </c>
      <c r="H873" t="s">
        <v>38</v>
      </c>
      <c r="I873" t="s">
        <v>23</v>
      </c>
      <c r="J873" t="s">
        <v>15</v>
      </c>
    </row>
    <row r="874" spans="1:10" x14ac:dyDescent="0.25">
      <c r="A874" t="s">
        <v>911</v>
      </c>
      <c r="B874" s="1">
        <v>45739</v>
      </c>
      <c r="C874" t="s">
        <v>22</v>
      </c>
      <c r="D874" t="s">
        <v>18</v>
      </c>
      <c r="E874">
        <v>32451</v>
      </c>
      <c r="F874">
        <v>28040</v>
      </c>
      <c r="G874">
        <v>4411</v>
      </c>
      <c r="H874" t="s">
        <v>38</v>
      </c>
      <c r="I874" t="s">
        <v>45</v>
      </c>
      <c r="J874" t="s">
        <v>24</v>
      </c>
    </row>
    <row r="875" spans="1:10" x14ac:dyDescent="0.25">
      <c r="A875" t="s">
        <v>912</v>
      </c>
      <c r="B875" s="1">
        <v>45694</v>
      </c>
      <c r="C875" t="s">
        <v>22</v>
      </c>
      <c r="D875" t="s">
        <v>41</v>
      </c>
      <c r="E875">
        <v>23642</v>
      </c>
      <c r="F875">
        <v>5347</v>
      </c>
      <c r="G875">
        <v>18295</v>
      </c>
      <c r="H875" t="s">
        <v>27</v>
      </c>
      <c r="I875" t="s">
        <v>20</v>
      </c>
      <c r="J875" t="s">
        <v>15</v>
      </c>
    </row>
    <row r="876" spans="1:10" x14ac:dyDescent="0.25">
      <c r="A876" t="s">
        <v>913</v>
      </c>
      <c r="B876" s="1">
        <v>45931</v>
      </c>
      <c r="C876" t="s">
        <v>11</v>
      </c>
      <c r="D876" t="s">
        <v>18</v>
      </c>
      <c r="E876">
        <v>41677</v>
      </c>
      <c r="F876">
        <v>34246</v>
      </c>
      <c r="G876">
        <v>7431</v>
      </c>
      <c r="H876" t="s">
        <v>19</v>
      </c>
      <c r="I876" t="s">
        <v>63</v>
      </c>
      <c r="J876" t="s">
        <v>24</v>
      </c>
    </row>
    <row r="877" spans="1:10" x14ac:dyDescent="0.25">
      <c r="A877" t="s">
        <v>914</v>
      </c>
      <c r="B877" s="1">
        <v>45789</v>
      </c>
      <c r="C877" t="s">
        <v>11</v>
      </c>
      <c r="D877" t="s">
        <v>36</v>
      </c>
      <c r="E877">
        <v>36343</v>
      </c>
      <c r="F877">
        <v>29464</v>
      </c>
      <c r="G877">
        <v>6879</v>
      </c>
      <c r="H877" t="s">
        <v>13</v>
      </c>
      <c r="I877" t="s">
        <v>78</v>
      </c>
      <c r="J877" t="s">
        <v>53</v>
      </c>
    </row>
    <row r="878" spans="1:10" x14ac:dyDescent="0.25">
      <c r="A878" t="s">
        <v>915</v>
      </c>
      <c r="B878" s="1">
        <v>45157</v>
      </c>
      <c r="C878" t="s">
        <v>26</v>
      </c>
      <c r="D878" t="s">
        <v>18</v>
      </c>
      <c r="E878">
        <v>5952</v>
      </c>
      <c r="F878">
        <v>1115</v>
      </c>
      <c r="G878">
        <v>4837</v>
      </c>
      <c r="H878" t="s">
        <v>19</v>
      </c>
      <c r="I878" t="s">
        <v>45</v>
      </c>
      <c r="J878" t="s">
        <v>42</v>
      </c>
    </row>
    <row r="879" spans="1:10" x14ac:dyDescent="0.25">
      <c r="A879" t="s">
        <v>916</v>
      </c>
      <c r="B879" s="1">
        <v>45910</v>
      </c>
      <c r="C879" t="s">
        <v>26</v>
      </c>
      <c r="D879" t="s">
        <v>41</v>
      </c>
      <c r="E879">
        <v>34942</v>
      </c>
      <c r="F879">
        <v>29696</v>
      </c>
      <c r="G879">
        <v>5246</v>
      </c>
      <c r="H879" t="s">
        <v>19</v>
      </c>
      <c r="I879" t="s">
        <v>78</v>
      </c>
      <c r="J879" t="s">
        <v>24</v>
      </c>
    </row>
    <row r="880" spans="1:10" x14ac:dyDescent="0.25">
      <c r="A880" t="s">
        <v>917</v>
      </c>
      <c r="B880" s="1">
        <v>45128</v>
      </c>
      <c r="C880" t="s">
        <v>11</v>
      </c>
      <c r="D880" t="s">
        <v>18</v>
      </c>
      <c r="E880">
        <v>18005</v>
      </c>
      <c r="F880">
        <v>4097</v>
      </c>
      <c r="G880">
        <v>13908</v>
      </c>
      <c r="H880" t="s">
        <v>13</v>
      </c>
      <c r="I880" t="s">
        <v>23</v>
      </c>
      <c r="J880" t="s">
        <v>24</v>
      </c>
    </row>
    <row r="881" spans="1:10" x14ac:dyDescent="0.25">
      <c r="A881" t="s">
        <v>918</v>
      </c>
      <c r="B881" s="1">
        <v>46057</v>
      </c>
      <c r="C881" t="s">
        <v>11</v>
      </c>
      <c r="D881" t="s">
        <v>12</v>
      </c>
      <c r="E881">
        <v>10476</v>
      </c>
      <c r="F881">
        <v>8508</v>
      </c>
      <c r="G881">
        <v>1968</v>
      </c>
      <c r="H881" t="s">
        <v>27</v>
      </c>
      <c r="I881" t="s">
        <v>60</v>
      </c>
      <c r="J881" t="s">
        <v>42</v>
      </c>
    </row>
    <row r="882" spans="1:10" x14ac:dyDescent="0.25">
      <c r="A882" t="s">
        <v>919</v>
      </c>
      <c r="B882" s="1">
        <v>46127</v>
      </c>
      <c r="C882" t="s">
        <v>17</v>
      </c>
      <c r="D882" t="s">
        <v>12</v>
      </c>
      <c r="E882">
        <v>36680</v>
      </c>
      <c r="F882">
        <v>33000</v>
      </c>
      <c r="G882">
        <v>3680</v>
      </c>
      <c r="H882" t="s">
        <v>13</v>
      </c>
      <c r="I882" t="s">
        <v>14</v>
      </c>
      <c r="J882" t="s">
        <v>15</v>
      </c>
    </row>
    <row r="883" spans="1:10" x14ac:dyDescent="0.25">
      <c r="A883" t="s">
        <v>920</v>
      </c>
      <c r="B883" s="1">
        <v>45806</v>
      </c>
      <c r="C883" t="s">
        <v>26</v>
      </c>
      <c r="D883" t="s">
        <v>33</v>
      </c>
      <c r="E883">
        <v>28667</v>
      </c>
      <c r="F883">
        <v>10861</v>
      </c>
      <c r="G883">
        <v>17806</v>
      </c>
      <c r="H883" t="s">
        <v>38</v>
      </c>
      <c r="I883" t="s">
        <v>63</v>
      </c>
      <c r="J883" t="s">
        <v>53</v>
      </c>
    </row>
    <row r="884" spans="1:10" x14ac:dyDescent="0.25">
      <c r="A884" t="s">
        <v>921</v>
      </c>
      <c r="B884" s="1">
        <v>46194</v>
      </c>
      <c r="C884" t="s">
        <v>44</v>
      </c>
      <c r="D884" t="s">
        <v>36</v>
      </c>
      <c r="E884">
        <v>35866</v>
      </c>
      <c r="F884">
        <v>21226</v>
      </c>
      <c r="G884">
        <v>14640</v>
      </c>
      <c r="H884" t="s">
        <v>13</v>
      </c>
      <c r="I884" t="s">
        <v>34</v>
      </c>
      <c r="J884" t="s">
        <v>15</v>
      </c>
    </row>
    <row r="885" spans="1:10" x14ac:dyDescent="0.25">
      <c r="A885" t="s">
        <v>922</v>
      </c>
      <c r="B885" s="1">
        <v>45703</v>
      </c>
      <c r="C885" t="s">
        <v>22</v>
      </c>
      <c r="D885" t="s">
        <v>41</v>
      </c>
      <c r="E885">
        <v>7409</v>
      </c>
      <c r="F885">
        <v>3794</v>
      </c>
      <c r="G885">
        <v>3615</v>
      </c>
      <c r="H885" t="s">
        <v>19</v>
      </c>
      <c r="I885" t="s">
        <v>23</v>
      </c>
      <c r="J885" t="s">
        <v>42</v>
      </c>
    </row>
    <row r="886" spans="1:10" x14ac:dyDescent="0.25">
      <c r="A886" t="s">
        <v>923</v>
      </c>
      <c r="B886" s="1">
        <v>45546</v>
      </c>
      <c r="C886" t="s">
        <v>22</v>
      </c>
      <c r="D886" t="s">
        <v>33</v>
      </c>
      <c r="E886">
        <v>24249</v>
      </c>
      <c r="F886">
        <v>17755</v>
      </c>
      <c r="G886">
        <v>6494</v>
      </c>
      <c r="H886" t="s">
        <v>13</v>
      </c>
      <c r="I886" t="s">
        <v>23</v>
      </c>
      <c r="J886" t="s">
        <v>53</v>
      </c>
    </row>
    <row r="887" spans="1:10" x14ac:dyDescent="0.25">
      <c r="A887" t="s">
        <v>924</v>
      </c>
      <c r="B887" s="1">
        <v>45655</v>
      </c>
      <c r="C887" t="s">
        <v>22</v>
      </c>
      <c r="D887" t="s">
        <v>33</v>
      </c>
      <c r="E887">
        <v>19220</v>
      </c>
      <c r="F887">
        <v>812</v>
      </c>
      <c r="G887">
        <v>18408</v>
      </c>
      <c r="H887" t="s">
        <v>19</v>
      </c>
      <c r="I887" t="s">
        <v>14</v>
      </c>
      <c r="J887" t="s">
        <v>53</v>
      </c>
    </row>
    <row r="888" spans="1:10" x14ac:dyDescent="0.25">
      <c r="A888" t="s">
        <v>925</v>
      </c>
      <c r="B888" s="1">
        <v>45519</v>
      </c>
      <c r="C888" t="s">
        <v>11</v>
      </c>
      <c r="D888" t="s">
        <v>33</v>
      </c>
      <c r="E888">
        <v>6630</v>
      </c>
      <c r="F888">
        <v>15</v>
      </c>
      <c r="G888">
        <v>6615</v>
      </c>
      <c r="H888" t="s">
        <v>27</v>
      </c>
      <c r="I888" t="s">
        <v>31</v>
      </c>
      <c r="J888" t="s">
        <v>29</v>
      </c>
    </row>
    <row r="889" spans="1:10" x14ac:dyDescent="0.25">
      <c r="A889" t="s">
        <v>926</v>
      </c>
      <c r="B889" s="1">
        <v>45122</v>
      </c>
      <c r="C889" t="s">
        <v>11</v>
      </c>
      <c r="D889" t="s">
        <v>36</v>
      </c>
      <c r="E889">
        <v>14497</v>
      </c>
      <c r="F889">
        <v>4114</v>
      </c>
      <c r="G889">
        <v>10383</v>
      </c>
      <c r="H889" t="s">
        <v>38</v>
      </c>
      <c r="I889" t="s">
        <v>60</v>
      </c>
      <c r="J889" t="s">
        <v>15</v>
      </c>
    </row>
    <row r="890" spans="1:10" x14ac:dyDescent="0.25">
      <c r="A890" t="s">
        <v>927</v>
      </c>
      <c r="B890" s="1">
        <v>45905</v>
      </c>
      <c r="C890" t="s">
        <v>44</v>
      </c>
      <c r="D890" t="s">
        <v>33</v>
      </c>
      <c r="E890">
        <v>13995</v>
      </c>
      <c r="F890">
        <v>827</v>
      </c>
      <c r="G890">
        <v>13168</v>
      </c>
      <c r="H890" t="s">
        <v>27</v>
      </c>
      <c r="I890" t="s">
        <v>63</v>
      </c>
      <c r="J890" t="s">
        <v>53</v>
      </c>
    </row>
    <row r="891" spans="1:10" x14ac:dyDescent="0.25">
      <c r="A891" t="s">
        <v>928</v>
      </c>
      <c r="B891" s="1">
        <v>45329</v>
      </c>
      <c r="C891" t="s">
        <v>22</v>
      </c>
      <c r="D891" t="s">
        <v>36</v>
      </c>
      <c r="E891">
        <v>20261</v>
      </c>
      <c r="F891">
        <v>10753</v>
      </c>
      <c r="G891">
        <v>9508</v>
      </c>
      <c r="H891" t="s">
        <v>13</v>
      </c>
      <c r="I891" t="s">
        <v>31</v>
      </c>
      <c r="J891" t="s">
        <v>15</v>
      </c>
    </row>
    <row r="892" spans="1:10" x14ac:dyDescent="0.25">
      <c r="A892" t="s">
        <v>929</v>
      </c>
      <c r="B892" s="1">
        <v>45359</v>
      </c>
      <c r="C892" t="s">
        <v>11</v>
      </c>
      <c r="D892" t="s">
        <v>41</v>
      </c>
      <c r="E892">
        <v>36688</v>
      </c>
      <c r="F892">
        <v>17283</v>
      </c>
      <c r="G892">
        <v>19405</v>
      </c>
      <c r="H892" t="s">
        <v>38</v>
      </c>
      <c r="I892" t="s">
        <v>28</v>
      </c>
      <c r="J892" t="s">
        <v>53</v>
      </c>
    </row>
    <row r="893" spans="1:10" x14ac:dyDescent="0.25">
      <c r="A893" t="s">
        <v>930</v>
      </c>
      <c r="B893" s="1">
        <v>45735</v>
      </c>
      <c r="C893" t="s">
        <v>22</v>
      </c>
      <c r="D893" t="s">
        <v>33</v>
      </c>
      <c r="E893">
        <v>19207</v>
      </c>
      <c r="F893">
        <v>1609</v>
      </c>
      <c r="G893">
        <v>17598</v>
      </c>
      <c r="H893" t="s">
        <v>13</v>
      </c>
      <c r="I893" t="s">
        <v>23</v>
      </c>
      <c r="J893" t="s">
        <v>15</v>
      </c>
    </row>
    <row r="894" spans="1:10" x14ac:dyDescent="0.25">
      <c r="A894" t="s">
        <v>931</v>
      </c>
      <c r="B894" s="1">
        <v>46102</v>
      </c>
      <c r="C894" t="s">
        <v>17</v>
      </c>
      <c r="D894" t="s">
        <v>41</v>
      </c>
      <c r="E894">
        <v>45438</v>
      </c>
      <c r="F894">
        <v>40726</v>
      </c>
      <c r="G894">
        <v>4712</v>
      </c>
      <c r="H894" t="s">
        <v>38</v>
      </c>
      <c r="I894" t="s">
        <v>31</v>
      </c>
      <c r="J894" t="s">
        <v>29</v>
      </c>
    </row>
    <row r="895" spans="1:10" x14ac:dyDescent="0.25">
      <c r="A895" t="s">
        <v>932</v>
      </c>
      <c r="B895" s="1">
        <v>45527</v>
      </c>
      <c r="C895" t="s">
        <v>17</v>
      </c>
      <c r="D895" t="s">
        <v>18</v>
      </c>
      <c r="E895">
        <v>24170</v>
      </c>
      <c r="F895">
        <v>6502</v>
      </c>
      <c r="G895">
        <v>17668</v>
      </c>
      <c r="H895" t="s">
        <v>13</v>
      </c>
      <c r="I895" t="s">
        <v>28</v>
      </c>
      <c r="J895" t="s">
        <v>24</v>
      </c>
    </row>
    <row r="896" spans="1:10" x14ac:dyDescent="0.25">
      <c r="A896" t="s">
        <v>933</v>
      </c>
      <c r="B896" s="1">
        <v>45378</v>
      </c>
      <c r="C896" t="s">
        <v>22</v>
      </c>
      <c r="D896" t="s">
        <v>33</v>
      </c>
      <c r="E896">
        <v>16265</v>
      </c>
      <c r="F896">
        <v>617</v>
      </c>
      <c r="G896">
        <v>15648</v>
      </c>
      <c r="H896" t="s">
        <v>27</v>
      </c>
      <c r="I896" t="s">
        <v>34</v>
      </c>
      <c r="J896" t="s">
        <v>29</v>
      </c>
    </row>
    <row r="897" spans="1:10" x14ac:dyDescent="0.25">
      <c r="A897" t="s">
        <v>934</v>
      </c>
      <c r="B897" s="1">
        <v>45621</v>
      </c>
      <c r="C897" t="s">
        <v>17</v>
      </c>
      <c r="D897" t="s">
        <v>12</v>
      </c>
      <c r="E897">
        <v>19412</v>
      </c>
      <c r="F897">
        <v>543</v>
      </c>
      <c r="G897">
        <v>18869</v>
      </c>
      <c r="H897" t="s">
        <v>13</v>
      </c>
      <c r="I897" t="s">
        <v>28</v>
      </c>
      <c r="J897" t="s">
        <v>53</v>
      </c>
    </row>
    <row r="898" spans="1:10" x14ac:dyDescent="0.25">
      <c r="A898" t="s">
        <v>935</v>
      </c>
      <c r="B898" s="1">
        <v>46195</v>
      </c>
      <c r="C898" t="s">
        <v>17</v>
      </c>
      <c r="D898" t="s">
        <v>36</v>
      </c>
      <c r="E898">
        <v>45362</v>
      </c>
      <c r="F898">
        <v>26138</v>
      </c>
      <c r="G898">
        <v>19224</v>
      </c>
      <c r="H898" t="s">
        <v>38</v>
      </c>
      <c r="I898" t="s">
        <v>78</v>
      </c>
      <c r="J898" t="s">
        <v>24</v>
      </c>
    </row>
    <row r="899" spans="1:10" x14ac:dyDescent="0.25">
      <c r="A899" t="s">
        <v>936</v>
      </c>
      <c r="B899" s="1">
        <v>45935</v>
      </c>
      <c r="C899" t="s">
        <v>22</v>
      </c>
      <c r="D899" t="s">
        <v>36</v>
      </c>
      <c r="E899">
        <v>45621</v>
      </c>
      <c r="F899">
        <v>27486</v>
      </c>
      <c r="G899">
        <v>18135</v>
      </c>
      <c r="H899" t="s">
        <v>19</v>
      </c>
      <c r="I899" t="s">
        <v>31</v>
      </c>
      <c r="J899" t="s">
        <v>53</v>
      </c>
    </row>
    <row r="900" spans="1:10" x14ac:dyDescent="0.25">
      <c r="A900" t="s">
        <v>937</v>
      </c>
      <c r="B900" s="1">
        <v>45624</v>
      </c>
      <c r="C900" t="s">
        <v>17</v>
      </c>
      <c r="D900" t="s">
        <v>36</v>
      </c>
      <c r="E900">
        <v>42876</v>
      </c>
      <c r="F900">
        <v>34791</v>
      </c>
      <c r="G900">
        <v>8085</v>
      </c>
      <c r="H900" t="s">
        <v>19</v>
      </c>
      <c r="I900" t="s">
        <v>14</v>
      </c>
      <c r="J900" t="s">
        <v>29</v>
      </c>
    </row>
    <row r="901" spans="1:10" x14ac:dyDescent="0.25">
      <c r="A901" t="s">
        <v>938</v>
      </c>
      <c r="B901" s="1">
        <v>46170</v>
      </c>
      <c r="C901" t="s">
        <v>17</v>
      </c>
      <c r="D901" t="s">
        <v>12</v>
      </c>
      <c r="E901">
        <v>43229</v>
      </c>
      <c r="F901">
        <v>25519</v>
      </c>
      <c r="G901">
        <v>17710</v>
      </c>
      <c r="H901" t="s">
        <v>19</v>
      </c>
      <c r="I901" t="s">
        <v>63</v>
      </c>
      <c r="J901" t="s">
        <v>29</v>
      </c>
    </row>
    <row r="902" spans="1:10" x14ac:dyDescent="0.25">
      <c r="A902" t="s">
        <v>939</v>
      </c>
      <c r="B902" s="1">
        <v>46110</v>
      </c>
      <c r="C902" t="s">
        <v>17</v>
      </c>
      <c r="D902" t="s">
        <v>33</v>
      </c>
      <c r="E902">
        <v>33945</v>
      </c>
      <c r="F902">
        <v>21474</v>
      </c>
      <c r="G902">
        <v>12471</v>
      </c>
      <c r="H902" t="s">
        <v>38</v>
      </c>
      <c r="I902" t="s">
        <v>23</v>
      </c>
      <c r="J902" t="s">
        <v>29</v>
      </c>
    </row>
    <row r="903" spans="1:10" x14ac:dyDescent="0.25">
      <c r="A903" t="s">
        <v>940</v>
      </c>
      <c r="B903" s="1">
        <v>46099</v>
      </c>
      <c r="C903" t="s">
        <v>11</v>
      </c>
      <c r="D903" t="s">
        <v>41</v>
      </c>
      <c r="E903">
        <v>8072</v>
      </c>
      <c r="F903">
        <v>6797</v>
      </c>
      <c r="G903">
        <v>1275</v>
      </c>
      <c r="H903" t="s">
        <v>19</v>
      </c>
      <c r="I903" t="s">
        <v>60</v>
      </c>
      <c r="J903" t="s">
        <v>29</v>
      </c>
    </row>
    <row r="904" spans="1:10" x14ac:dyDescent="0.25">
      <c r="A904" t="s">
        <v>941</v>
      </c>
      <c r="B904" s="1">
        <v>45612</v>
      </c>
      <c r="C904" t="s">
        <v>22</v>
      </c>
      <c r="D904" t="s">
        <v>18</v>
      </c>
      <c r="E904">
        <v>32531</v>
      </c>
      <c r="F904">
        <v>15990</v>
      </c>
      <c r="G904">
        <v>16541</v>
      </c>
      <c r="H904" t="s">
        <v>13</v>
      </c>
      <c r="I904" t="s">
        <v>20</v>
      </c>
      <c r="J904" t="s">
        <v>24</v>
      </c>
    </row>
    <row r="905" spans="1:10" x14ac:dyDescent="0.25">
      <c r="A905" t="s">
        <v>942</v>
      </c>
      <c r="B905" s="1">
        <v>45253</v>
      </c>
      <c r="C905" t="s">
        <v>17</v>
      </c>
      <c r="D905" t="s">
        <v>18</v>
      </c>
      <c r="E905">
        <v>41101</v>
      </c>
      <c r="F905">
        <v>33225</v>
      </c>
      <c r="G905">
        <v>7876</v>
      </c>
      <c r="H905" t="s">
        <v>38</v>
      </c>
      <c r="I905" t="s">
        <v>31</v>
      </c>
      <c r="J905" t="s">
        <v>29</v>
      </c>
    </row>
    <row r="906" spans="1:10" x14ac:dyDescent="0.25">
      <c r="A906" t="s">
        <v>943</v>
      </c>
      <c r="B906" s="1">
        <v>45158</v>
      </c>
      <c r="C906" t="s">
        <v>11</v>
      </c>
      <c r="D906" t="s">
        <v>33</v>
      </c>
      <c r="E906">
        <v>19817</v>
      </c>
      <c r="F906">
        <v>14517</v>
      </c>
      <c r="G906">
        <v>5300</v>
      </c>
      <c r="H906" t="s">
        <v>27</v>
      </c>
      <c r="I906" t="s">
        <v>23</v>
      </c>
      <c r="J906" t="s">
        <v>24</v>
      </c>
    </row>
    <row r="907" spans="1:10" x14ac:dyDescent="0.25">
      <c r="A907" t="s">
        <v>944</v>
      </c>
      <c r="B907" s="1">
        <v>45515</v>
      </c>
      <c r="C907" t="s">
        <v>26</v>
      </c>
      <c r="D907" t="s">
        <v>33</v>
      </c>
      <c r="E907">
        <v>42608</v>
      </c>
      <c r="F907">
        <v>24445</v>
      </c>
      <c r="G907">
        <v>18163</v>
      </c>
      <c r="H907" t="s">
        <v>19</v>
      </c>
      <c r="I907" t="s">
        <v>20</v>
      </c>
      <c r="J907" t="s">
        <v>15</v>
      </c>
    </row>
    <row r="908" spans="1:10" x14ac:dyDescent="0.25">
      <c r="A908" t="s">
        <v>945</v>
      </c>
      <c r="B908" s="1">
        <v>45974</v>
      </c>
      <c r="C908" t="s">
        <v>22</v>
      </c>
      <c r="D908" t="s">
        <v>41</v>
      </c>
      <c r="E908">
        <v>28179</v>
      </c>
      <c r="F908">
        <v>19697</v>
      </c>
      <c r="G908">
        <v>8482</v>
      </c>
      <c r="H908" t="s">
        <v>19</v>
      </c>
      <c r="I908" t="s">
        <v>45</v>
      </c>
      <c r="J908" t="s">
        <v>15</v>
      </c>
    </row>
    <row r="909" spans="1:10" x14ac:dyDescent="0.25">
      <c r="A909" t="s">
        <v>946</v>
      </c>
      <c r="B909" s="1">
        <v>45202</v>
      </c>
      <c r="C909" t="s">
        <v>22</v>
      </c>
      <c r="D909" t="s">
        <v>12</v>
      </c>
      <c r="E909">
        <v>34580</v>
      </c>
      <c r="F909">
        <v>32894</v>
      </c>
      <c r="G909">
        <v>1686</v>
      </c>
      <c r="H909" t="s">
        <v>38</v>
      </c>
      <c r="I909" t="s">
        <v>28</v>
      </c>
      <c r="J909" t="s">
        <v>42</v>
      </c>
    </row>
    <row r="910" spans="1:10" x14ac:dyDescent="0.25">
      <c r="A910" t="s">
        <v>947</v>
      </c>
      <c r="B910" s="1">
        <v>45693</v>
      </c>
      <c r="C910" t="s">
        <v>11</v>
      </c>
      <c r="D910" t="s">
        <v>41</v>
      </c>
      <c r="E910">
        <v>7551</v>
      </c>
      <c r="F910">
        <v>2603</v>
      </c>
      <c r="G910">
        <v>4948</v>
      </c>
      <c r="H910" t="s">
        <v>27</v>
      </c>
      <c r="I910" t="s">
        <v>23</v>
      </c>
      <c r="J910" t="s">
        <v>24</v>
      </c>
    </row>
    <row r="911" spans="1:10" x14ac:dyDescent="0.25">
      <c r="A911" t="s">
        <v>948</v>
      </c>
      <c r="B911" s="1">
        <v>46151</v>
      </c>
      <c r="C911" t="s">
        <v>22</v>
      </c>
      <c r="D911" t="s">
        <v>41</v>
      </c>
      <c r="E911">
        <v>33435</v>
      </c>
      <c r="F911">
        <v>27397</v>
      </c>
      <c r="G911">
        <v>6038</v>
      </c>
      <c r="H911" t="s">
        <v>19</v>
      </c>
      <c r="I911" t="s">
        <v>20</v>
      </c>
      <c r="J911" t="s">
        <v>29</v>
      </c>
    </row>
    <row r="912" spans="1:10" x14ac:dyDescent="0.25">
      <c r="A912" t="s">
        <v>949</v>
      </c>
      <c r="B912" s="1">
        <v>45849</v>
      </c>
      <c r="C912" t="s">
        <v>22</v>
      </c>
      <c r="D912" t="s">
        <v>41</v>
      </c>
      <c r="E912">
        <v>39322</v>
      </c>
      <c r="F912">
        <v>28156</v>
      </c>
      <c r="G912">
        <v>11166</v>
      </c>
      <c r="H912" t="s">
        <v>19</v>
      </c>
      <c r="I912" t="s">
        <v>78</v>
      </c>
      <c r="J912" t="s">
        <v>29</v>
      </c>
    </row>
    <row r="913" spans="1:10" x14ac:dyDescent="0.25">
      <c r="A913" t="s">
        <v>950</v>
      </c>
      <c r="B913" s="1">
        <v>46148</v>
      </c>
      <c r="C913" t="s">
        <v>17</v>
      </c>
      <c r="D913" t="s">
        <v>41</v>
      </c>
      <c r="E913">
        <v>49207</v>
      </c>
      <c r="F913">
        <v>36619</v>
      </c>
      <c r="G913">
        <v>12588</v>
      </c>
      <c r="H913" t="s">
        <v>27</v>
      </c>
      <c r="I913" t="s">
        <v>34</v>
      </c>
      <c r="J913" t="s">
        <v>53</v>
      </c>
    </row>
    <row r="914" spans="1:10" x14ac:dyDescent="0.25">
      <c r="A914" t="s">
        <v>951</v>
      </c>
      <c r="B914" s="1">
        <v>45974</v>
      </c>
      <c r="C914" t="s">
        <v>11</v>
      </c>
      <c r="D914" t="s">
        <v>41</v>
      </c>
      <c r="E914">
        <v>27186</v>
      </c>
      <c r="F914">
        <v>8393</v>
      </c>
      <c r="G914">
        <v>18793</v>
      </c>
      <c r="H914" t="s">
        <v>19</v>
      </c>
      <c r="I914" t="s">
        <v>60</v>
      </c>
      <c r="J914" t="s">
        <v>53</v>
      </c>
    </row>
    <row r="915" spans="1:10" x14ac:dyDescent="0.25">
      <c r="A915" t="s">
        <v>952</v>
      </c>
      <c r="B915" s="1">
        <v>45425</v>
      </c>
      <c r="C915" t="s">
        <v>17</v>
      </c>
      <c r="D915" t="s">
        <v>33</v>
      </c>
      <c r="E915">
        <v>34462</v>
      </c>
      <c r="F915">
        <v>29196</v>
      </c>
      <c r="G915">
        <v>5266</v>
      </c>
      <c r="H915" t="s">
        <v>19</v>
      </c>
      <c r="I915" t="s">
        <v>60</v>
      </c>
      <c r="J915" t="s">
        <v>29</v>
      </c>
    </row>
    <row r="916" spans="1:10" x14ac:dyDescent="0.25">
      <c r="A916" t="s">
        <v>953</v>
      </c>
      <c r="B916" s="1">
        <v>46149</v>
      </c>
      <c r="C916" t="s">
        <v>17</v>
      </c>
      <c r="D916" t="s">
        <v>33</v>
      </c>
      <c r="E916">
        <v>17120</v>
      </c>
      <c r="F916">
        <v>11054</v>
      </c>
      <c r="G916">
        <v>6066</v>
      </c>
      <c r="H916" t="s">
        <v>27</v>
      </c>
      <c r="I916" t="s">
        <v>28</v>
      </c>
      <c r="J916" t="s">
        <v>42</v>
      </c>
    </row>
    <row r="917" spans="1:10" x14ac:dyDescent="0.25">
      <c r="A917" t="s">
        <v>954</v>
      </c>
      <c r="B917" s="1">
        <v>45807</v>
      </c>
      <c r="C917" t="s">
        <v>22</v>
      </c>
      <c r="D917" t="s">
        <v>36</v>
      </c>
      <c r="E917">
        <v>37997</v>
      </c>
      <c r="F917">
        <v>34111</v>
      </c>
      <c r="G917">
        <v>3886</v>
      </c>
      <c r="H917" t="s">
        <v>27</v>
      </c>
      <c r="I917" t="s">
        <v>20</v>
      </c>
      <c r="J917" t="s">
        <v>42</v>
      </c>
    </row>
    <row r="918" spans="1:10" x14ac:dyDescent="0.25">
      <c r="A918" t="s">
        <v>955</v>
      </c>
      <c r="B918" s="1">
        <v>45648</v>
      </c>
      <c r="C918" t="s">
        <v>17</v>
      </c>
      <c r="D918" t="s">
        <v>41</v>
      </c>
      <c r="E918">
        <v>38503</v>
      </c>
      <c r="F918">
        <v>22030</v>
      </c>
      <c r="G918">
        <v>16473</v>
      </c>
      <c r="H918" t="s">
        <v>27</v>
      </c>
      <c r="I918" t="s">
        <v>63</v>
      </c>
      <c r="J918" t="s">
        <v>29</v>
      </c>
    </row>
    <row r="919" spans="1:10" x14ac:dyDescent="0.25">
      <c r="A919" t="s">
        <v>956</v>
      </c>
      <c r="B919" s="1">
        <v>45258</v>
      </c>
      <c r="C919" t="s">
        <v>22</v>
      </c>
      <c r="D919" t="s">
        <v>12</v>
      </c>
      <c r="E919">
        <v>11600</v>
      </c>
      <c r="F919">
        <v>7766</v>
      </c>
      <c r="G919">
        <v>3834</v>
      </c>
      <c r="H919" t="s">
        <v>27</v>
      </c>
      <c r="I919" t="s">
        <v>20</v>
      </c>
      <c r="J919" t="s">
        <v>15</v>
      </c>
    </row>
    <row r="920" spans="1:10" x14ac:dyDescent="0.25">
      <c r="A920" t="s">
        <v>957</v>
      </c>
      <c r="B920" s="1">
        <v>45506</v>
      </c>
      <c r="C920" t="s">
        <v>44</v>
      </c>
      <c r="D920" t="s">
        <v>33</v>
      </c>
      <c r="E920">
        <v>8092</v>
      </c>
      <c r="F920">
        <v>3012</v>
      </c>
      <c r="G920">
        <v>5080</v>
      </c>
      <c r="H920" t="s">
        <v>27</v>
      </c>
      <c r="I920" t="s">
        <v>20</v>
      </c>
      <c r="J920" t="s">
        <v>24</v>
      </c>
    </row>
    <row r="921" spans="1:10" x14ac:dyDescent="0.25">
      <c r="A921" t="s">
        <v>958</v>
      </c>
      <c r="B921" s="1">
        <v>45469</v>
      </c>
      <c r="C921" t="s">
        <v>44</v>
      </c>
      <c r="D921" t="s">
        <v>12</v>
      </c>
      <c r="E921">
        <v>8785</v>
      </c>
      <c r="F921">
        <v>4082</v>
      </c>
      <c r="G921">
        <v>4703</v>
      </c>
      <c r="H921" t="s">
        <v>38</v>
      </c>
      <c r="I921" t="s">
        <v>60</v>
      </c>
      <c r="J921" t="s">
        <v>53</v>
      </c>
    </row>
    <row r="922" spans="1:10" x14ac:dyDescent="0.25">
      <c r="A922" t="s">
        <v>959</v>
      </c>
      <c r="B922" s="1">
        <v>46161</v>
      </c>
      <c r="C922" t="s">
        <v>11</v>
      </c>
      <c r="D922" t="s">
        <v>41</v>
      </c>
      <c r="E922">
        <v>39977</v>
      </c>
      <c r="F922">
        <v>23404</v>
      </c>
      <c r="G922">
        <v>16573</v>
      </c>
      <c r="H922" t="s">
        <v>19</v>
      </c>
      <c r="I922" t="s">
        <v>28</v>
      </c>
      <c r="J922" t="s">
        <v>24</v>
      </c>
    </row>
    <row r="923" spans="1:10" x14ac:dyDescent="0.25">
      <c r="A923" t="s">
        <v>960</v>
      </c>
      <c r="B923" s="1">
        <v>46183</v>
      </c>
      <c r="C923" t="s">
        <v>44</v>
      </c>
      <c r="D923" t="s">
        <v>33</v>
      </c>
      <c r="E923">
        <v>42727</v>
      </c>
      <c r="F923">
        <v>42157</v>
      </c>
      <c r="G923">
        <v>570</v>
      </c>
      <c r="H923" t="s">
        <v>13</v>
      </c>
      <c r="I923" t="s">
        <v>60</v>
      </c>
      <c r="J923" t="s">
        <v>42</v>
      </c>
    </row>
    <row r="924" spans="1:10" x14ac:dyDescent="0.25">
      <c r="A924" t="s">
        <v>961</v>
      </c>
      <c r="B924" s="1">
        <v>45901</v>
      </c>
      <c r="C924" t="s">
        <v>26</v>
      </c>
      <c r="D924" t="s">
        <v>18</v>
      </c>
      <c r="E924">
        <v>33073</v>
      </c>
      <c r="F924">
        <v>25664</v>
      </c>
      <c r="G924">
        <v>7409</v>
      </c>
      <c r="H924" t="s">
        <v>19</v>
      </c>
      <c r="I924" t="s">
        <v>31</v>
      </c>
      <c r="J924" t="s">
        <v>53</v>
      </c>
    </row>
    <row r="925" spans="1:10" x14ac:dyDescent="0.25">
      <c r="A925" t="s">
        <v>962</v>
      </c>
      <c r="B925" s="1">
        <v>45508</v>
      </c>
      <c r="C925" t="s">
        <v>17</v>
      </c>
      <c r="D925" t="s">
        <v>12</v>
      </c>
      <c r="E925">
        <v>40372</v>
      </c>
      <c r="F925">
        <v>35787</v>
      </c>
      <c r="G925">
        <v>4585</v>
      </c>
      <c r="H925" t="s">
        <v>27</v>
      </c>
      <c r="I925" t="s">
        <v>34</v>
      </c>
      <c r="J925" t="s">
        <v>29</v>
      </c>
    </row>
    <row r="926" spans="1:10" x14ac:dyDescent="0.25">
      <c r="A926" t="s">
        <v>963</v>
      </c>
      <c r="B926" s="1">
        <v>45504</v>
      </c>
      <c r="C926" t="s">
        <v>26</v>
      </c>
      <c r="D926" t="s">
        <v>33</v>
      </c>
      <c r="E926">
        <v>12736</v>
      </c>
      <c r="F926">
        <v>3148</v>
      </c>
      <c r="G926">
        <v>9588</v>
      </c>
      <c r="H926" t="s">
        <v>13</v>
      </c>
      <c r="I926" t="s">
        <v>45</v>
      </c>
      <c r="J926" t="s">
        <v>29</v>
      </c>
    </row>
    <row r="927" spans="1:10" x14ac:dyDescent="0.25">
      <c r="A927" t="s">
        <v>964</v>
      </c>
      <c r="B927" s="1">
        <v>45662</v>
      </c>
      <c r="C927" t="s">
        <v>11</v>
      </c>
      <c r="D927" t="s">
        <v>36</v>
      </c>
      <c r="E927">
        <v>43926</v>
      </c>
      <c r="F927">
        <v>38261</v>
      </c>
      <c r="G927">
        <v>5665</v>
      </c>
      <c r="H927" t="s">
        <v>13</v>
      </c>
      <c r="I927" t="s">
        <v>28</v>
      </c>
      <c r="J927" t="s">
        <v>42</v>
      </c>
    </row>
    <row r="928" spans="1:10" x14ac:dyDescent="0.25">
      <c r="A928" t="s">
        <v>965</v>
      </c>
      <c r="B928" s="1">
        <v>45812</v>
      </c>
      <c r="C928" t="s">
        <v>26</v>
      </c>
      <c r="D928" t="s">
        <v>12</v>
      </c>
      <c r="E928">
        <v>7228</v>
      </c>
      <c r="F928">
        <v>2949</v>
      </c>
      <c r="G928">
        <v>4279</v>
      </c>
      <c r="H928" t="s">
        <v>13</v>
      </c>
      <c r="I928" t="s">
        <v>63</v>
      </c>
      <c r="J928" t="s">
        <v>24</v>
      </c>
    </row>
    <row r="929" spans="1:10" x14ac:dyDescent="0.25">
      <c r="A929" t="s">
        <v>966</v>
      </c>
      <c r="B929" s="1">
        <v>45639</v>
      </c>
      <c r="C929" t="s">
        <v>22</v>
      </c>
      <c r="D929" t="s">
        <v>33</v>
      </c>
      <c r="E929">
        <v>39522</v>
      </c>
      <c r="F929">
        <v>21232</v>
      </c>
      <c r="G929">
        <v>18290</v>
      </c>
      <c r="H929" t="s">
        <v>27</v>
      </c>
      <c r="I929" t="s">
        <v>28</v>
      </c>
      <c r="J929" t="s">
        <v>15</v>
      </c>
    </row>
    <row r="930" spans="1:10" x14ac:dyDescent="0.25">
      <c r="A930" t="s">
        <v>967</v>
      </c>
      <c r="B930" s="1">
        <v>45951</v>
      </c>
      <c r="C930" t="s">
        <v>22</v>
      </c>
      <c r="D930" t="s">
        <v>18</v>
      </c>
      <c r="E930">
        <v>34135</v>
      </c>
      <c r="F930">
        <v>28355</v>
      </c>
      <c r="G930">
        <v>5780</v>
      </c>
      <c r="H930" t="s">
        <v>27</v>
      </c>
      <c r="I930" t="s">
        <v>60</v>
      </c>
      <c r="J930" t="s">
        <v>29</v>
      </c>
    </row>
    <row r="931" spans="1:10" x14ac:dyDescent="0.25">
      <c r="A931" t="s">
        <v>968</v>
      </c>
      <c r="B931" s="1">
        <v>45314</v>
      </c>
      <c r="C931" t="s">
        <v>22</v>
      </c>
      <c r="D931" t="s">
        <v>41</v>
      </c>
      <c r="E931">
        <v>28703</v>
      </c>
      <c r="F931">
        <v>9181</v>
      </c>
      <c r="G931">
        <v>19522</v>
      </c>
      <c r="H931" t="s">
        <v>38</v>
      </c>
      <c r="I931" t="s">
        <v>31</v>
      </c>
      <c r="J931" t="s">
        <v>15</v>
      </c>
    </row>
    <row r="932" spans="1:10" x14ac:dyDescent="0.25">
      <c r="A932" t="s">
        <v>969</v>
      </c>
      <c r="B932" s="1">
        <v>46097</v>
      </c>
      <c r="C932" t="s">
        <v>11</v>
      </c>
      <c r="D932" t="s">
        <v>41</v>
      </c>
      <c r="E932">
        <v>27017</v>
      </c>
      <c r="F932">
        <v>9205</v>
      </c>
      <c r="G932">
        <v>17812</v>
      </c>
      <c r="H932" t="s">
        <v>19</v>
      </c>
      <c r="I932" t="s">
        <v>34</v>
      </c>
      <c r="J932" t="s">
        <v>42</v>
      </c>
    </row>
    <row r="933" spans="1:10" x14ac:dyDescent="0.25">
      <c r="A933" t="s">
        <v>970</v>
      </c>
      <c r="B933" s="1">
        <v>45952</v>
      </c>
      <c r="C933" t="s">
        <v>11</v>
      </c>
      <c r="D933" t="s">
        <v>41</v>
      </c>
      <c r="E933">
        <v>21130</v>
      </c>
      <c r="F933">
        <v>6573</v>
      </c>
      <c r="G933">
        <v>14557</v>
      </c>
      <c r="H933" t="s">
        <v>38</v>
      </c>
      <c r="I933" t="s">
        <v>78</v>
      </c>
      <c r="J933" t="s">
        <v>15</v>
      </c>
    </row>
    <row r="934" spans="1:10" x14ac:dyDescent="0.25">
      <c r="A934" t="s">
        <v>971</v>
      </c>
      <c r="B934" s="1">
        <v>45659</v>
      </c>
      <c r="C934" t="s">
        <v>44</v>
      </c>
      <c r="D934" t="s">
        <v>12</v>
      </c>
      <c r="E934">
        <v>10713</v>
      </c>
      <c r="F934">
        <v>1611</v>
      </c>
      <c r="G934">
        <v>9102</v>
      </c>
      <c r="H934" t="s">
        <v>19</v>
      </c>
      <c r="I934" t="s">
        <v>63</v>
      </c>
      <c r="J934" t="s">
        <v>53</v>
      </c>
    </row>
    <row r="935" spans="1:10" x14ac:dyDescent="0.25">
      <c r="A935" t="s">
        <v>972</v>
      </c>
      <c r="B935" s="1">
        <v>45673</v>
      </c>
      <c r="C935" t="s">
        <v>44</v>
      </c>
      <c r="D935" t="s">
        <v>33</v>
      </c>
      <c r="E935">
        <v>21570</v>
      </c>
      <c r="F935">
        <v>6183</v>
      </c>
      <c r="G935">
        <v>15387</v>
      </c>
      <c r="H935" t="s">
        <v>27</v>
      </c>
      <c r="I935" t="s">
        <v>28</v>
      </c>
      <c r="J935" t="s">
        <v>29</v>
      </c>
    </row>
    <row r="936" spans="1:10" x14ac:dyDescent="0.25">
      <c r="A936" t="s">
        <v>973</v>
      </c>
      <c r="B936" s="1">
        <v>46152</v>
      </c>
      <c r="C936" t="s">
        <v>26</v>
      </c>
      <c r="D936" t="s">
        <v>33</v>
      </c>
      <c r="E936">
        <v>44332</v>
      </c>
      <c r="F936">
        <v>33397</v>
      </c>
      <c r="G936">
        <v>10935</v>
      </c>
      <c r="H936" t="s">
        <v>27</v>
      </c>
      <c r="I936" t="s">
        <v>78</v>
      </c>
      <c r="J936" t="s">
        <v>15</v>
      </c>
    </row>
    <row r="937" spans="1:10" x14ac:dyDescent="0.25">
      <c r="A937" t="s">
        <v>974</v>
      </c>
      <c r="B937" s="1">
        <v>45539</v>
      </c>
      <c r="C937" t="s">
        <v>44</v>
      </c>
      <c r="D937" t="s">
        <v>33</v>
      </c>
      <c r="E937">
        <v>27868</v>
      </c>
      <c r="F937">
        <v>21139</v>
      </c>
      <c r="G937">
        <v>6729</v>
      </c>
      <c r="H937" t="s">
        <v>27</v>
      </c>
      <c r="I937" t="s">
        <v>28</v>
      </c>
      <c r="J937" t="s">
        <v>24</v>
      </c>
    </row>
    <row r="938" spans="1:10" x14ac:dyDescent="0.25">
      <c r="A938" t="s">
        <v>975</v>
      </c>
      <c r="B938" s="1">
        <v>45318</v>
      </c>
      <c r="C938" t="s">
        <v>11</v>
      </c>
      <c r="D938" t="s">
        <v>41</v>
      </c>
      <c r="E938">
        <v>21835</v>
      </c>
      <c r="F938">
        <v>12158</v>
      </c>
      <c r="G938">
        <v>9677</v>
      </c>
      <c r="H938" t="s">
        <v>13</v>
      </c>
      <c r="I938" t="s">
        <v>34</v>
      </c>
      <c r="J938" t="s">
        <v>29</v>
      </c>
    </row>
    <row r="939" spans="1:10" x14ac:dyDescent="0.25">
      <c r="A939" t="s">
        <v>976</v>
      </c>
      <c r="B939" s="1">
        <v>46036</v>
      </c>
      <c r="C939" t="s">
        <v>44</v>
      </c>
      <c r="D939" t="s">
        <v>33</v>
      </c>
      <c r="E939">
        <v>12805</v>
      </c>
      <c r="F939">
        <v>7511</v>
      </c>
      <c r="G939">
        <v>5294</v>
      </c>
      <c r="H939" t="s">
        <v>13</v>
      </c>
      <c r="I939" t="s">
        <v>14</v>
      </c>
      <c r="J939" t="s">
        <v>24</v>
      </c>
    </row>
    <row r="940" spans="1:10" x14ac:dyDescent="0.25">
      <c r="A940" t="s">
        <v>977</v>
      </c>
      <c r="B940" s="1">
        <v>45668</v>
      </c>
      <c r="C940" t="s">
        <v>11</v>
      </c>
      <c r="D940" t="s">
        <v>36</v>
      </c>
      <c r="E940">
        <v>8250</v>
      </c>
      <c r="F940">
        <v>3230</v>
      </c>
      <c r="G940">
        <v>5020</v>
      </c>
      <c r="H940" t="s">
        <v>19</v>
      </c>
      <c r="I940" t="s">
        <v>28</v>
      </c>
      <c r="J940" t="s">
        <v>15</v>
      </c>
    </row>
    <row r="941" spans="1:10" x14ac:dyDescent="0.25">
      <c r="A941" t="s">
        <v>978</v>
      </c>
      <c r="B941" s="1">
        <v>45462</v>
      </c>
      <c r="C941" t="s">
        <v>17</v>
      </c>
      <c r="D941" t="s">
        <v>18</v>
      </c>
      <c r="E941">
        <v>23270</v>
      </c>
      <c r="F941">
        <v>13183</v>
      </c>
      <c r="G941">
        <v>10087</v>
      </c>
      <c r="H941" t="s">
        <v>27</v>
      </c>
      <c r="I941" t="s">
        <v>23</v>
      </c>
      <c r="J941" t="s">
        <v>53</v>
      </c>
    </row>
    <row r="942" spans="1:10" x14ac:dyDescent="0.25">
      <c r="A942" t="s">
        <v>979</v>
      </c>
      <c r="B942" s="1">
        <v>45940</v>
      </c>
      <c r="C942" t="s">
        <v>11</v>
      </c>
      <c r="D942" t="s">
        <v>12</v>
      </c>
      <c r="E942">
        <v>10211</v>
      </c>
      <c r="F942">
        <v>8667</v>
      </c>
      <c r="G942">
        <v>1544</v>
      </c>
      <c r="H942" t="s">
        <v>27</v>
      </c>
      <c r="I942" t="s">
        <v>28</v>
      </c>
      <c r="J942" t="s">
        <v>24</v>
      </c>
    </row>
    <row r="943" spans="1:10" x14ac:dyDescent="0.25">
      <c r="A943" t="s">
        <v>980</v>
      </c>
      <c r="B943" s="1">
        <v>45685</v>
      </c>
      <c r="C943" t="s">
        <v>26</v>
      </c>
      <c r="D943" t="s">
        <v>18</v>
      </c>
      <c r="E943">
        <v>30865</v>
      </c>
      <c r="F943">
        <v>19435</v>
      </c>
      <c r="G943">
        <v>11430</v>
      </c>
      <c r="H943" t="s">
        <v>27</v>
      </c>
      <c r="I943" t="s">
        <v>28</v>
      </c>
      <c r="J943" t="s">
        <v>42</v>
      </c>
    </row>
    <row r="944" spans="1:10" x14ac:dyDescent="0.25">
      <c r="A944" t="s">
        <v>981</v>
      </c>
      <c r="B944" s="1">
        <v>45573</v>
      </c>
      <c r="C944" t="s">
        <v>17</v>
      </c>
      <c r="D944" t="s">
        <v>41</v>
      </c>
      <c r="E944">
        <v>48759</v>
      </c>
      <c r="F944">
        <v>41049</v>
      </c>
      <c r="G944">
        <v>7710</v>
      </c>
      <c r="H944" t="s">
        <v>13</v>
      </c>
      <c r="I944" t="s">
        <v>31</v>
      </c>
      <c r="J944" t="s">
        <v>53</v>
      </c>
    </row>
    <row r="945" spans="1:10" x14ac:dyDescent="0.25">
      <c r="A945" t="s">
        <v>982</v>
      </c>
      <c r="B945" s="1">
        <v>45236</v>
      </c>
      <c r="C945" t="s">
        <v>44</v>
      </c>
      <c r="D945" t="s">
        <v>33</v>
      </c>
      <c r="E945">
        <v>20760</v>
      </c>
      <c r="F945">
        <v>2781</v>
      </c>
      <c r="G945">
        <v>17979</v>
      </c>
      <c r="H945" t="s">
        <v>19</v>
      </c>
      <c r="I945" t="s">
        <v>31</v>
      </c>
      <c r="J945" t="s">
        <v>42</v>
      </c>
    </row>
    <row r="946" spans="1:10" x14ac:dyDescent="0.25">
      <c r="A946" t="s">
        <v>983</v>
      </c>
      <c r="B946" s="1">
        <v>46056</v>
      </c>
      <c r="C946" t="s">
        <v>22</v>
      </c>
      <c r="D946" t="s">
        <v>18</v>
      </c>
      <c r="E946">
        <v>45301</v>
      </c>
      <c r="F946">
        <v>36928</v>
      </c>
      <c r="G946">
        <v>8373</v>
      </c>
      <c r="H946" t="s">
        <v>38</v>
      </c>
      <c r="I946" t="s">
        <v>78</v>
      </c>
      <c r="J946" t="s">
        <v>42</v>
      </c>
    </row>
    <row r="947" spans="1:10" x14ac:dyDescent="0.25">
      <c r="A947" t="s">
        <v>984</v>
      </c>
      <c r="B947" s="1">
        <v>45265</v>
      </c>
      <c r="C947" t="s">
        <v>44</v>
      </c>
      <c r="D947" t="s">
        <v>18</v>
      </c>
      <c r="E947">
        <v>5967</v>
      </c>
      <c r="F947">
        <v>1619</v>
      </c>
      <c r="G947">
        <v>4348</v>
      </c>
      <c r="H947" t="s">
        <v>27</v>
      </c>
      <c r="I947" t="s">
        <v>34</v>
      </c>
      <c r="J947" t="s">
        <v>53</v>
      </c>
    </row>
    <row r="948" spans="1:10" x14ac:dyDescent="0.25">
      <c r="A948" t="s">
        <v>985</v>
      </c>
      <c r="B948" s="1">
        <v>45729</v>
      </c>
      <c r="C948" t="s">
        <v>22</v>
      </c>
      <c r="D948" t="s">
        <v>33</v>
      </c>
      <c r="E948">
        <v>8728</v>
      </c>
      <c r="F948">
        <v>7748</v>
      </c>
      <c r="G948">
        <v>980</v>
      </c>
      <c r="H948" t="s">
        <v>27</v>
      </c>
      <c r="I948" t="s">
        <v>60</v>
      </c>
      <c r="J948" t="s">
        <v>53</v>
      </c>
    </row>
    <row r="949" spans="1:10" x14ac:dyDescent="0.25">
      <c r="A949" t="s">
        <v>986</v>
      </c>
      <c r="B949" s="1">
        <v>46194</v>
      </c>
      <c r="C949" t="s">
        <v>11</v>
      </c>
      <c r="D949" t="s">
        <v>18</v>
      </c>
      <c r="E949">
        <v>9204</v>
      </c>
      <c r="F949">
        <v>4674</v>
      </c>
      <c r="G949">
        <v>4530</v>
      </c>
      <c r="H949" t="s">
        <v>38</v>
      </c>
      <c r="I949" t="s">
        <v>78</v>
      </c>
      <c r="J949" t="s">
        <v>29</v>
      </c>
    </row>
    <row r="950" spans="1:10" x14ac:dyDescent="0.25">
      <c r="A950" t="s">
        <v>987</v>
      </c>
      <c r="B950" s="1">
        <v>46096</v>
      </c>
      <c r="C950" t="s">
        <v>22</v>
      </c>
      <c r="D950" t="s">
        <v>33</v>
      </c>
      <c r="E950">
        <v>32227</v>
      </c>
      <c r="F950">
        <v>16399</v>
      </c>
      <c r="G950">
        <v>15828</v>
      </c>
      <c r="H950" t="s">
        <v>27</v>
      </c>
      <c r="I950" t="s">
        <v>20</v>
      </c>
      <c r="J950" t="s">
        <v>29</v>
      </c>
    </row>
    <row r="951" spans="1:10" x14ac:dyDescent="0.25">
      <c r="A951" t="s">
        <v>988</v>
      </c>
      <c r="B951" s="1">
        <v>45475</v>
      </c>
      <c r="C951" t="s">
        <v>44</v>
      </c>
      <c r="D951" t="s">
        <v>12</v>
      </c>
      <c r="E951">
        <v>42604</v>
      </c>
      <c r="F951">
        <v>29659</v>
      </c>
      <c r="G951">
        <v>12945</v>
      </c>
      <c r="H951" t="s">
        <v>13</v>
      </c>
      <c r="I951" t="s">
        <v>31</v>
      </c>
      <c r="J951" t="s">
        <v>15</v>
      </c>
    </row>
    <row r="952" spans="1:10" x14ac:dyDescent="0.25">
      <c r="A952" t="s">
        <v>989</v>
      </c>
      <c r="B952" s="1">
        <v>45964</v>
      </c>
      <c r="C952" t="s">
        <v>22</v>
      </c>
      <c r="D952" t="s">
        <v>36</v>
      </c>
      <c r="E952">
        <v>26581</v>
      </c>
      <c r="F952">
        <v>24527</v>
      </c>
      <c r="G952">
        <v>2054</v>
      </c>
      <c r="H952" t="s">
        <v>13</v>
      </c>
      <c r="I952" t="s">
        <v>63</v>
      </c>
      <c r="J952" t="s">
        <v>53</v>
      </c>
    </row>
    <row r="953" spans="1:10" x14ac:dyDescent="0.25">
      <c r="A953" t="s">
        <v>990</v>
      </c>
      <c r="B953" s="1">
        <v>45575</v>
      </c>
      <c r="C953" t="s">
        <v>11</v>
      </c>
      <c r="D953" t="s">
        <v>41</v>
      </c>
      <c r="E953">
        <v>46436</v>
      </c>
      <c r="F953">
        <v>42108</v>
      </c>
      <c r="G953">
        <v>4328</v>
      </c>
      <c r="H953" t="s">
        <v>13</v>
      </c>
      <c r="I953" t="s">
        <v>28</v>
      </c>
      <c r="J953" t="s">
        <v>53</v>
      </c>
    </row>
    <row r="954" spans="1:10" x14ac:dyDescent="0.25">
      <c r="A954" t="s">
        <v>991</v>
      </c>
      <c r="B954" s="1">
        <v>45709</v>
      </c>
      <c r="C954" t="s">
        <v>22</v>
      </c>
      <c r="D954" t="s">
        <v>33</v>
      </c>
      <c r="E954">
        <v>36167</v>
      </c>
      <c r="F954">
        <v>25563</v>
      </c>
      <c r="G954">
        <v>10604</v>
      </c>
      <c r="H954" t="s">
        <v>19</v>
      </c>
      <c r="I954" t="s">
        <v>78</v>
      </c>
      <c r="J954" t="s">
        <v>53</v>
      </c>
    </row>
    <row r="955" spans="1:10" x14ac:dyDescent="0.25">
      <c r="A955" t="s">
        <v>992</v>
      </c>
      <c r="B955" s="1">
        <v>45558</v>
      </c>
      <c r="C955" t="s">
        <v>11</v>
      </c>
      <c r="D955" t="s">
        <v>33</v>
      </c>
      <c r="E955">
        <v>8490</v>
      </c>
      <c r="F955">
        <v>6728</v>
      </c>
      <c r="G955">
        <v>1762</v>
      </c>
      <c r="H955" t="s">
        <v>19</v>
      </c>
      <c r="I955" t="s">
        <v>34</v>
      </c>
      <c r="J955" t="s">
        <v>29</v>
      </c>
    </row>
    <row r="956" spans="1:10" x14ac:dyDescent="0.25">
      <c r="A956" t="s">
        <v>993</v>
      </c>
      <c r="B956" s="1">
        <v>45518</v>
      </c>
      <c r="C956" t="s">
        <v>17</v>
      </c>
      <c r="D956" t="s">
        <v>41</v>
      </c>
      <c r="E956">
        <v>19694</v>
      </c>
      <c r="F956">
        <v>8017</v>
      </c>
      <c r="G956">
        <v>11677</v>
      </c>
      <c r="H956" t="s">
        <v>13</v>
      </c>
      <c r="I956" t="s">
        <v>14</v>
      </c>
      <c r="J956" t="s">
        <v>42</v>
      </c>
    </row>
    <row r="957" spans="1:10" x14ac:dyDescent="0.25">
      <c r="A957" t="s">
        <v>994</v>
      </c>
      <c r="B957" s="1">
        <v>45259</v>
      </c>
      <c r="C957" t="s">
        <v>22</v>
      </c>
      <c r="D957" t="s">
        <v>18</v>
      </c>
      <c r="E957">
        <v>47375</v>
      </c>
      <c r="F957">
        <v>41690</v>
      </c>
      <c r="G957">
        <v>5685</v>
      </c>
      <c r="H957" t="s">
        <v>13</v>
      </c>
      <c r="I957" t="s">
        <v>63</v>
      </c>
      <c r="J957" t="s">
        <v>42</v>
      </c>
    </row>
    <row r="958" spans="1:10" x14ac:dyDescent="0.25">
      <c r="A958" t="s">
        <v>995</v>
      </c>
      <c r="B958" s="1">
        <v>46136</v>
      </c>
      <c r="C958" t="s">
        <v>17</v>
      </c>
      <c r="D958" t="s">
        <v>18</v>
      </c>
      <c r="E958">
        <v>18718</v>
      </c>
      <c r="F958">
        <v>4561</v>
      </c>
      <c r="G958">
        <v>14157</v>
      </c>
      <c r="H958" t="s">
        <v>13</v>
      </c>
      <c r="I958" t="s">
        <v>31</v>
      </c>
      <c r="J958" t="s">
        <v>15</v>
      </c>
    </row>
    <row r="959" spans="1:10" x14ac:dyDescent="0.25">
      <c r="A959" t="s">
        <v>996</v>
      </c>
      <c r="B959" s="1">
        <v>45574</v>
      </c>
      <c r="C959" t="s">
        <v>17</v>
      </c>
      <c r="D959" t="s">
        <v>33</v>
      </c>
      <c r="E959">
        <v>6708</v>
      </c>
      <c r="F959">
        <v>2311</v>
      </c>
      <c r="G959">
        <v>4397</v>
      </c>
      <c r="H959" t="s">
        <v>38</v>
      </c>
      <c r="I959" t="s">
        <v>60</v>
      </c>
      <c r="J959" t="s">
        <v>53</v>
      </c>
    </row>
    <row r="960" spans="1:10" x14ac:dyDescent="0.25">
      <c r="A960" t="s">
        <v>997</v>
      </c>
      <c r="B960" s="1">
        <v>45451</v>
      </c>
      <c r="C960" t="s">
        <v>44</v>
      </c>
      <c r="D960" t="s">
        <v>18</v>
      </c>
      <c r="E960">
        <v>40350</v>
      </c>
      <c r="F960">
        <v>32954</v>
      </c>
      <c r="G960">
        <v>7396</v>
      </c>
      <c r="H960" t="s">
        <v>27</v>
      </c>
      <c r="I960" t="s">
        <v>63</v>
      </c>
      <c r="J960" t="s">
        <v>15</v>
      </c>
    </row>
    <row r="961" spans="1:10" x14ac:dyDescent="0.25">
      <c r="A961" t="s">
        <v>998</v>
      </c>
      <c r="B961" s="1">
        <v>46118</v>
      </c>
      <c r="C961" t="s">
        <v>44</v>
      </c>
      <c r="D961" t="s">
        <v>18</v>
      </c>
      <c r="E961">
        <v>21865</v>
      </c>
      <c r="F961">
        <v>6065</v>
      </c>
      <c r="G961">
        <v>15800</v>
      </c>
      <c r="H961" t="s">
        <v>27</v>
      </c>
      <c r="I961" t="s">
        <v>31</v>
      </c>
      <c r="J961" t="s">
        <v>29</v>
      </c>
    </row>
    <row r="962" spans="1:10" x14ac:dyDescent="0.25">
      <c r="A962" t="s">
        <v>999</v>
      </c>
      <c r="B962" s="1">
        <v>45220</v>
      </c>
      <c r="C962" t="s">
        <v>44</v>
      </c>
      <c r="D962" t="s">
        <v>33</v>
      </c>
      <c r="E962">
        <v>19216</v>
      </c>
      <c r="F962">
        <v>6014</v>
      </c>
      <c r="G962">
        <v>13202</v>
      </c>
      <c r="H962" t="s">
        <v>27</v>
      </c>
      <c r="I962" t="s">
        <v>31</v>
      </c>
      <c r="J962" t="s">
        <v>29</v>
      </c>
    </row>
    <row r="963" spans="1:10" x14ac:dyDescent="0.25">
      <c r="A963" t="s">
        <v>1000</v>
      </c>
      <c r="B963" s="1">
        <v>45772</v>
      </c>
      <c r="C963" t="s">
        <v>44</v>
      </c>
      <c r="D963" t="s">
        <v>18</v>
      </c>
      <c r="E963">
        <v>20888</v>
      </c>
      <c r="F963">
        <v>9020</v>
      </c>
      <c r="G963">
        <v>11868</v>
      </c>
      <c r="H963" t="s">
        <v>13</v>
      </c>
      <c r="I963" t="s">
        <v>60</v>
      </c>
      <c r="J963" t="s">
        <v>15</v>
      </c>
    </row>
    <row r="964" spans="1:10" x14ac:dyDescent="0.25">
      <c r="A964" t="s">
        <v>1001</v>
      </c>
      <c r="B964" s="1">
        <v>46021</v>
      </c>
      <c r="C964" t="s">
        <v>26</v>
      </c>
      <c r="D964" t="s">
        <v>36</v>
      </c>
      <c r="E964">
        <v>12142</v>
      </c>
      <c r="F964">
        <v>4025</v>
      </c>
      <c r="G964">
        <v>8117</v>
      </c>
      <c r="H964" t="s">
        <v>38</v>
      </c>
      <c r="I964" t="s">
        <v>31</v>
      </c>
      <c r="J964" t="s">
        <v>15</v>
      </c>
    </row>
    <row r="965" spans="1:10" x14ac:dyDescent="0.25">
      <c r="A965" t="s">
        <v>1002</v>
      </c>
      <c r="B965" s="1">
        <v>45929</v>
      </c>
      <c r="C965" t="s">
        <v>17</v>
      </c>
      <c r="D965" t="s">
        <v>36</v>
      </c>
      <c r="E965">
        <v>27614</v>
      </c>
      <c r="F965">
        <v>18020</v>
      </c>
      <c r="G965">
        <v>9594</v>
      </c>
      <c r="H965" t="s">
        <v>13</v>
      </c>
      <c r="I965" t="s">
        <v>14</v>
      </c>
      <c r="J965" t="s">
        <v>42</v>
      </c>
    </row>
    <row r="966" spans="1:10" x14ac:dyDescent="0.25">
      <c r="A966" t="s">
        <v>1003</v>
      </c>
      <c r="B966" s="1">
        <v>45702</v>
      </c>
      <c r="C966" t="s">
        <v>22</v>
      </c>
      <c r="D966" t="s">
        <v>41</v>
      </c>
      <c r="E966">
        <v>41892</v>
      </c>
      <c r="F966">
        <v>24215</v>
      </c>
      <c r="G966">
        <v>17677</v>
      </c>
      <c r="H966" t="s">
        <v>27</v>
      </c>
      <c r="I966" t="s">
        <v>45</v>
      </c>
      <c r="J966" t="s">
        <v>24</v>
      </c>
    </row>
    <row r="967" spans="1:10" x14ac:dyDescent="0.25">
      <c r="A967" t="s">
        <v>1004</v>
      </c>
      <c r="B967" s="1">
        <v>45142</v>
      </c>
      <c r="C967" t="s">
        <v>22</v>
      </c>
      <c r="D967" t="s">
        <v>12</v>
      </c>
      <c r="E967">
        <v>32715</v>
      </c>
      <c r="F967">
        <v>30082</v>
      </c>
      <c r="G967">
        <v>2633</v>
      </c>
      <c r="H967" t="s">
        <v>13</v>
      </c>
      <c r="I967" t="s">
        <v>78</v>
      </c>
      <c r="J967" t="s">
        <v>42</v>
      </c>
    </row>
    <row r="968" spans="1:10" x14ac:dyDescent="0.25">
      <c r="A968" t="s">
        <v>1005</v>
      </c>
      <c r="B968" s="1">
        <v>45311</v>
      </c>
      <c r="C968" t="s">
        <v>17</v>
      </c>
      <c r="D968" t="s">
        <v>33</v>
      </c>
      <c r="E968">
        <v>23585</v>
      </c>
      <c r="F968">
        <v>16830</v>
      </c>
      <c r="G968">
        <v>6755</v>
      </c>
      <c r="H968" t="s">
        <v>13</v>
      </c>
      <c r="I968" t="s">
        <v>23</v>
      </c>
      <c r="J968" t="s">
        <v>24</v>
      </c>
    </row>
    <row r="969" spans="1:10" x14ac:dyDescent="0.25">
      <c r="A969" t="s">
        <v>1006</v>
      </c>
      <c r="B969" s="1">
        <v>45459</v>
      </c>
      <c r="C969" t="s">
        <v>44</v>
      </c>
      <c r="D969" t="s">
        <v>12</v>
      </c>
      <c r="E969">
        <v>49041</v>
      </c>
      <c r="F969">
        <v>31243</v>
      </c>
      <c r="G969">
        <v>17798</v>
      </c>
      <c r="H969" t="s">
        <v>19</v>
      </c>
      <c r="I969" t="s">
        <v>31</v>
      </c>
      <c r="J969" t="s">
        <v>24</v>
      </c>
    </row>
    <row r="970" spans="1:10" x14ac:dyDescent="0.25">
      <c r="A970" t="s">
        <v>1007</v>
      </c>
      <c r="B970" s="1">
        <v>46180</v>
      </c>
      <c r="C970" t="s">
        <v>17</v>
      </c>
      <c r="D970" t="s">
        <v>36</v>
      </c>
      <c r="E970">
        <v>27629</v>
      </c>
      <c r="F970">
        <v>7808</v>
      </c>
      <c r="G970">
        <v>19821</v>
      </c>
      <c r="H970" t="s">
        <v>19</v>
      </c>
      <c r="I970" t="s">
        <v>63</v>
      </c>
      <c r="J970" t="s">
        <v>42</v>
      </c>
    </row>
    <row r="971" spans="1:10" x14ac:dyDescent="0.25">
      <c r="A971" t="s">
        <v>1008</v>
      </c>
      <c r="B971" s="1">
        <v>45870</v>
      </c>
      <c r="C971" t="s">
        <v>17</v>
      </c>
      <c r="D971" t="s">
        <v>36</v>
      </c>
      <c r="E971">
        <v>13342</v>
      </c>
      <c r="F971">
        <v>3005</v>
      </c>
      <c r="G971">
        <v>10337</v>
      </c>
      <c r="H971" t="s">
        <v>19</v>
      </c>
      <c r="I971" t="s">
        <v>20</v>
      </c>
      <c r="J971" t="s">
        <v>24</v>
      </c>
    </row>
    <row r="972" spans="1:10" x14ac:dyDescent="0.25">
      <c r="A972" t="s">
        <v>1009</v>
      </c>
      <c r="B972" s="1">
        <v>45595</v>
      </c>
      <c r="C972" t="s">
        <v>11</v>
      </c>
      <c r="D972" t="s">
        <v>33</v>
      </c>
      <c r="E972">
        <v>35282</v>
      </c>
      <c r="F972">
        <v>17423</v>
      </c>
      <c r="G972">
        <v>17859</v>
      </c>
      <c r="H972" t="s">
        <v>13</v>
      </c>
      <c r="I972" t="s">
        <v>31</v>
      </c>
      <c r="J972" t="s">
        <v>15</v>
      </c>
    </row>
    <row r="973" spans="1:10" x14ac:dyDescent="0.25">
      <c r="A973" t="s">
        <v>1010</v>
      </c>
      <c r="B973" s="1">
        <v>45389</v>
      </c>
      <c r="C973" t="s">
        <v>17</v>
      </c>
      <c r="D973" t="s">
        <v>12</v>
      </c>
      <c r="E973">
        <v>5386</v>
      </c>
      <c r="F973">
        <v>2657</v>
      </c>
      <c r="G973">
        <v>2729</v>
      </c>
      <c r="H973" t="s">
        <v>13</v>
      </c>
      <c r="I973" t="s">
        <v>28</v>
      </c>
      <c r="J973" t="s">
        <v>53</v>
      </c>
    </row>
    <row r="974" spans="1:10" x14ac:dyDescent="0.25">
      <c r="A974" t="s">
        <v>1011</v>
      </c>
      <c r="B974" s="1">
        <v>45853</v>
      </c>
      <c r="C974" t="s">
        <v>22</v>
      </c>
      <c r="D974" t="s">
        <v>41</v>
      </c>
      <c r="E974">
        <v>23060</v>
      </c>
      <c r="F974">
        <v>19850</v>
      </c>
      <c r="G974">
        <v>3210</v>
      </c>
      <c r="H974" t="s">
        <v>38</v>
      </c>
      <c r="I974" t="s">
        <v>14</v>
      </c>
      <c r="J974" t="s">
        <v>15</v>
      </c>
    </row>
    <row r="975" spans="1:10" x14ac:dyDescent="0.25">
      <c r="A975" t="s">
        <v>1012</v>
      </c>
      <c r="B975" s="1">
        <v>45971</v>
      </c>
      <c r="C975" t="s">
        <v>26</v>
      </c>
      <c r="D975" t="s">
        <v>18</v>
      </c>
      <c r="E975">
        <v>48112</v>
      </c>
      <c r="F975">
        <v>42707</v>
      </c>
      <c r="G975">
        <v>5405</v>
      </c>
      <c r="H975" t="s">
        <v>27</v>
      </c>
      <c r="I975" t="s">
        <v>63</v>
      </c>
      <c r="J975" t="s">
        <v>53</v>
      </c>
    </row>
    <row r="976" spans="1:10" x14ac:dyDescent="0.25">
      <c r="A976" t="s">
        <v>1013</v>
      </c>
      <c r="B976" s="1">
        <v>45595</v>
      </c>
      <c r="C976" t="s">
        <v>17</v>
      </c>
      <c r="D976" t="s">
        <v>41</v>
      </c>
      <c r="E976">
        <v>21233</v>
      </c>
      <c r="F976">
        <v>4499</v>
      </c>
      <c r="G976">
        <v>16734</v>
      </c>
      <c r="H976" t="s">
        <v>19</v>
      </c>
      <c r="I976" t="s">
        <v>28</v>
      </c>
      <c r="J976" t="s">
        <v>53</v>
      </c>
    </row>
    <row r="977" spans="1:10" x14ac:dyDescent="0.25">
      <c r="A977" t="s">
        <v>1014</v>
      </c>
      <c r="B977" s="1">
        <v>46140</v>
      </c>
      <c r="C977" t="s">
        <v>26</v>
      </c>
      <c r="D977" t="s">
        <v>41</v>
      </c>
      <c r="E977">
        <v>14083</v>
      </c>
      <c r="F977">
        <v>6590</v>
      </c>
      <c r="G977">
        <v>7493</v>
      </c>
      <c r="H977" t="s">
        <v>19</v>
      </c>
      <c r="I977" t="s">
        <v>45</v>
      </c>
      <c r="J977" t="s">
        <v>29</v>
      </c>
    </row>
    <row r="978" spans="1:10" x14ac:dyDescent="0.25">
      <c r="A978" t="s">
        <v>1015</v>
      </c>
      <c r="B978" s="1">
        <v>46081</v>
      </c>
      <c r="C978" t="s">
        <v>17</v>
      </c>
      <c r="D978" t="s">
        <v>33</v>
      </c>
      <c r="E978">
        <v>14756</v>
      </c>
      <c r="F978">
        <v>5313</v>
      </c>
      <c r="G978">
        <v>9443</v>
      </c>
      <c r="H978" t="s">
        <v>19</v>
      </c>
      <c r="I978" t="s">
        <v>20</v>
      </c>
      <c r="J978" t="s">
        <v>42</v>
      </c>
    </row>
    <row r="979" spans="1:10" x14ac:dyDescent="0.25">
      <c r="A979" t="s">
        <v>1016</v>
      </c>
      <c r="B979" s="1">
        <v>45169</v>
      </c>
      <c r="C979" t="s">
        <v>44</v>
      </c>
      <c r="D979" t="s">
        <v>36</v>
      </c>
      <c r="E979">
        <v>27070</v>
      </c>
      <c r="F979">
        <v>11322</v>
      </c>
      <c r="G979">
        <v>15748</v>
      </c>
      <c r="H979" t="s">
        <v>13</v>
      </c>
      <c r="I979" t="s">
        <v>14</v>
      </c>
      <c r="J979" t="s">
        <v>24</v>
      </c>
    </row>
    <row r="980" spans="1:10" x14ac:dyDescent="0.25">
      <c r="A980" t="s">
        <v>1017</v>
      </c>
      <c r="B980" s="1">
        <v>46172</v>
      </c>
      <c r="C980" t="s">
        <v>22</v>
      </c>
      <c r="D980" t="s">
        <v>12</v>
      </c>
      <c r="E980">
        <v>41980</v>
      </c>
      <c r="F980">
        <v>26828</v>
      </c>
      <c r="G980">
        <v>15152</v>
      </c>
      <c r="H980" t="s">
        <v>38</v>
      </c>
      <c r="I980" t="s">
        <v>28</v>
      </c>
      <c r="J980" t="s">
        <v>15</v>
      </c>
    </row>
    <row r="981" spans="1:10" x14ac:dyDescent="0.25">
      <c r="A981" t="s">
        <v>1018</v>
      </c>
      <c r="B981" s="1">
        <v>45970</v>
      </c>
      <c r="C981" t="s">
        <v>11</v>
      </c>
      <c r="D981" t="s">
        <v>12</v>
      </c>
      <c r="E981">
        <v>22072</v>
      </c>
      <c r="F981">
        <v>18433</v>
      </c>
      <c r="G981">
        <v>3639</v>
      </c>
      <c r="H981" t="s">
        <v>38</v>
      </c>
      <c r="I981" t="s">
        <v>45</v>
      </c>
      <c r="J981" t="s">
        <v>24</v>
      </c>
    </row>
    <row r="982" spans="1:10" x14ac:dyDescent="0.25">
      <c r="A982" t="s">
        <v>1019</v>
      </c>
      <c r="B982" s="1">
        <v>46170</v>
      </c>
      <c r="C982" t="s">
        <v>22</v>
      </c>
      <c r="D982" t="s">
        <v>41</v>
      </c>
      <c r="E982">
        <v>18291</v>
      </c>
      <c r="F982">
        <v>1400</v>
      </c>
      <c r="G982">
        <v>16891</v>
      </c>
      <c r="H982" t="s">
        <v>27</v>
      </c>
      <c r="I982" t="s">
        <v>23</v>
      </c>
      <c r="J982" t="s">
        <v>29</v>
      </c>
    </row>
    <row r="983" spans="1:10" x14ac:dyDescent="0.25">
      <c r="A983" t="s">
        <v>1020</v>
      </c>
      <c r="B983" s="1">
        <v>45347</v>
      </c>
      <c r="C983" t="s">
        <v>44</v>
      </c>
      <c r="D983" t="s">
        <v>12</v>
      </c>
      <c r="E983">
        <v>20150</v>
      </c>
      <c r="F983">
        <v>7127</v>
      </c>
      <c r="G983">
        <v>13023</v>
      </c>
      <c r="H983" t="s">
        <v>27</v>
      </c>
      <c r="I983" t="s">
        <v>31</v>
      </c>
      <c r="J983" t="s">
        <v>29</v>
      </c>
    </row>
    <row r="984" spans="1:10" x14ac:dyDescent="0.25">
      <c r="A984" t="s">
        <v>1021</v>
      </c>
      <c r="B984" s="1">
        <v>46074</v>
      </c>
      <c r="C984" t="s">
        <v>44</v>
      </c>
      <c r="D984" t="s">
        <v>18</v>
      </c>
      <c r="E984">
        <v>11959</v>
      </c>
      <c r="F984">
        <v>1567</v>
      </c>
      <c r="G984">
        <v>10392</v>
      </c>
      <c r="H984" t="s">
        <v>27</v>
      </c>
      <c r="I984" t="s">
        <v>31</v>
      </c>
      <c r="J984" t="s">
        <v>42</v>
      </c>
    </row>
    <row r="985" spans="1:10" x14ac:dyDescent="0.25">
      <c r="A985" t="s">
        <v>1022</v>
      </c>
      <c r="B985" s="1">
        <v>45346</v>
      </c>
      <c r="C985" t="s">
        <v>11</v>
      </c>
      <c r="D985" t="s">
        <v>12</v>
      </c>
      <c r="E985">
        <v>42357</v>
      </c>
      <c r="F985">
        <v>26654</v>
      </c>
      <c r="G985">
        <v>15703</v>
      </c>
      <c r="H985" t="s">
        <v>38</v>
      </c>
      <c r="I985" t="s">
        <v>34</v>
      </c>
      <c r="J985" t="s">
        <v>24</v>
      </c>
    </row>
    <row r="986" spans="1:10" x14ac:dyDescent="0.25">
      <c r="A986" t="s">
        <v>1023</v>
      </c>
      <c r="B986" s="1">
        <v>45311</v>
      </c>
      <c r="C986" t="s">
        <v>11</v>
      </c>
      <c r="D986" t="s">
        <v>33</v>
      </c>
      <c r="E986">
        <v>10918</v>
      </c>
      <c r="F986">
        <v>9261</v>
      </c>
      <c r="G986">
        <v>1657</v>
      </c>
      <c r="H986" t="s">
        <v>13</v>
      </c>
      <c r="I986" t="s">
        <v>34</v>
      </c>
      <c r="J986" t="s">
        <v>24</v>
      </c>
    </row>
    <row r="987" spans="1:10" x14ac:dyDescent="0.25">
      <c r="A987" t="s">
        <v>1024</v>
      </c>
      <c r="B987" s="1">
        <v>45486</v>
      </c>
      <c r="C987" t="s">
        <v>26</v>
      </c>
      <c r="D987" t="s">
        <v>12</v>
      </c>
      <c r="E987">
        <v>23077</v>
      </c>
      <c r="F987">
        <v>15611</v>
      </c>
      <c r="G987">
        <v>7466</v>
      </c>
      <c r="H987" t="s">
        <v>19</v>
      </c>
      <c r="I987" t="s">
        <v>63</v>
      </c>
      <c r="J987" t="s">
        <v>53</v>
      </c>
    </row>
    <row r="988" spans="1:10" x14ac:dyDescent="0.25">
      <c r="A988" t="s">
        <v>1025</v>
      </c>
      <c r="B988" s="1">
        <v>45140</v>
      </c>
      <c r="C988" t="s">
        <v>17</v>
      </c>
      <c r="D988" t="s">
        <v>41</v>
      </c>
      <c r="E988">
        <v>36030</v>
      </c>
      <c r="F988">
        <v>21322</v>
      </c>
      <c r="G988">
        <v>14708</v>
      </c>
      <c r="H988" t="s">
        <v>19</v>
      </c>
      <c r="I988" t="s">
        <v>14</v>
      </c>
      <c r="J988" t="s">
        <v>53</v>
      </c>
    </row>
    <row r="989" spans="1:10" x14ac:dyDescent="0.25">
      <c r="A989" t="s">
        <v>1026</v>
      </c>
      <c r="B989" s="1">
        <v>45747</v>
      </c>
      <c r="C989" t="s">
        <v>22</v>
      </c>
      <c r="D989" t="s">
        <v>33</v>
      </c>
      <c r="E989">
        <v>9306</v>
      </c>
      <c r="F989">
        <v>4712</v>
      </c>
      <c r="G989">
        <v>4594</v>
      </c>
      <c r="H989" t="s">
        <v>27</v>
      </c>
      <c r="I989" t="s">
        <v>45</v>
      </c>
      <c r="J989" t="s">
        <v>24</v>
      </c>
    </row>
    <row r="990" spans="1:10" x14ac:dyDescent="0.25">
      <c r="A990" t="s">
        <v>1027</v>
      </c>
      <c r="B990" s="1">
        <v>46149</v>
      </c>
      <c r="C990" t="s">
        <v>17</v>
      </c>
      <c r="D990" t="s">
        <v>41</v>
      </c>
      <c r="E990">
        <v>6273</v>
      </c>
      <c r="F990">
        <v>466</v>
      </c>
      <c r="G990">
        <v>5807</v>
      </c>
      <c r="H990" t="s">
        <v>38</v>
      </c>
      <c r="I990" t="s">
        <v>31</v>
      </c>
      <c r="J990" t="s">
        <v>53</v>
      </c>
    </row>
    <row r="991" spans="1:10" x14ac:dyDescent="0.25">
      <c r="A991" t="s">
        <v>1028</v>
      </c>
      <c r="B991" s="1">
        <v>45918</v>
      </c>
      <c r="C991" t="s">
        <v>17</v>
      </c>
      <c r="D991" t="s">
        <v>36</v>
      </c>
      <c r="E991">
        <v>20306</v>
      </c>
      <c r="F991">
        <v>11109</v>
      </c>
      <c r="G991">
        <v>9197</v>
      </c>
      <c r="H991" t="s">
        <v>38</v>
      </c>
      <c r="I991" t="s">
        <v>20</v>
      </c>
      <c r="J991" t="s">
        <v>15</v>
      </c>
    </row>
    <row r="992" spans="1:10" x14ac:dyDescent="0.25">
      <c r="A992" t="s">
        <v>1029</v>
      </c>
      <c r="B992" s="1">
        <v>45716</v>
      </c>
      <c r="C992" t="s">
        <v>26</v>
      </c>
      <c r="D992" t="s">
        <v>33</v>
      </c>
      <c r="E992">
        <v>12024</v>
      </c>
      <c r="F992">
        <v>832</v>
      </c>
      <c r="G992">
        <v>11192</v>
      </c>
      <c r="H992" t="s">
        <v>19</v>
      </c>
      <c r="I992" t="s">
        <v>34</v>
      </c>
      <c r="J992" t="s">
        <v>24</v>
      </c>
    </row>
    <row r="993" spans="1:10" x14ac:dyDescent="0.25">
      <c r="A993" t="s">
        <v>1030</v>
      </c>
      <c r="B993" s="1">
        <v>46118</v>
      </c>
      <c r="C993" t="s">
        <v>44</v>
      </c>
      <c r="D993" t="s">
        <v>33</v>
      </c>
      <c r="E993">
        <v>48919</v>
      </c>
      <c r="F993">
        <v>29197</v>
      </c>
      <c r="G993">
        <v>19722</v>
      </c>
      <c r="H993" t="s">
        <v>27</v>
      </c>
      <c r="I993" t="s">
        <v>14</v>
      </c>
      <c r="J993" t="s">
        <v>42</v>
      </c>
    </row>
    <row r="994" spans="1:10" x14ac:dyDescent="0.25">
      <c r="A994" t="s">
        <v>1031</v>
      </c>
      <c r="B994" s="1">
        <v>46145</v>
      </c>
      <c r="C994" t="s">
        <v>44</v>
      </c>
      <c r="D994" t="s">
        <v>12</v>
      </c>
      <c r="E994">
        <v>23458</v>
      </c>
      <c r="F994">
        <v>9418</v>
      </c>
      <c r="G994">
        <v>14040</v>
      </c>
      <c r="H994" t="s">
        <v>19</v>
      </c>
      <c r="I994" t="s">
        <v>45</v>
      </c>
      <c r="J994" t="s">
        <v>42</v>
      </c>
    </row>
    <row r="995" spans="1:10" x14ac:dyDescent="0.25">
      <c r="A995" t="s">
        <v>1032</v>
      </c>
      <c r="B995" s="1">
        <v>45298</v>
      </c>
      <c r="C995" t="s">
        <v>11</v>
      </c>
      <c r="D995" t="s">
        <v>41</v>
      </c>
      <c r="E995">
        <v>31128</v>
      </c>
      <c r="F995">
        <v>18513</v>
      </c>
      <c r="G995">
        <v>12615</v>
      </c>
      <c r="H995" t="s">
        <v>38</v>
      </c>
      <c r="I995" t="s">
        <v>63</v>
      </c>
      <c r="J995" t="s">
        <v>29</v>
      </c>
    </row>
    <row r="996" spans="1:10" x14ac:dyDescent="0.25">
      <c r="A996" t="s">
        <v>1033</v>
      </c>
      <c r="B996" s="1">
        <v>45726</v>
      </c>
      <c r="C996" t="s">
        <v>26</v>
      </c>
      <c r="D996" t="s">
        <v>12</v>
      </c>
      <c r="E996">
        <v>38773</v>
      </c>
      <c r="F996">
        <v>21257</v>
      </c>
      <c r="G996">
        <v>17516</v>
      </c>
      <c r="H996" t="s">
        <v>27</v>
      </c>
      <c r="I996" t="s">
        <v>63</v>
      </c>
      <c r="J996" t="s">
        <v>29</v>
      </c>
    </row>
    <row r="997" spans="1:10" x14ac:dyDescent="0.25">
      <c r="A997" t="s">
        <v>1034</v>
      </c>
      <c r="B997" s="1">
        <v>45647</v>
      </c>
      <c r="C997" t="s">
        <v>26</v>
      </c>
      <c r="D997" t="s">
        <v>36</v>
      </c>
      <c r="E997">
        <v>5720</v>
      </c>
      <c r="F997">
        <v>374</v>
      </c>
      <c r="G997">
        <v>5346</v>
      </c>
      <c r="H997" t="s">
        <v>27</v>
      </c>
      <c r="I997" t="s">
        <v>63</v>
      </c>
      <c r="J997" t="s">
        <v>24</v>
      </c>
    </row>
    <row r="998" spans="1:10" x14ac:dyDescent="0.25">
      <c r="A998" t="s">
        <v>1035</v>
      </c>
      <c r="B998" s="1">
        <v>46013</v>
      </c>
      <c r="C998" t="s">
        <v>11</v>
      </c>
      <c r="D998" t="s">
        <v>12</v>
      </c>
      <c r="E998">
        <v>43707</v>
      </c>
      <c r="F998">
        <v>34556</v>
      </c>
      <c r="G998">
        <v>9151</v>
      </c>
      <c r="H998" t="s">
        <v>19</v>
      </c>
      <c r="I998" t="s">
        <v>14</v>
      </c>
      <c r="J998" t="s">
        <v>15</v>
      </c>
    </row>
    <row r="999" spans="1:10" x14ac:dyDescent="0.25">
      <c r="A999" t="s">
        <v>1036</v>
      </c>
      <c r="B999" s="1">
        <v>45332</v>
      </c>
      <c r="C999" t="s">
        <v>26</v>
      </c>
      <c r="D999" t="s">
        <v>41</v>
      </c>
      <c r="E999">
        <v>13869</v>
      </c>
      <c r="F999">
        <v>8561</v>
      </c>
      <c r="G999">
        <v>5308</v>
      </c>
      <c r="H999" t="s">
        <v>38</v>
      </c>
      <c r="I999" t="s">
        <v>20</v>
      </c>
      <c r="J999" t="s">
        <v>42</v>
      </c>
    </row>
    <row r="1000" spans="1:10" x14ac:dyDescent="0.25">
      <c r="A1000" t="s">
        <v>1037</v>
      </c>
      <c r="B1000" s="1">
        <v>45974</v>
      </c>
      <c r="C1000" t="s">
        <v>11</v>
      </c>
      <c r="D1000" t="s">
        <v>12</v>
      </c>
      <c r="E1000">
        <v>22061</v>
      </c>
      <c r="F1000">
        <v>20071</v>
      </c>
      <c r="G1000">
        <v>1990</v>
      </c>
      <c r="H1000" t="s">
        <v>13</v>
      </c>
      <c r="I1000" t="s">
        <v>14</v>
      </c>
      <c r="J1000" t="s">
        <v>24</v>
      </c>
    </row>
    <row r="1001" spans="1:10" x14ac:dyDescent="0.25">
      <c r="A1001" t="s">
        <v>1038</v>
      </c>
      <c r="B1001" s="1">
        <v>45897</v>
      </c>
      <c r="C1001" t="s">
        <v>17</v>
      </c>
      <c r="D1001" t="s">
        <v>41</v>
      </c>
      <c r="E1001">
        <v>24407</v>
      </c>
      <c r="F1001">
        <v>10000</v>
      </c>
      <c r="G1001">
        <v>14407</v>
      </c>
      <c r="H1001" t="s">
        <v>19</v>
      </c>
      <c r="I1001" t="s">
        <v>20</v>
      </c>
      <c r="J1001" t="s">
        <v>15</v>
      </c>
    </row>
    <row r="1002" spans="1:10" x14ac:dyDescent="0.25">
      <c r="A1002" t="s">
        <v>1039</v>
      </c>
      <c r="B1002" s="1">
        <v>46196</v>
      </c>
      <c r="C1002" t="s">
        <v>26</v>
      </c>
      <c r="D1002" t="s">
        <v>36</v>
      </c>
      <c r="E1002">
        <v>48706</v>
      </c>
      <c r="F1002">
        <v>32256</v>
      </c>
      <c r="G1002">
        <v>16450</v>
      </c>
      <c r="H1002" t="s">
        <v>13</v>
      </c>
      <c r="I1002" t="s">
        <v>31</v>
      </c>
      <c r="J1002" t="s">
        <v>53</v>
      </c>
    </row>
    <row r="1003" spans="1:10" x14ac:dyDescent="0.25">
      <c r="A1003" t="s">
        <v>1040</v>
      </c>
      <c r="B1003" s="1">
        <v>46194</v>
      </c>
      <c r="C1003" t="s">
        <v>22</v>
      </c>
      <c r="D1003" t="s">
        <v>18</v>
      </c>
      <c r="E1003">
        <v>34978</v>
      </c>
      <c r="F1003">
        <v>21962</v>
      </c>
      <c r="G1003">
        <v>13016</v>
      </c>
      <c r="H1003" t="s">
        <v>27</v>
      </c>
      <c r="I1003" t="s">
        <v>78</v>
      </c>
      <c r="J1003" t="s">
        <v>53</v>
      </c>
    </row>
    <row r="1004" spans="1:10" x14ac:dyDescent="0.25">
      <c r="A1004" t="s">
        <v>1041</v>
      </c>
      <c r="B1004" s="1">
        <v>45900</v>
      </c>
      <c r="C1004" t="s">
        <v>11</v>
      </c>
      <c r="D1004" t="s">
        <v>18</v>
      </c>
      <c r="E1004">
        <v>46458</v>
      </c>
      <c r="F1004">
        <v>42065</v>
      </c>
      <c r="G1004">
        <v>4393</v>
      </c>
      <c r="H1004" t="s">
        <v>27</v>
      </c>
      <c r="I1004" t="s">
        <v>23</v>
      </c>
      <c r="J1004" t="s">
        <v>29</v>
      </c>
    </row>
    <row r="1005" spans="1:10" x14ac:dyDescent="0.25">
      <c r="A1005" t="s">
        <v>1042</v>
      </c>
      <c r="B1005" s="1">
        <v>45762</v>
      </c>
      <c r="C1005" t="s">
        <v>26</v>
      </c>
      <c r="D1005" t="s">
        <v>36</v>
      </c>
      <c r="E1005">
        <v>19039</v>
      </c>
      <c r="F1005">
        <v>3495</v>
      </c>
      <c r="G1005">
        <v>15544</v>
      </c>
      <c r="H1005" t="s">
        <v>13</v>
      </c>
      <c r="I1005" t="s">
        <v>63</v>
      </c>
      <c r="J1005" t="s">
        <v>15</v>
      </c>
    </row>
    <row r="1006" spans="1:10" x14ac:dyDescent="0.25">
      <c r="A1006" t="s">
        <v>1043</v>
      </c>
      <c r="B1006" s="1">
        <v>45139</v>
      </c>
      <c r="C1006" t="s">
        <v>11</v>
      </c>
      <c r="D1006" t="s">
        <v>12</v>
      </c>
      <c r="E1006">
        <v>20605</v>
      </c>
      <c r="F1006">
        <v>18289</v>
      </c>
      <c r="G1006">
        <v>2316</v>
      </c>
      <c r="H1006" t="s">
        <v>27</v>
      </c>
      <c r="I1006" t="s">
        <v>45</v>
      </c>
      <c r="J1006" t="s">
        <v>15</v>
      </c>
    </row>
    <row r="1007" spans="1:10" x14ac:dyDescent="0.25">
      <c r="A1007" t="s">
        <v>1044</v>
      </c>
      <c r="B1007" s="1">
        <v>45420</v>
      </c>
      <c r="C1007" t="s">
        <v>44</v>
      </c>
      <c r="D1007" t="s">
        <v>41</v>
      </c>
      <c r="E1007">
        <v>14265</v>
      </c>
      <c r="F1007">
        <v>2119</v>
      </c>
      <c r="G1007">
        <v>12146</v>
      </c>
      <c r="H1007" t="s">
        <v>27</v>
      </c>
      <c r="I1007" t="s">
        <v>14</v>
      </c>
      <c r="J1007" t="s">
        <v>42</v>
      </c>
    </row>
    <row r="1008" spans="1:10" x14ac:dyDescent="0.25">
      <c r="A1008" t="s">
        <v>1045</v>
      </c>
      <c r="B1008" s="1">
        <v>45193</v>
      </c>
      <c r="C1008" t="s">
        <v>22</v>
      </c>
      <c r="D1008" t="s">
        <v>33</v>
      </c>
      <c r="E1008">
        <v>23423</v>
      </c>
      <c r="F1008">
        <v>5588</v>
      </c>
      <c r="G1008">
        <v>17835</v>
      </c>
      <c r="H1008" t="s">
        <v>38</v>
      </c>
      <c r="I1008" t="s">
        <v>28</v>
      </c>
      <c r="J1008" t="s">
        <v>29</v>
      </c>
    </row>
    <row r="1009" spans="1:10" x14ac:dyDescent="0.25">
      <c r="A1009" t="s">
        <v>1046</v>
      </c>
      <c r="B1009" s="1">
        <v>45417</v>
      </c>
      <c r="C1009" t="s">
        <v>26</v>
      </c>
      <c r="D1009" t="s">
        <v>12</v>
      </c>
      <c r="E1009">
        <v>23108</v>
      </c>
      <c r="F1009">
        <v>9325</v>
      </c>
      <c r="G1009">
        <v>13783</v>
      </c>
      <c r="H1009" t="s">
        <v>27</v>
      </c>
      <c r="I1009" t="s">
        <v>45</v>
      </c>
      <c r="J1009" t="s">
        <v>24</v>
      </c>
    </row>
    <row r="1010" spans="1:10" x14ac:dyDescent="0.25">
      <c r="A1010" t="s">
        <v>1047</v>
      </c>
      <c r="B1010" s="1">
        <v>45832</v>
      </c>
      <c r="C1010" t="s">
        <v>17</v>
      </c>
      <c r="D1010" t="s">
        <v>18</v>
      </c>
      <c r="E1010">
        <v>25917</v>
      </c>
      <c r="F1010">
        <v>14536</v>
      </c>
      <c r="G1010">
        <v>11381</v>
      </c>
      <c r="H1010" t="s">
        <v>38</v>
      </c>
      <c r="I1010" t="s">
        <v>28</v>
      </c>
      <c r="J1010" t="s">
        <v>42</v>
      </c>
    </row>
    <row r="1011" spans="1:10" x14ac:dyDescent="0.25">
      <c r="A1011" t="s">
        <v>1048</v>
      </c>
      <c r="B1011" s="1">
        <v>45499</v>
      </c>
      <c r="C1011" t="s">
        <v>11</v>
      </c>
      <c r="D1011" t="s">
        <v>41</v>
      </c>
      <c r="E1011">
        <v>43550</v>
      </c>
      <c r="F1011">
        <v>41313</v>
      </c>
      <c r="G1011">
        <v>2237</v>
      </c>
      <c r="H1011" t="s">
        <v>13</v>
      </c>
      <c r="I1011" t="s">
        <v>14</v>
      </c>
      <c r="J1011" t="s">
        <v>15</v>
      </c>
    </row>
    <row r="1012" spans="1:10" x14ac:dyDescent="0.25">
      <c r="A1012" t="s">
        <v>1049</v>
      </c>
      <c r="B1012" s="1">
        <v>45621</v>
      </c>
      <c r="C1012" t="s">
        <v>11</v>
      </c>
      <c r="D1012" t="s">
        <v>12</v>
      </c>
      <c r="E1012">
        <v>19685</v>
      </c>
      <c r="F1012">
        <v>1681</v>
      </c>
      <c r="G1012">
        <v>18004</v>
      </c>
      <c r="H1012" t="s">
        <v>38</v>
      </c>
      <c r="I1012" t="s">
        <v>45</v>
      </c>
      <c r="J1012" t="s">
        <v>15</v>
      </c>
    </row>
    <row r="1013" spans="1:10" x14ac:dyDescent="0.25">
      <c r="A1013" t="s">
        <v>1050</v>
      </c>
      <c r="B1013" s="1">
        <v>45127</v>
      </c>
      <c r="C1013" t="s">
        <v>44</v>
      </c>
      <c r="D1013" t="s">
        <v>41</v>
      </c>
      <c r="E1013">
        <v>6152</v>
      </c>
      <c r="F1013">
        <v>82</v>
      </c>
      <c r="G1013">
        <v>6070</v>
      </c>
      <c r="H1013" t="s">
        <v>38</v>
      </c>
      <c r="I1013" t="s">
        <v>60</v>
      </c>
      <c r="J1013" t="s">
        <v>29</v>
      </c>
    </row>
    <row r="1014" spans="1:10" x14ac:dyDescent="0.25">
      <c r="A1014" t="s">
        <v>1051</v>
      </c>
      <c r="B1014" s="1">
        <v>45751</v>
      </c>
      <c r="C1014" t="s">
        <v>26</v>
      </c>
      <c r="D1014" t="s">
        <v>18</v>
      </c>
      <c r="E1014">
        <v>33657</v>
      </c>
      <c r="F1014">
        <v>32763</v>
      </c>
      <c r="G1014">
        <v>894</v>
      </c>
      <c r="H1014" t="s">
        <v>13</v>
      </c>
      <c r="I1014" t="s">
        <v>63</v>
      </c>
      <c r="J1014" t="s">
        <v>42</v>
      </c>
    </row>
    <row r="1015" spans="1:10" x14ac:dyDescent="0.25">
      <c r="A1015" t="s">
        <v>1052</v>
      </c>
      <c r="B1015" s="1">
        <v>45939</v>
      </c>
      <c r="C1015" t="s">
        <v>17</v>
      </c>
      <c r="D1015" t="s">
        <v>12</v>
      </c>
      <c r="E1015">
        <v>31993</v>
      </c>
      <c r="F1015">
        <v>27017</v>
      </c>
      <c r="G1015">
        <v>4976</v>
      </c>
      <c r="H1015" t="s">
        <v>19</v>
      </c>
      <c r="I1015" t="s">
        <v>14</v>
      </c>
      <c r="J1015" t="s">
        <v>29</v>
      </c>
    </row>
    <row r="1016" spans="1:10" x14ac:dyDescent="0.25">
      <c r="A1016" t="s">
        <v>1053</v>
      </c>
      <c r="B1016" s="1">
        <v>45398</v>
      </c>
      <c r="C1016" t="s">
        <v>26</v>
      </c>
      <c r="D1016" t="s">
        <v>36</v>
      </c>
      <c r="E1016">
        <v>24299</v>
      </c>
      <c r="F1016">
        <v>23365</v>
      </c>
      <c r="G1016">
        <v>934</v>
      </c>
      <c r="H1016" t="s">
        <v>13</v>
      </c>
      <c r="I1016" t="s">
        <v>31</v>
      </c>
      <c r="J1016" t="s">
        <v>42</v>
      </c>
    </row>
    <row r="1017" spans="1:10" x14ac:dyDescent="0.25">
      <c r="A1017" t="s">
        <v>1054</v>
      </c>
      <c r="B1017" s="1">
        <v>45398</v>
      </c>
      <c r="C1017" t="s">
        <v>17</v>
      </c>
      <c r="D1017" t="s">
        <v>33</v>
      </c>
      <c r="E1017">
        <v>43475</v>
      </c>
      <c r="F1017">
        <v>30356</v>
      </c>
      <c r="G1017">
        <v>13119</v>
      </c>
      <c r="H1017" t="s">
        <v>27</v>
      </c>
      <c r="I1017" t="s">
        <v>14</v>
      </c>
      <c r="J1017" t="s">
        <v>24</v>
      </c>
    </row>
    <row r="1018" spans="1:10" x14ac:dyDescent="0.25">
      <c r="A1018" t="s">
        <v>1055</v>
      </c>
      <c r="B1018" s="1">
        <v>46192</v>
      </c>
      <c r="C1018" t="s">
        <v>26</v>
      </c>
      <c r="D1018" t="s">
        <v>12</v>
      </c>
      <c r="E1018">
        <v>44646</v>
      </c>
      <c r="F1018">
        <v>31896</v>
      </c>
      <c r="G1018">
        <v>12750</v>
      </c>
      <c r="H1018" t="s">
        <v>13</v>
      </c>
      <c r="I1018" t="s">
        <v>34</v>
      </c>
      <c r="J1018" t="s">
        <v>24</v>
      </c>
    </row>
    <row r="1019" spans="1:10" x14ac:dyDescent="0.25">
      <c r="A1019" t="s">
        <v>1056</v>
      </c>
      <c r="B1019" s="1">
        <v>45766</v>
      </c>
      <c r="C1019" t="s">
        <v>26</v>
      </c>
      <c r="D1019" t="s">
        <v>41</v>
      </c>
      <c r="E1019">
        <v>45675</v>
      </c>
      <c r="F1019">
        <v>44976</v>
      </c>
      <c r="G1019">
        <v>699</v>
      </c>
      <c r="H1019" t="s">
        <v>13</v>
      </c>
      <c r="I1019" t="s">
        <v>78</v>
      </c>
      <c r="J1019" t="s">
        <v>53</v>
      </c>
    </row>
    <row r="1020" spans="1:10" x14ac:dyDescent="0.25">
      <c r="A1020" t="s">
        <v>1057</v>
      </c>
      <c r="B1020" s="1">
        <v>45419</v>
      </c>
      <c r="C1020" t="s">
        <v>11</v>
      </c>
      <c r="D1020" t="s">
        <v>36</v>
      </c>
      <c r="E1020">
        <v>33340</v>
      </c>
      <c r="F1020">
        <v>13358</v>
      </c>
      <c r="G1020">
        <v>19982</v>
      </c>
      <c r="H1020" t="s">
        <v>13</v>
      </c>
      <c r="I1020" t="s">
        <v>28</v>
      </c>
      <c r="J1020" t="s">
        <v>29</v>
      </c>
    </row>
    <row r="1021" spans="1:10" x14ac:dyDescent="0.25">
      <c r="A1021" t="s">
        <v>1058</v>
      </c>
      <c r="B1021" s="1">
        <v>45233</v>
      </c>
      <c r="C1021" t="s">
        <v>26</v>
      </c>
      <c r="D1021" t="s">
        <v>12</v>
      </c>
      <c r="E1021">
        <v>7559</v>
      </c>
      <c r="F1021">
        <v>4021</v>
      </c>
      <c r="G1021">
        <v>3538</v>
      </c>
      <c r="H1021" t="s">
        <v>19</v>
      </c>
      <c r="I1021" t="s">
        <v>78</v>
      </c>
      <c r="J1021" t="s">
        <v>15</v>
      </c>
    </row>
    <row r="1022" spans="1:10" x14ac:dyDescent="0.25">
      <c r="A1022" t="s">
        <v>1059</v>
      </c>
      <c r="B1022" s="1">
        <v>45400</v>
      </c>
      <c r="C1022" t="s">
        <v>44</v>
      </c>
      <c r="D1022" t="s">
        <v>41</v>
      </c>
      <c r="E1022">
        <v>47946</v>
      </c>
      <c r="F1022">
        <v>38191</v>
      </c>
      <c r="G1022">
        <v>9755</v>
      </c>
      <c r="H1022" t="s">
        <v>19</v>
      </c>
      <c r="I1022" t="s">
        <v>34</v>
      </c>
      <c r="J1022" t="s">
        <v>53</v>
      </c>
    </row>
    <row r="1023" spans="1:10" x14ac:dyDescent="0.25">
      <c r="A1023" t="s">
        <v>1060</v>
      </c>
      <c r="B1023" s="1">
        <v>45399</v>
      </c>
      <c r="C1023" t="s">
        <v>22</v>
      </c>
      <c r="D1023" t="s">
        <v>33</v>
      </c>
      <c r="E1023">
        <v>48980</v>
      </c>
      <c r="F1023">
        <v>32611</v>
      </c>
      <c r="G1023">
        <v>16369</v>
      </c>
      <c r="H1023" t="s">
        <v>38</v>
      </c>
      <c r="I1023" t="s">
        <v>28</v>
      </c>
      <c r="J1023" t="s">
        <v>53</v>
      </c>
    </row>
    <row r="1024" spans="1:10" x14ac:dyDescent="0.25">
      <c r="A1024" t="s">
        <v>1061</v>
      </c>
      <c r="B1024" s="1">
        <v>45748</v>
      </c>
      <c r="C1024" t="s">
        <v>17</v>
      </c>
      <c r="D1024" t="s">
        <v>18</v>
      </c>
      <c r="E1024">
        <v>27259</v>
      </c>
      <c r="F1024">
        <v>12157</v>
      </c>
      <c r="G1024">
        <v>15102</v>
      </c>
      <c r="H1024" t="s">
        <v>27</v>
      </c>
      <c r="I1024" t="s">
        <v>60</v>
      </c>
      <c r="J1024" t="s">
        <v>24</v>
      </c>
    </row>
    <row r="1025" spans="1:10" x14ac:dyDescent="0.25">
      <c r="A1025" t="s">
        <v>1062</v>
      </c>
      <c r="B1025" s="1">
        <v>46027</v>
      </c>
      <c r="C1025" t="s">
        <v>17</v>
      </c>
      <c r="D1025" t="s">
        <v>36</v>
      </c>
      <c r="E1025">
        <v>21428</v>
      </c>
      <c r="F1025">
        <v>17443</v>
      </c>
      <c r="G1025">
        <v>3985</v>
      </c>
      <c r="H1025" t="s">
        <v>38</v>
      </c>
      <c r="I1025" t="s">
        <v>63</v>
      </c>
      <c r="J1025" t="s">
        <v>24</v>
      </c>
    </row>
    <row r="1026" spans="1:10" x14ac:dyDescent="0.25">
      <c r="A1026" t="s">
        <v>1063</v>
      </c>
      <c r="B1026" s="1">
        <v>45510</v>
      </c>
      <c r="C1026" t="s">
        <v>22</v>
      </c>
      <c r="D1026" t="s">
        <v>41</v>
      </c>
      <c r="E1026">
        <v>47061</v>
      </c>
      <c r="F1026">
        <v>43985</v>
      </c>
      <c r="G1026">
        <v>3076</v>
      </c>
      <c r="H1026" t="s">
        <v>27</v>
      </c>
      <c r="I1026" t="s">
        <v>78</v>
      </c>
      <c r="J1026" t="s">
        <v>42</v>
      </c>
    </row>
    <row r="1027" spans="1:10" x14ac:dyDescent="0.25">
      <c r="A1027" t="s">
        <v>1064</v>
      </c>
      <c r="B1027" s="1">
        <v>45689</v>
      </c>
      <c r="C1027" t="s">
        <v>22</v>
      </c>
      <c r="D1027" t="s">
        <v>41</v>
      </c>
      <c r="E1027">
        <v>20090</v>
      </c>
      <c r="F1027">
        <v>3252</v>
      </c>
      <c r="G1027">
        <v>16838</v>
      </c>
      <c r="H1027" t="s">
        <v>19</v>
      </c>
      <c r="I1027" t="s">
        <v>31</v>
      </c>
      <c r="J1027" t="s">
        <v>53</v>
      </c>
    </row>
    <row r="1028" spans="1:10" x14ac:dyDescent="0.25">
      <c r="A1028" t="s">
        <v>1065</v>
      </c>
      <c r="B1028" s="1">
        <v>45811</v>
      </c>
      <c r="C1028" t="s">
        <v>11</v>
      </c>
      <c r="D1028" t="s">
        <v>41</v>
      </c>
      <c r="E1028">
        <v>44310</v>
      </c>
      <c r="F1028">
        <v>33094</v>
      </c>
      <c r="G1028">
        <v>11216</v>
      </c>
      <c r="H1028" t="s">
        <v>13</v>
      </c>
      <c r="I1028" t="s">
        <v>78</v>
      </c>
      <c r="J1028" t="s">
        <v>53</v>
      </c>
    </row>
    <row r="1029" spans="1:10" x14ac:dyDescent="0.25">
      <c r="A1029" t="s">
        <v>1066</v>
      </c>
      <c r="B1029" s="1">
        <v>45348</v>
      </c>
      <c r="C1029" t="s">
        <v>11</v>
      </c>
      <c r="D1029" t="s">
        <v>18</v>
      </c>
      <c r="E1029">
        <v>14809</v>
      </c>
      <c r="F1029">
        <v>14193</v>
      </c>
      <c r="G1029">
        <v>616</v>
      </c>
      <c r="H1029" t="s">
        <v>27</v>
      </c>
      <c r="I1029" t="s">
        <v>14</v>
      </c>
      <c r="J1029" t="s">
        <v>42</v>
      </c>
    </row>
    <row r="1030" spans="1:10" x14ac:dyDescent="0.25">
      <c r="A1030" t="s">
        <v>1067</v>
      </c>
      <c r="B1030" s="1">
        <v>46192</v>
      </c>
      <c r="C1030" t="s">
        <v>44</v>
      </c>
      <c r="D1030" t="s">
        <v>12</v>
      </c>
      <c r="E1030">
        <v>37112</v>
      </c>
      <c r="F1030">
        <v>32704</v>
      </c>
      <c r="G1030">
        <v>4408</v>
      </c>
      <c r="H1030" t="s">
        <v>38</v>
      </c>
      <c r="I1030" t="s">
        <v>14</v>
      </c>
      <c r="J1030" t="s">
        <v>15</v>
      </c>
    </row>
    <row r="1031" spans="1:10" x14ac:dyDescent="0.25">
      <c r="A1031" t="s">
        <v>1068</v>
      </c>
      <c r="B1031" s="1">
        <v>46137</v>
      </c>
      <c r="C1031" t="s">
        <v>26</v>
      </c>
      <c r="D1031" t="s">
        <v>33</v>
      </c>
      <c r="E1031">
        <v>25204</v>
      </c>
      <c r="F1031">
        <v>15379</v>
      </c>
      <c r="G1031">
        <v>9825</v>
      </c>
      <c r="H1031" t="s">
        <v>19</v>
      </c>
      <c r="I1031" t="s">
        <v>60</v>
      </c>
      <c r="J1031" t="s">
        <v>15</v>
      </c>
    </row>
    <row r="1032" spans="1:10" x14ac:dyDescent="0.25">
      <c r="A1032" t="s">
        <v>1069</v>
      </c>
      <c r="B1032" s="1">
        <v>45644</v>
      </c>
      <c r="C1032" t="s">
        <v>44</v>
      </c>
      <c r="D1032" t="s">
        <v>41</v>
      </c>
      <c r="E1032">
        <v>12603</v>
      </c>
      <c r="F1032">
        <v>6245</v>
      </c>
      <c r="G1032">
        <v>6358</v>
      </c>
      <c r="H1032" t="s">
        <v>27</v>
      </c>
      <c r="I1032" t="s">
        <v>23</v>
      </c>
      <c r="J1032" t="s">
        <v>42</v>
      </c>
    </row>
    <row r="1033" spans="1:10" x14ac:dyDescent="0.25">
      <c r="A1033" t="s">
        <v>1070</v>
      </c>
      <c r="B1033" s="1">
        <v>45262</v>
      </c>
      <c r="C1033" t="s">
        <v>22</v>
      </c>
      <c r="D1033" t="s">
        <v>18</v>
      </c>
      <c r="E1033">
        <v>24932</v>
      </c>
      <c r="F1033">
        <v>8816</v>
      </c>
      <c r="G1033">
        <v>16116</v>
      </c>
      <c r="H1033" t="s">
        <v>19</v>
      </c>
      <c r="I1033" t="s">
        <v>63</v>
      </c>
      <c r="J1033" t="s">
        <v>42</v>
      </c>
    </row>
    <row r="1034" spans="1:10" x14ac:dyDescent="0.25">
      <c r="A1034" t="s">
        <v>1071</v>
      </c>
      <c r="B1034" s="1">
        <v>45169</v>
      </c>
      <c r="C1034" t="s">
        <v>22</v>
      </c>
      <c r="D1034" t="s">
        <v>36</v>
      </c>
      <c r="E1034">
        <v>23211</v>
      </c>
      <c r="F1034">
        <v>20194</v>
      </c>
      <c r="G1034">
        <v>3017</v>
      </c>
      <c r="H1034" t="s">
        <v>19</v>
      </c>
      <c r="I1034" t="s">
        <v>23</v>
      </c>
      <c r="J1034" t="s">
        <v>15</v>
      </c>
    </row>
    <row r="1035" spans="1:10" x14ac:dyDescent="0.25">
      <c r="A1035" t="s">
        <v>1072</v>
      </c>
      <c r="B1035" s="1">
        <v>45936</v>
      </c>
      <c r="C1035" t="s">
        <v>26</v>
      </c>
      <c r="D1035" t="s">
        <v>18</v>
      </c>
      <c r="E1035">
        <v>46582</v>
      </c>
      <c r="F1035">
        <v>41440</v>
      </c>
      <c r="G1035">
        <v>5142</v>
      </c>
      <c r="H1035" t="s">
        <v>38</v>
      </c>
      <c r="I1035" t="s">
        <v>28</v>
      </c>
      <c r="J1035" t="s">
        <v>24</v>
      </c>
    </row>
    <row r="1036" spans="1:10" x14ac:dyDescent="0.25">
      <c r="A1036" t="s">
        <v>1073</v>
      </c>
      <c r="B1036" s="1">
        <v>45160</v>
      </c>
      <c r="C1036" t="s">
        <v>26</v>
      </c>
      <c r="D1036" t="s">
        <v>33</v>
      </c>
      <c r="E1036">
        <v>6541</v>
      </c>
      <c r="F1036">
        <v>4359</v>
      </c>
      <c r="G1036">
        <v>2182</v>
      </c>
      <c r="H1036" t="s">
        <v>27</v>
      </c>
      <c r="I1036" t="s">
        <v>45</v>
      </c>
      <c r="J1036" t="s">
        <v>29</v>
      </c>
    </row>
    <row r="1037" spans="1:10" x14ac:dyDescent="0.25">
      <c r="A1037" t="s">
        <v>1074</v>
      </c>
      <c r="B1037" s="1">
        <v>45291</v>
      </c>
      <c r="C1037" t="s">
        <v>17</v>
      </c>
      <c r="D1037" t="s">
        <v>36</v>
      </c>
      <c r="E1037">
        <v>9665</v>
      </c>
      <c r="F1037">
        <v>9032</v>
      </c>
      <c r="G1037">
        <v>633</v>
      </c>
      <c r="H1037" t="s">
        <v>27</v>
      </c>
      <c r="I1037" t="s">
        <v>63</v>
      </c>
      <c r="J1037" t="s">
        <v>42</v>
      </c>
    </row>
    <row r="1038" spans="1:10" x14ac:dyDescent="0.25">
      <c r="A1038" t="s">
        <v>1075</v>
      </c>
      <c r="B1038" s="1">
        <v>45448</v>
      </c>
      <c r="C1038" t="s">
        <v>44</v>
      </c>
      <c r="D1038" t="s">
        <v>36</v>
      </c>
      <c r="E1038">
        <v>39971</v>
      </c>
      <c r="F1038">
        <v>34002</v>
      </c>
      <c r="G1038">
        <v>5969</v>
      </c>
      <c r="H1038" t="s">
        <v>13</v>
      </c>
      <c r="I1038" t="s">
        <v>14</v>
      </c>
      <c r="J1038" t="s">
        <v>15</v>
      </c>
    </row>
    <row r="1039" spans="1:10" x14ac:dyDescent="0.25">
      <c r="A1039" t="s">
        <v>1076</v>
      </c>
      <c r="B1039" s="1">
        <v>45838</v>
      </c>
      <c r="C1039" t="s">
        <v>22</v>
      </c>
      <c r="D1039" t="s">
        <v>41</v>
      </c>
      <c r="E1039">
        <v>32503</v>
      </c>
      <c r="F1039">
        <v>22280</v>
      </c>
      <c r="G1039">
        <v>10223</v>
      </c>
      <c r="H1039" t="s">
        <v>19</v>
      </c>
      <c r="I1039" t="s">
        <v>14</v>
      </c>
      <c r="J1039" t="s">
        <v>53</v>
      </c>
    </row>
    <row r="1040" spans="1:10" x14ac:dyDescent="0.25">
      <c r="A1040" t="s">
        <v>1077</v>
      </c>
      <c r="B1040" s="1">
        <v>45587</v>
      </c>
      <c r="C1040" t="s">
        <v>17</v>
      </c>
      <c r="D1040" t="s">
        <v>33</v>
      </c>
      <c r="E1040">
        <v>38578</v>
      </c>
      <c r="F1040">
        <v>33643</v>
      </c>
      <c r="G1040">
        <v>4935</v>
      </c>
      <c r="H1040" t="s">
        <v>13</v>
      </c>
      <c r="I1040" t="s">
        <v>31</v>
      </c>
      <c r="J1040" t="s">
        <v>24</v>
      </c>
    </row>
    <row r="1041" spans="1:10" x14ac:dyDescent="0.25">
      <c r="A1041" t="s">
        <v>1078</v>
      </c>
      <c r="B1041" s="1">
        <v>45260</v>
      </c>
      <c r="C1041" t="s">
        <v>11</v>
      </c>
      <c r="D1041" t="s">
        <v>33</v>
      </c>
      <c r="E1041">
        <v>48092</v>
      </c>
      <c r="F1041">
        <v>31990</v>
      </c>
      <c r="G1041">
        <v>16102</v>
      </c>
      <c r="H1041" t="s">
        <v>38</v>
      </c>
      <c r="I1041" t="s">
        <v>28</v>
      </c>
      <c r="J1041" t="s">
        <v>15</v>
      </c>
    </row>
    <row r="1042" spans="1:10" x14ac:dyDescent="0.25">
      <c r="A1042" t="s">
        <v>1079</v>
      </c>
      <c r="B1042" s="1">
        <v>45319</v>
      </c>
      <c r="C1042" t="s">
        <v>22</v>
      </c>
      <c r="D1042" t="s">
        <v>36</v>
      </c>
      <c r="E1042">
        <v>35452</v>
      </c>
      <c r="F1042">
        <v>26259</v>
      </c>
      <c r="G1042">
        <v>9193</v>
      </c>
      <c r="H1042" t="s">
        <v>19</v>
      </c>
      <c r="I1042" t="s">
        <v>78</v>
      </c>
      <c r="J1042" t="s">
        <v>42</v>
      </c>
    </row>
    <row r="1043" spans="1:10" x14ac:dyDescent="0.25">
      <c r="A1043" t="s">
        <v>1080</v>
      </c>
      <c r="B1043" s="1">
        <v>45780</v>
      </c>
      <c r="C1043" t="s">
        <v>44</v>
      </c>
      <c r="D1043" t="s">
        <v>41</v>
      </c>
      <c r="E1043">
        <v>12237</v>
      </c>
      <c r="F1043">
        <v>4374</v>
      </c>
      <c r="G1043">
        <v>7863</v>
      </c>
      <c r="H1043" t="s">
        <v>19</v>
      </c>
      <c r="I1043" t="s">
        <v>34</v>
      </c>
      <c r="J1043" t="s">
        <v>42</v>
      </c>
    </row>
    <row r="1044" spans="1:10" x14ac:dyDescent="0.25">
      <c r="A1044" t="s">
        <v>1081</v>
      </c>
      <c r="B1044" s="1">
        <v>45497</v>
      </c>
      <c r="C1044" t="s">
        <v>44</v>
      </c>
      <c r="D1044" t="s">
        <v>36</v>
      </c>
      <c r="E1044">
        <v>43889</v>
      </c>
      <c r="F1044">
        <v>35521</v>
      </c>
      <c r="G1044">
        <v>8368</v>
      </c>
      <c r="H1044" t="s">
        <v>13</v>
      </c>
      <c r="I1044" t="s">
        <v>14</v>
      </c>
      <c r="J1044" t="s">
        <v>29</v>
      </c>
    </row>
    <row r="1045" spans="1:10" x14ac:dyDescent="0.25">
      <c r="A1045" t="s">
        <v>1082</v>
      </c>
      <c r="B1045" s="1">
        <v>46106</v>
      </c>
      <c r="C1045" t="s">
        <v>26</v>
      </c>
      <c r="D1045" t="s">
        <v>18</v>
      </c>
      <c r="E1045">
        <v>44023</v>
      </c>
      <c r="F1045">
        <v>26038</v>
      </c>
      <c r="G1045">
        <v>17985</v>
      </c>
      <c r="H1045" t="s">
        <v>13</v>
      </c>
      <c r="I1045" t="s">
        <v>28</v>
      </c>
      <c r="J1045" t="s">
        <v>42</v>
      </c>
    </row>
    <row r="1046" spans="1:10" x14ac:dyDescent="0.25">
      <c r="A1046" t="s">
        <v>1083</v>
      </c>
      <c r="B1046" s="1">
        <v>45989</v>
      </c>
      <c r="C1046" t="s">
        <v>11</v>
      </c>
      <c r="D1046" t="s">
        <v>33</v>
      </c>
      <c r="E1046">
        <v>38283</v>
      </c>
      <c r="F1046">
        <v>20294</v>
      </c>
      <c r="G1046">
        <v>17989</v>
      </c>
      <c r="H1046" t="s">
        <v>27</v>
      </c>
      <c r="I1046" t="s">
        <v>78</v>
      </c>
      <c r="J1046" t="s">
        <v>24</v>
      </c>
    </row>
    <row r="1047" spans="1:10" x14ac:dyDescent="0.25">
      <c r="A1047" t="s">
        <v>1084</v>
      </c>
      <c r="B1047" s="1">
        <v>45143</v>
      </c>
      <c r="C1047" t="s">
        <v>26</v>
      </c>
      <c r="D1047" t="s">
        <v>18</v>
      </c>
      <c r="E1047">
        <v>15514</v>
      </c>
      <c r="F1047">
        <v>8908</v>
      </c>
      <c r="G1047">
        <v>6606</v>
      </c>
      <c r="H1047" t="s">
        <v>27</v>
      </c>
      <c r="I1047" t="s">
        <v>63</v>
      </c>
      <c r="J1047" t="s">
        <v>15</v>
      </c>
    </row>
    <row r="1048" spans="1:10" x14ac:dyDescent="0.25">
      <c r="A1048" t="s">
        <v>1085</v>
      </c>
      <c r="B1048" s="1">
        <v>45894</v>
      </c>
      <c r="C1048" t="s">
        <v>22</v>
      </c>
      <c r="D1048" t="s">
        <v>12</v>
      </c>
      <c r="E1048">
        <v>8819</v>
      </c>
      <c r="F1048">
        <v>2578</v>
      </c>
      <c r="G1048">
        <v>6241</v>
      </c>
      <c r="H1048" t="s">
        <v>38</v>
      </c>
      <c r="I1048" t="s">
        <v>78</v>
      </c>
      <c r="J1048" t="s">
        <v>24</v>
      </c>
    </row>
    <row r="1049" spans="1:10" x14ac:dyDescent="0.25">
      <c r="A1049" t="s">
        <v>1086</v>
      </c>
      <c r="B1049" s="1">
        <v>45680</v>
      </c>
      <c r="C1049" t="s">
        <v>26</v>
      </c>
      <c r="D1049" t="s">
        <v>12</v>
      </c>
      <c r="E1049">
        <v>28428</v>
      </c>
      <c r="F1049">
        <v>18183</v>
      </c>
      <c r="G1049">
        <v>10245</v>
      </c>
      <c r="H1049" t="s">
        <v>13</v>
      </c>
      <c r="I1049" t="s">
        <v>20</v>
      </c>
      <c r="J1049" t="s">
        <v>29</v>
      </c>
    </row>
    <row r="1050" spans="1:10" x14ac:dyDescent="0.25">
      <c r="A1050" t="s">
        <v>1087</v>
      </c>
      <c r="B1050" s="1">
        <v>45700</v>
      </c>
      <c r="C1050" t="s">
        <v>22</v>
      </c>
      <c r="D1050" t="s">
        <v>18</v>
      </c>
      <c r="E1050">
        <v>28537</v>
      </c>
      <c r="F1050">
        <v>26795</v>
      </c>
      <c r="G1050">
        <v>1742</v>
      </c>
      <c r="H1050" t="s">
        <v>38</v>
      </c>
      <c r="I1050" t="s">
        <v>34</v>
      </c>
      <c r="J1050" t="s">
        <v>24</v>
      </c>
    </row>
    <row r="1051" spans="1:10" x14ac:dyDescent="0.25">
      <c r="A1051" t="s">
        <v>1088</v>
      </c>
      <c r="B1051" s="1">
        <v>45375</v>
      </c>
      <c r="C1051" t="s">
        <v>44</v>
      </c>
      <c r="D1051" t="s">
        <v>18</v>
      </c>
      <c r="E1051">
        <v>13636</v>
      </c>
      <c r="F1051">
        <v>10409</v>
      </c>
      <c r="G1051">
        <v>3227</v>
      </c>
      <c r="H1051" t="s">
        <v>38</v>
      </c>
      <c r="I1051" t="s">
        <v>31</v>
      </c>
      <c r="J1051" t="s">
        <v>29</v>
      </c>
    </row>
    <row r="1052" spans="1:10" x14ac:dyDescent="0.25">
      <c r="A1052" t="s">
        <v>1089</v>
      </c>
      <c r="B1052" s="1">
        <v>45955</v>
      </c>
      <c r="C1052" t="s">
        <v>11</v>
      </c>
      <c r="D1052" t="s">
        <v>12</v>
      </c>
      <c r="E1052">
        <v>31207</v>
      </c>
      <c r="F1052">
        <v>28504</v>
      </c>
      <c r="G1052">
        <v>2703</v>
      </c>
      <c r="H1052" t="s">
        <v>38</v>
      </c>
      <c r="I1052" t="s">
        <v>28</v>
      </c>
      <c r="J1052" t="s">
        <v>29</v>
      </c>
    </row>
    <row r="1053" spans="1:10" x14ac:dyDescent="0.25">
      <c r="A1053" t="s">
        <v>1090</v>
      </c>
      <c r="B1053" s="1">
        <v>45211</v>
      </c>
      <c r="C1053" t="s">
        <v>44</v>
      </c>
      <c r="D1053" t="s">
        <v>41</v>
      </c>
      <c r="E1053">
        <v>49987</v>
      </c>
      <c r="F1053">
        <v>45005</v>
      </c>
      <c r="G1053">
        <v>4982</v>
      </c>
      <c r="H1053" t="s">
        <v>38</v>
      </c>
      <c r="I1053" t="s">
        <v>34</v>
      </c>
      <c r="J1053" t="s">
        <v>24</v>
      </c>
    </row>
    <row r="1054" spans="1:10" x14ac:dyDescent="0.25">
      <c r="A1054" t="s">
        <v>1091</v>
      </c>
      <c r="B1054" s="1">
        <v>45656</v>
      </c>
      <c r="C1054" t="s">
        <v>44</v>
      </c>
      <c r="D1054" t="s">
        <v>41</v>
      </c>
      <c r="E1054">
        <v>25177</v>
      </c>
      <c r="F1054">
        <v>11558</v>
      </c>
      <c r="G1054">
        <v>13619</v>
      </c>
      <c r="H1054" t="s">
        <v>38</v>
      </c>
      <c r="I1054" t="s">
        <v>20</v>
      </c>
      <c r="J1054" t="s">
        <v>42</v>
      </c>
    </row>
    <row r="1055" spans="1:10" x14ac:dyDescent="0.25">
      <c r="A1055" t="s">
        <v>1092</v>
      </c>
      <c r="B1055" s="1">
        <v>45201</v>
      </c>
      <c r="C1055" t="s">
        <v>26</v>
      </c>
      <c r="D1055" t="s">
        <v>41</v>
      </c>
      <c r="E1055">
        <v>42707</v>
      </c>
      <c r="F1055">
        <v>28509</v>
      </c>
      <c r="G1055">
        <v>14198</v>
      </c>
      <c r="H1055" t="s">
        <v>19</v>
      </c>
      <c r="I1055" t="s">
        <v>78</v>
      </c>
      <c r="J1055" t="s">
        <v>15</v>
      </c>
    </row>
    <row r="1056" spans="1:10" x14ac:dyDescent="0.25">
      <c r="A1056" t="s">
        <v>1093</v>
      </c>
      <c r="B1056" s="1">
        <v>45896</v>
      </c>
      <c r="C1056" t="s">
        <v>44</v>
      </c>
      <c r="D1056" t="s">
        <v>41</v>
      </c>
      <c r="E1056">
        <v>29967</v>
      </c>
      <c r="F1056">
        <v>18383</v>
      </c>
      <c r="G1056">
        <v>11584</v>
      </c>
      <c r="H1056" t="s">
        <v>27</v>
      </c>
      <c r="I1056" t="s">
        <v>23</v>
      </c>
      <c r="J1056" t="s">
        <v>42</v>
      </c>
    </row>
    <row r="1057" spans="1:10" x14ac:dyDescent="0.25">
      <c r="A1057" t="s">
        <v>1094</v>
      </c>
      <c r="B1057" s="1">
        <v>45607</v>
      </c>
      <c r="C1057" t="s">
        <v>44</v>
      </c>
      <c r="D1057" t="s">
        <v>12</v>
      </c>
      <c r="E1057">
        <v>40269</v>
      </c>
      <c r="F1057">
        <v>26506</v>
      </c>
      <c r="G1057">
        <v>13763</v>
      </c>
      <c r="H1057" t="s">
        <v>38</v>
      </c>
      <c r="I1057" t="s">
        <v>63</v>
      </c>
      <c r="J1057" t="s">
        <v>29</v>
      </c>
    </row>
    <row r="1058" spans="1:10" x14ac:dyDescent="0.25">
      <c r="A1058" t="s">
        <v>1095</v>
      </c>
      <c r="B1058" s="1">
        <v>46175</v>
      </c>
      <c r="C1058" t="s">
        <v>17</v>
      </c>
      <c r="D1058" t="s">
        <v>12</v>
      </c>
      <c r="E1058">
        <v>15121</v>
      </c>
      <c r="F1058">
        <v>1040</v>
      </c>
      <c r="G1058">
        <v>14081</v>
      </c>
      <c r="H1058" t="s">
        <v>27</v>
      </c>
      <c r="I1058" t="s">
        <v>14</v>
      </c>
      <c r="J1058" t="s">
        <v>53</v>
      </c>
    </row>
    <row r="1059" spans="1:10" x14ac:dyDescent="0.25">
      <c r="A1059" t="s">
        <v>1096</v>
      </c>
      <c r="B1059" s="1">
        <v>46108</v>
      </c>
      <c r="C1059" t="s">
        <v>26</v>
      </c>
      <c r="D1059" t="s">
        <v>18</v>
      </c>
      <c r="E1059">
        <v>6026</v>
      </c>
      <c r="F1059">
        <v>2730</v>
      </c>
      <c r="G1059">
        <v>3296</v>
      </c>
      <c r="H1059" t="s">
        <v>19</v>
      </c>
      <c r="I1059" t="s">
        <v>63</v>
      </c>
      <c r="J1059" t="s">
        <v>53</v>
      </c>
    </row>
    <row r="1060" spans="1:10" x14ac:dyDescent="0.25">
      <c r="A1060" t="s">
        <v>1097</v>
      </c>
      <c r="B1060" s="1">
        <v>45327</v>
      </c>
      <c r="C1060" t="s">
        <v>26</v>
      </c>
      <c r="D1060" t="s">
        <v>33</v>
      </c>
      <c r="E1060">
        <v>24708</v>
      </c>
      <c r="F1060">
        <v>15437</v>
      </c>
      <c r="G1060">
        <v>9271</v>
      </c>
      <c r="H1060" t="s">
        <v>19</v>
      </c>
      <c r="I1060" t="s">
        <v>34</v>
      </c>
      <c r="J1060" t="s">
        <v>29</v>
      </c>
    </row>
    <row r="1061" spans="1:10" x14ac:dyDescent="0.25">
      <c r="A1061" t="s">
        <v>1098</v>
      </c>
      <c r="B1061" s="1">
        <v>45695</v>
      </c>
      <c r="C1061" t="s">
        <v>22</v>
      </c>
      <c r="D1061" t="s">
        <v>33</v>
      </c>
      <c r="E1061">
        <v>48329</v>
      </c>
      <c r="F1061">
        <v>31346</v>
      </c>
      <c r="G1061">
        <v>16983</v>
      </c>
      <c r="H1061" t="s">
        <v>13</v>
      </c>
      <c r="I1061" t="s">
        <v>31</v>
      </c>
      <c r="J1061" t="s">
        <v>29</v>
      </c>
    </row>
    <row r="1062" spans="1:10" x14ac:dyDescent="0.25">
      <c r="A1062" t="s">
        <v>1099</v>
      </c>
      <c r="B1062" s="1">
        <v>45439</v>
      </c>
      <c r="C1062" t="s">
        <v>44</v>
      </c>
      <c r="D1062" t="s">
        <v>41</v>
      </c>
      <c r="E1062">
        <v>18562</v>
      </c>
      <c r="F1062">
        <v>9965</v>
      </c>
      <c r="G1062">
        <v>8597</v>
      </c>
      <c r="H1062" t="s">
        <v>19</v>
      </c>
      <c r="I1062" t="s">
        <v>23</v>
      </c>
      <c r="J1062" t="s">
        <v>29</v>
      </c>
    </row>
    <row r="1063" spans="1:10" x14ac:dyDescent="0.25">
      <c r="A1063" t="s">
        <v>1100</v>
      </c>
      <c r="B1063" s="1">
        <v>45761</v>
      </c>
      <c r="C1063" t="s">
        <v>26</v>
      </c>
      <c r="D1063" t="s">
        <v>12</v>
      </c>
      <c r="E1063">
        <v>13787</v>
      </c>
      <c r="F1063">
        <v>4606</v>
      </c>
      <c r="G1063">
        <v>9181</v>
      </c>
      <c r="H1063" t="s">
        <v>19</v>
      </c>
      <c r="I1063" t="s">
        <v>45</v>
      </c>
      <c r="J1063" t="s">
        <v>42</v>
      </c>
    </row>
    <row r="1064" spans="1:10" x14ac:dyDescent="0.25">
      <c r="A1064" t="s">
        <v>1101</v>
      </c>
      <c r="B1064" s="1">
        <v>46141</v>
      </c>
      <c r="C1064" t="s">
        <v>17</v>
      </c>
      <c r="D1064" t="s">
        <v>36</v>
      </c>
      <c r="E1064">
        <v>21553</v>
      </c>
      <c r="F1064">
        <v>17534</v>
      </c>
      <c r="G1064">
        <v>4019</v>
      </c>
      <c r="H1064" t="s">
        <v>27</v>
      </c>
      <c r="I1064" t="s">
        <v>45</v>
      </c>
      <c r="J1064" t="s">
        <v>53</v>
      </c>
    </row>
    <row r="1065" spans="1:10" x14ac:dyDescent="0.25">
      <c r="A1065" t="s">
        <v>1102</v>
      </c>
      <c r="B1065" s="1">
        <v>46007</v>
      </c>
      <c r="C1065" t="s">
        <v>26</v>
      </c>
      <c r="D1065" t="s">
        <v>33</v>
      </c>
      <c r="E1065">
        <v>15181</v>
      </c>
      <c r="F1065">
        <v>11101</v>
      </c>
      <c r="G1065">
        <v>4080</v>
      </c>
      <c r="H1065" t="s">
        <v>38</v>
      </c>
      <c r="I1065" t="s">
        <v>60</v>
      </c>
      <c r="J1065" t="s">
        <v>15</v>
      </c>
    </row>
    <row r="1066" spans="1:10" x14ac:dyDescent="0.25">
      <c r="A1066" t="s">
        <v>1103</v>
      </c>
      <c r="B1066" s="1">
        <v>45707</v>
      </c>
      <c r="C1066" t="s">
        <v>44</v>
      </c>
      <c r="D1066" t="s">
        <v>33</v>
      </c>
      <c r="E1066">
        <v>18073</v>
      </c>
      <c r="F1066">
        <v>4704</v>
      </c>
      <c r="G1066">
        <v>13369</v>
      </c>
      <c r="H1066" t="s">
        <v>13</v>
      </c>
      <c r="I1066" t="s">
        <v>60</v>
      </c>
      <c r="J1066" t="s">
        <v>15</v>
      </c>
    </row>
    <row r="1067" spans="1:10" x14ac:dyDescent="0.25">
      <c r="A1067" t="s">
        <v>1104</v>
      </c>
      <c r="B1067" s="1">
        <v>45593</v>
      </c>
      <c r="C1067" t="s">
        <v>22</v>
      </c>
      <c r="D1067" t="s">
        <v>36</v>
      </c>
      <c r="E1067">
        <v>14180</v>
      </c>
      <c r="F1067">
        <v>6078</v>
      </c>
      <c r="G1067">
        <v>8102</v>
      </c>
      <c r="H1067" t="s">
        <v>38</v>
      </c>
      <c r="I1067" t="s">
        <v>31</v>
      </c>
      <c r="J1067" t="s">
        <v>53</v>
      </c>
    </row>
    <row r="1068" spans="1:10" x14ac:dyDescent="0.25">
      <c r="A1068" t="s">
        <v>1105</v>
      </c>
      <c r="B1068" s="1">
        <v>45772</v>
      </c>
      <c r="C1068" t="s">
        <v>22</v>
      </c>
      <c r="D1068" t="s">
        <v>41</v>
      </c>
      <c r="E1068">
        <v>27585</v>
      </c>
      <c r="F1068">
        <v>12847</v>
      </c>
      <c r="G1068">
        <v>14738</v>
      </c>
      <c r="H1068" t="s">
        <v>13</v>
      </c>
      <c r="I1068" t="s">
        <v>60</v>
      </c>
      <c r="J1068" t="s">
        <v>15</v>
      </c>
    </row>
    <row r="1069" spans="1:10" x14ac:dyDescent="0.25">
      <c r="A1069" t="s">
        <v>1106</v>
      </c>
      <c r="B1069" s="1">
        <v>45150</v>
      </c>
      <c r="C1069" t="s">
        <v>22</v>
      </c>
      <c r="D1069" t="s">
        <v>36</v>
      </c>
      <c r="E1069">
        <v>40351</v>
      </c>
      <c r="F1069">
        <v>25489</v>
      </c>
      <c r="G1069">
        <v>14862</v>
      </c>
      <c r="H1069" t="s">
        <v>19</v>
      </c>
      <c r="I1069" t="s">
        <v>45</v>
      </c>
      <c r="J1069" t="s">
        <v>15</v>
      </c>
    </row>
    <row r="1070" spans="1:10" x14ac:dyDescent="0.25">
      <c r="A1070" t="s">
        <v>1107</v>
      </c>
      <c r="B1070" s="1">
        <v>45346</v>
      </c>
      <c r="C1070" t="s">
        <v>26</v>
      </c>
      <c r="D1070" t="s">
        <v>12</v>
      </c>
      <c r="E1070">
        <v>47901</v>
      </c>
      <c r="F1070">
        <v>47394</v>
      </c>
      <c r="G1070">
        <v>507</v>
      </c>
      <c r="H1070" t="s">
        <v>38</v>
      </c>
      <c r="I1070" t="s">
        <v>45</v>
      </c>
      <c r="J1070" t="s">
        <v>42</v>
      </c>
    </row>
    <row r="1071" spans="1:10" x14ac:dyDescent="0.25">
      <c r="A1071" t="s">
        <v>1108</v>
      </c>
      <c r="B1071" s="1">
        <v>45152</v>
      </c>
      <c r="C1071" t="s">
        <v>44</v>
      </c>
      <c r="D1071" t="s">
        <v>36</v>
      </c>
      <c r="E1071">
        <v>32762</v>
      </c>
      <c r="F1071">
        <v>13510</v>
      </c>
      <c r="G1071">
        <v>19252</v>
      </c>
      <c r="H1071" t="s">
        <v>19</v>
      </c>
      <c r="I1071" t="s">
        <v>78</v>
      </c>
      <c r="J1071" t="s">
        <v>42</v>
      </c>
    </row>
    <row r="1072" spans="1:10" x14ac:dyDescent="0.25">
      <c r="A1072" t="s">
        <v>1109</v>
      </c>
      <c r="B1072" s="1">
        <v>45280</v>
      </c>
      <c r="C1072" t="s">
        <v>11</v>
      </c>
      <c r="D1072" t="s">
        <v>36</v>
      </c>
      <c r="E1072">
        <v>18452</v>
      </c>
      <c r="F1072">
        <v>5385</v>
      </c>
      <c r="G1072">
        <v>13067</v>
      </c>
      <c r="H1072" t="s">
        <v>27</v>
      </c>
      <c r="I1072" t="s">
        <v>34</v>
      </c>
      <c r="J1072" t="s">
        <v>15</v>
      </c>
    </row>
    <row r="1073" spans="1:10" x14ac:dyDescent="0.25">
      <c r="A1073" t="s">
        <v>1110</v>
      </c>
      <c r="B1073" s="1">
        <v>45471</v>
      </c>
      <c r="C1073" t="s">
        <v>26</v>
      </c>
      <c r="D1073" t="s">
        <v>41</v>
      </c>
      <c r="E1073">
        <v>7339</v>
      </c>
      <c r="F1073">
        <v>6652</v>
      </c>
      <c r="G1073">
        <v>687</v>
      </c>
      <c r="H1073" t="s">
        <v>19</v>
      </c>
      <c r="I1073" t="s">
        <v>14</v>
      </c>
      <c r="J1073" t="s">
        <v>15</v>
      </c>
    </row>
    <row r="1074" spans="1:10" x14ac:dyDescent="0.25">
      <c r="A1074" t="s">
        <v>1111</v>
      </c>
      <c r="B1074" s="1">
        <v>45900</v>
      </c>
      <c r="C1074" t="s">
        <v>11</v>
      </c>
      <c r="D1074" t="s">
        <v>12</v>
      </c>
      <c r="E1074">
        <v>48893</v>
      </c>
      <c r="F1074">
        <v>30207</v>
      </c>
      <c r="G1074">
        <v>18686</v>
      </c>
      <c r="H1074" t="s">
        <v>38</v>
      </c>
      <c r="I1074" t="s">
        <v>63</v>
      </c>
      <c r="J1074" t="s">
        <v>42</v>
      </c>
    </row>
    <row r="1075" spans="1:10" x14ac:dyDescent="0.25">
      <c r="A1075" t="s">
        <v>1112</v>
      </c>
      <c r="B1075" s="1">
        <v>45134</v>
      </c>
      <c r="C1075" t="s">
        <v>26</v>
      </c>
      <c r="D1075" t="s">
        <v>18</v>
      </c>
      <c r="E1075">
        <v>46711</v>
      </c>
      <c r="F1075">
        <v>37581</v>
      </c>
      <c r="G1075">
        <v>9130</v>
      </c>
      <c r="H1075" t="s">
        <v>19</v>
      </c>
      <c r="I1075" t="s">
        <v>20</v>
      </c>
      <c r="J1075" t="s">
        <v>15</v>
      </c>
    </row>
    <row r="1076" spans="1:10" x14ac:dyDescent="0.25">
      <c r="A1076" t="s">
        <v>1113</v>
      </c>
      <c r="B1076" s="1">
        <v>45427</v>
      </c>
      <c r="C1076" t="s">
        <v>44</v>
      </c>
      <c r="D1076" t="s">
        <v>18</v>
      </c>
      <c r="E1076">
        <v>7526</v>
      </c>
      <c r="F1076">
        <v>908</v>
      </c>
      <c r="G1076">
        <v>6618</v>
      </c>
      <c r="H1076" t="s">
        <v>13</v>
      </c>
      <c r="I1076" t="s">
        <v>28</v>
      </c>
      <c r="J1076" t="s">
        <v>42</v>
      </c>
    </row>
    <row r="1077" spans="1:10" x14ac:dyDescent="0.25">
      <c r="A1077" t="s">
        <v>1114</v>
      </c>
      <c r="B1077" s="1">
        <v>45511</v>
      </c>
      <c r="C1077" t="s">
        <v>44</v>
      </c>
      <c r="D1077" t="s">
        <v>12</v>
      </c>
      <c r="E1077">
        <v>14080</v>
      </c>
      <c r="F1077">
        <v>315</v>
      </c>
      <c r="G1077">
        <v>13765</v>
      </c>
      <c r="H1077" t="s">
        <v>19</v>
      </c>
      <c r="I1077" t="s">
        <v>78</v>
      </c>
      <c r="J1077" t="s">
        <v>53</v>
      </c>
    </row>
    <row r="1078" spans="1:10" x14ac:dyDescent="0.25">
      <c r="A1078" t="s">
        <v>1115</v>
      </c>
      <c r="B1078" s="1">
        <v>45422</v>
      </c>
      <c r="C1078" t="s">
        <v>26</v>
      </c>
      <c r="D1078" t="s">
        <v>18</v>
      </c>
      <c r="E1078">
        <v>37037</v>
      </c>
      <c r="F1078">
        <v>32295</v>
      </c>
      <c r="G1078">
        <v>4742</v>
      </c>
      <c r="H1078" t="s">
        <v>38</v>
      </c>
      <c r="I1078" t="s">
        <v>14</v>
      </c>
      <c r="J1078" t="s">
        <v>24</v>
      </c>
    </row>
    <row r="1079" spans="1:10" x14ac:dyDescent="0.25">
      <c r="A1079" t="s">
        <v>1116</v>
      </c>
      <c r="B1079" s="1">
        <v>45521</v>
      </c>
      <c r="C1079" t="s">
        <v>11</v>
      </c>
      <c r="D1079" t="s">
        <v>18</v>
      </c>
      <c r="E1079">
        <v>33305</v>
      </c>
      <c r="F1079">
        <v>24230</v>
      </c>
      <c r="G1079">
        <v>9075</v>
      </c>
      <c r="H1079" t="s">
        <v>38</v>
      </c>
      <c r="I1079" t="s">
        <v>28</v>
      </c>
      <c r="J1079" t="s">
        <v>53</v>
      </c>
    </row>
    <row r="1080" spans="1:10" x14ac:dyDescent="0.25">
      <c r="A1080" t="s">
        <v>1117</v>
      </c>
      <c r="B1080" s="1">
        <v>46144</v>
      </c>
      <c r="C1080" t="s">
        <v>17</v>
      </c>
      <c r="D1080" t="s">
        <v>36</v>
      </c>
      <c r="E1080">
        <v>14073</v>
      </c>
      <c r="F1080">
        <v>9162</v>
      </c>
      <c r="G1080">
        <v>4911</v>
      </c>
      <c r="H1080" t="s">
        <v>38</v>
      </c>
      <c r="I1080" t="s">
        <v>45</v>
      </c>
      <c r="J1080" t="s">
        <v>15</v>
      </c>
    </row>
    <row r="1081" spans="1:10" x14ac:dyDescent="0.25">
      <c r="A1081" t="s">
        <v>1118</v>
      </c>
      <c r="B1081" s="1">
        <v>45443</v>
      </c>
      <c r="C1081" t="s">
        <v>44</v>
      </c>
      <c r="D1081" t="s">
        <v>41</v>
      </c>
      <c r="E1081">
        <v>32852</v>
      </c>
      <c r="F1081">
        <v>28407</v>
      </c>
      <c r="G1081">
        <v>4445</v>
      </c>
      <c r="H1081" t="s">
        <v>27</v>
      </c>
      <c r="I1081" t="s">
        <v>23</v>
      </c>
      <c r="J1081" t="s">
        <v>24</v>
      </c>
    </row>
    <row r="1082" spans="1:10" x14ac:dyDescent="0.25">
      <c r="A1082" t="s">
        <v>1119</v>
      </c>
      <c r="B1082" s="1">
        <v>45869</v>
      </c>
      <c r="C1082" t="s">
        <v>11</v>
      </c>
      <c r="D1082" t="s">
        <v>33</v>
      </c>
      <c r="E1082">
        <v>11426</v>
      </c>
      <c r="F1082">
        <v>8817</v>
      </c>
      <c r="G1082">
        <v>2609</v>
      </c>
      <c r="H1082" t="s">
        <v>38</v>
      </c>
      <c r="I1082" t="s">
        <v>28</v>
      </c>
      <c r="J1082" t="s">
        <v>42</v>
      </c>
    </row>
    <row r="1083" spans="1:10" x14ac:dyDescent="0.25">
      <c r="A1083" t="s">
        <v>1120</v>
      </c>
      <c r="B1083" s="1">
        <v>45752</v>
      </c>
      <c r="C1083" t="s">
        <v>44</v>
      </c>
      <c r="D1083" t="s">
        <v>41</v>
      </c>
      <c r="E1083">
        <v>39239</v>
      </c>
      <c r="F1083">
        <v>21151</v>
      </c>
      <c r="G1083">
        <v>18088</v>
      </c>
      <c r="H1083" t="s">
        <v>38</v>
      </c>
      <c r="I1083" t="s">
        <v>34</v>
      </c>
      <c r="J1083" t="s">
        <v>24</v>
      </c>
    </row>
    <row r="1084" spans="1:10" x14ac:dyDescent="0.25">
      <c r="A1084" t="s">
        <v>1121</v>
      </c>
      <c r="B1084" s="1">
        <v>45268</v>
      </c>
      <c r="C1084" t="s">
        <v>11</v>
      </c>
      <c r="D1084" t="s">
        <v>12</v>
      </c>
      <c r="E1084">
        <v>40338</v>
      </c>
      <c r="F1084">
        <v>23024</v>
      </c>
      <c r="G1084">
        <v>17314</v>
      </c>
      <c r="H1084" t="s">
        <v>13</v>
      </c>
      <c r="I1084" t="s">
        <v>63</v>
      </c>
      <c r="J1084" t="s">
        <v>15</v>
      </c>
    </row>
    <row r="1085" spans="1:10" x14ac:dyDescent="0.25">
      <c r="A1085" t="s">
        <v>1122</v>
      </c>
      <c r="B1085" s="1">
        <v>45937</v>
      </c>
      <c r="C1085" t="s">
        <v>11</v>
      </c>
      <c r="D1085" t="s">
        <v>12</v>
      </c>
      <c r="E1085">
        <v>41289</v>
      </c>
      <c r="F1085">
        <v>27799</v>
      </c>
      <c r="G1085">
        <v>13490</v>
      </c>
      <c r="H1085" t="s">
        <v>38</v>
      </c>
      <c r="I1085" t="s">
        <v>63</v>
      </c>
      <c r="J1085" t="s">
        <v>42</v>
      </c>
    </row>
    <row r="1086" spans="1:10" x14ac:dyDescent="0.25">
      <c r="A1086" t="s">
        <v>1123</v>
      </c>
      <c r="B1086" s="1">
        <v>45294</v>
      </c>
      <c r="C1086" t="s">
        <v>26</v>
      </c>
      <c r="D1086" t="s">
        <v>36</v>
      </c>
      <c r="E1086">
        <v>30133</v>
      </c>
      <c r="F1086">
        <v>12899</v>
      </c>
      <c r="G1086">
        <v>17234</v>
      </c>
      <c r="H1086" t="s">
        <v>38</v>
      </c>
      <c r="I1086" t="s">
        <v>31</v>
      </c>
      <c r="J1086" t="s">
        <v>24</v>
      </c>
    </row>
    <row r="1087" spans="1:10" x14ac:dyDescent="0.25">
      <c r="A1087" t="s">
        <v>1124</v>
      </c>
      <c r="B1087" s="1">
        <v>45874</v>
      </c>
      <c r="C1087" t="s">
        <v>26</v>
      </c>
      <c r="D1087" t="s">
        <v>18</v>
      </c>
      <c r="E1087">
        <v>19073</v>
      </c>
      <c r="F1087">
        <v>9545</v>
      </c>
      <c r="G1087">
        <v>9528</v>
      </c>
      <c r="H1087" t="s">
        <v>38</v>
      </c>
      <c r="I1087" t="s">
        <v>23</v>
      </c>
      <c r="J1087" t="s">
        <v>15</v>
      </c>
    </row>
    <row r="1088" spans="1:10" x14ac:dyDescent="0.25">
      <c r="A1088" t="s">
        <v>1125</v>
      </c>
      <c r="B1088" s="1">
        <v>45498</v>
      </c>
      <c r="C1088" t="s">
        <v>26</v>
      </c>
      <c r="D1088" t="s">
        <v>41</v>
      </c>
      <c r="E1088">
        <v>15449</v>
      </c>
      <c r="F1088">
        <v>10792</v>
      </c>
      <c r="G1088">
        <v>4657</v>
      </c>
      <c r="H1088" t="s">
        <v>38</v>
      </c>
      <c r="I1088" t="s">
        <v>14</v>
      </c>
      <c r="J1088" t="s">
        <v>29</v>
      </c>
    </row>
    <row r="1089" spans="1:10" x14ac:dyDescent="0.25">
      <c r="A1089" t="s">
        <v>1126</v>
      </c>
      <c r="B1089" s="1">
        <v>46014</v>
      </c>
      <c r="C1089" t="s">
        <v>22</v>
      </c>
      <c r="D1089" t="s">
        <v>12</v>
      </c>
      <c r="E1089">
        <v>7674</v>
      </c>
      <c r="F1089">
        <v>3622</v>
      </c>
      <c r="G1089">
        <v>4052</v>
      </c>
      <c r="H1089" t="s">
        <v>27</v>
      </c>
      <c r="I1089" t="s">
        <v>45</v>
      </c>
      <c r="J1089" t="s">
        <v>24</v>
      </c>
    </row>
    <row r="1090" spans="1:10" x14ac:dyDescent="0.25">
      <c r="A1090" t="s">
        <v>1127</v>
      </c>
      <c r="B1090" s="1">
        <v>45910</v>
      </c>
      <c r="C1090" t="s">
        <v>44</v>
      </c>
      <c r="D1090" t="s">
        <v>18</v>
      </c>
      <c r="E1090">
        <v>16145</v>
      </c>
      <c r="F1090">
        <v>13988</v>
      </c>
      <c r="G1090">
        <v>2157</v>
      </c>
      <c r="H1090" t="s">
        <v>27</v>
      </c>
      <c r="I1090" t="s">
        <v>20</v>
      </c>
      <c r="J1090" t="s">
        <v>53</v>
      </c>
    </row>
    <row r="1091" spans="1:10" x14ac:dyDescent="0.25">
      <c r="A1091" t="s">
        <v>1128</v>
      </c>
      <c r="B1091" s="1">
        <v>45977</v>
      </c>
      <c r="C1091" t="s">
        <v>22</v>
      </c>
      <c r="D1091" t="s">
        <v>33</v>
      </c>
      <c r="E1091">
        <v>42344</v>
      </c>
      <c r="F1091">
        <v>30177</v>
      </c>
      <c r="G1091">
        <v>12167</v>
      </c>
      <c r="H1091" t="s">
        <v>19</v>
      </c>
      <c r="I1091" t="s">
        <v>78</v>
      </c>
      <c r="J1091" t="s">
        <v>29</v>
      </c>
    </row>
    <row r="1092" spans="1:10" x14ac:dyDescent="0.25">
      <c r="A1092" t="s">
        <v>1129</v>
      </c>
      <c r="B1092" s="1">
        <v>45598</v>
      </c>
      <c r="C1092" t="s">
        <v>26</v>
      </c>
      <c r="D1092" t="s">
        <v>12</v>
      </c>
      <c r="E1092">
        <v>29815</v>
      </c>
      <c r="F1092">
        <v>24812</v>
      </c>
      <c r="G1092">
        <v>5003</v>
      </c>
      <c r="H1092" t="s">
        <v>13</v>
      </c>
      <c r="I1092" t="s">
        <v>45</v>
      </c>
      <c r="J1092" t="s">
        <v>29</v>
      </c>
    </row>
    <row r="1093" spans="1:10" x14ac:dyDescent="0.25">
      <c r="A1093" t="s">
        <v>1130</v>
      </c>
      <c r="B1093" s="1">
        <v>45480</v>
      </c>
      <c r="C1093" t="s">
        <v>26</v>
      </c>
      <c r="D1093" t="s">
        <v>12</v>
      </c>
      <c r="E1093">
        <v>36820</v>
      </c>
      <c r="F1093">
        <v>23922</v>
      </c>
      <c r="G1093">
        <v>12898</v>
      </c>
      <c r="H1093" t="s">
        <v>13</v>
      </c>
      <c r="I1093" t="s">
        <v>63</v>
      </c>
      <c r="J1093" t="s">
        <v>42</v>
      </c>
    </row>
    <row r="1094" spans="1:10" x14ac:dyDescent="0.25">
      <c r="A1094" t="s">
        <v>1131</v>
      </c>
      <c r="B1094" s="1">
        <v>45499</v>
      </c>
      <c r="C1094" t="s">
        <v>26</v>
      </c>
      <c r="D1094" t="s">
        <v>18</v>
      </c>
      <c r="E1094">
        <v>41637</v>
      </c>
      <c r="F1094">
        <v>26994</v>
      </c>
      <c r="G1094">
        <v>14643</v>
      </c>
      <c r="H1094" t="s">
        <v>13</v>
      </c>
      <c r="I1094" t="s">
        <v>63</v>
      </c>
      <c r="J1094" t="s">
        <v>15</v>
      </c>
    </row>
    <row r="1095" spans="1:10" x14ac:dyDescent="0.25">
      <c r="A1095" t="s">
        <v>1132</v>
      </c>
      <c r="B1095" s="1">
        <v>45641</v>
      </c>
      <c r="C1095" t="s">
        <v>26</v>
      </c>
      <c r="D1095" t="s">
        <v>36</v>
      </c>
      <c r="E1095">
        <v>17189</v>
      </c>
      <c r="F1095">
        <v>2043</v>
      </c>
      <c r="G1095">
        <v>15146</v>
      </c>
      <c r="H1095" t="s">
        <v>19</v>
      </c>
      <c r="I1095" t="s">
        <v>63</v>
      </c>
      <c r="J1095" t="s">
        <v>42</v>
      </c>
    </row>
    <row r="1096" spans="1:10" x14ac:dyDescent="0.25">
      <c r="A1096" t="s">
        <v>1133</v>
      </c>
      <c r="B1096" s="1">
        <v>45591</v>
      </c>
      <c r="C1096" t="s">
        <v>22</v>
      </c>
      <c r="D1096" t="s">
        <v>33</v>
      </c>
      <c r="E1096">
        <v>31637</v>
      </c>
      <c r="F1096">
        <v>14079</v>
      </c>
      <c r="G1096">
        <v>17558</v>
      </c>
      <c r="H1096" t="s">
        <v>13</v>
      </c>
      <c r="I1096" t="s">
        <v>23</v>
      </c>
      <c r="J1096" t="s">
        <v>53</v>
      </c>
    </row>
    <row r="1097" spans="1:10" x14ac:dyDescent="0.25">
      <c r="A1097" t="s">
        <v>1134</v>
      </c>
      <c r="B1097" s="1">
        <v>45301</v>
      </c>
      <c r="C1097" t="s">
        <v>26</v>
      </c>
      <c r="D1097" t="s">
        <v>41</v>
      </c>
      <c r="E1097">
        <v>21446</v>
      </c>
      <c r="F1097">
        <v>6367</v>
      </c>
      <c r="G1097">
        <v>15079</v>
      </c>
      <c r="H1097" t="s">
        <v>13</v>
      </c>
      <c r="I1097" t="s">
        <v>31</v>
      </c>
      <c r="J1097" t="s">
        <v>29</v>
      </c>
    </row>
    <row r="1098" spans="1:10" x14ac:dyDescent="0.25">
      <c r="A1098" t="s">
        <v>1135</v>
      </c>
      <c r="B1098" s="1">
        <v>46172</v>
      </c>
      <c r="C1098" t="s">
        <v>26</v>
      </c>
      <c r="D1098" t="s">
        <v>12</v>
      </c>
      <c r="E1098">
        <v>33884</v>
      </c>
      <c r="F1098">
        <v>25144</v>
      </c>
      <c r="G1098">
        <v>8740</v>
      </c>
      <c r="H1098" t="s">
        <v>38</v>
      </c>
      <c r="I1098" t="s">
        <v>78</v>
      </c>
      <c r="J1098" t="s">
        <v>24</v>
      </c>
    </row>
    <row r="1099" spans="1:10" x14ac:dyDescent="0.25">
      <c r="A1099" t="s">
        <v>1136</v>
      </c>
      <c r="B1099" s="1">
        <v>45705</v>
      </c>
      <c r="C1099" t="s">
        <v>22</v>
      </c>
      <c r="D1099" t="s">
        <v>36</v>
      </c>
      <c r="E1099">
        <v>30580</v>
      </c>
      <c r="F1099">
        <v>23831</v>
      </c>
      <c r="G1099">
        <v>6749</v>
      </c>
      <c r="H1099" t="s">
        <v>38</v>
      </c>
      <c r="I1099" t="s">
        <v>28</v>
      </c>
      <c r="J1099" t="s">
        <v>53</v>
      </c>
    </row>
    <row r="1100" spans="1:10" x14ac:dyDescent="0.25">
      <c r="A1100" t="s">
        <v>1137</v>
      </c>
      <c r="B1100" s="1">
        <v>45675</v>
      </c>
      <c r="C1100" t="s">
        <v>44</v>
      </c>
      <c r="D1100" t="s">
        <v>33</v>
      </c>
      <c r="E1100">
        <v>31584</v>
      </c>
      <c r="F1100">
        <v>29206</v>
      </c>
      <c r="G1100">
        <v>2378</v>
      </c>
      <c r="H1100" t="s">
        <v>38</v>
      </c>
      <c r="I1100" t="s">
        <v>31</v>
      </c>
      <c r="J1100" t="s">
        <v>15</v>
      </c>
    </row>
    <row r="1101" spans="1:10" x14ac:dyDescent="0.25">
      <c r="A1101" t="s">
        <v>1138</v>
      </c>
      <c r="B1101" s="1">
        <v>45790</v>
      </c>
      <c r="C1101" t="s">
        <v>17</v>
      </c>
      <c r="D1101" t="s">
        <v>12</v>
      </c>
      <c r="E1101">
        <v>47474</v>
      </c>
      <c r="F1101">
        <v>33911</v>
      </c>
      <c r="G1101">
        <v>13563</v>
      </c>
      <c r="H1101" t="s">
        <v>19</v>
      </c>
      <c r="I1101" t="s">
        <v>78</v>
      </c>
      <c r="J1101" t="s">
        <v>53</v>
      </c>
    </row>
    <row r="1102" spans="1:10" x14ac:dyDescent="0.25">
      <c r="A1102" t="s">
        <v>1139</v>
      </c>
      <c r="B1102" s="1">
        <v>45286</v>
      </c>
      <c r="C1102" t="s">
        <v>17</v>
      </c>
      <c r="D1102" t="s">
        <v>12</v>
      </c>
      <c r="E1102">
        <v>27457</v>
      </c>
      <c r="F1102">
        <v>16515</v>
      </c>
      <c r="G1102">
        <v>10942</v>
      </c>
      <c r="H1102" t="s">
        <v>27</v>
      </c>
      <c r="I1102" t="s">
        <v>23</v>
      </c>
      <c r="J1102" t="s">
        <v>29</v>
      </c>
    </row>
    <row r="1103" spans="1:10" x14ac:dyDescent="0.25">
      <c r="A1103" t="s">
        <v>1140</v>
      </c>
      <c r="B1103" s="1">
        <v>45541</v>
      </c>
      <c r="C1103" t="s">
        <v>26</v>
      </c>
      <c r="D1103" t="s">
        <v>41</v>
      </c>
      <c r="E1103">
        <v>49346</v>
      </c>
      <c r="F1103">
        <v>43866</v>
      </c>
      <c r="G1103">
        <v>5480</v>
      </c>
      <c r="H1103" t="s">
        <v>27</v>
      </c>
      <c r="I1103" t="s">
        <v>20</v>
      </c>
      <c r="J1103" t="s">
        <v>53</v>
      </c>
    </row>
    <row r="1104" spans="1:10" x14ac:dyDescent="0.25">
      <c r="A1104" t="s">
        <v>1141</v>
      </c>
      <c r="B1104" s="1">
        <v>46108</v>
      </c>
      <c r="C1104" t="s">
        <v>17</v>
      </c>
      <c r="D1104" t="s">
        <v>41</v>
      </c>
      <c r="E1104">
        <v>19378</v>
      </c>
      <c r="F1104">
        <v>452</v>
      </c>
      <c r="G1104">
        <v>18926</v>
      </c>
      <c r="H1104" t="s">
        <v>27</v>
      </c>
      <c r="I1104" t="s">
        <v>63</v>
      </c>
      <c r="J1104" t="s">
        <v>24</v>
      </c>
    </row>
    <row r="1105" spans="1:10" x14ac:dyDescent="0.25">
      <c r="A1105" t="s">
        <v>1142</v>
      </c>
      <c r="B1105" s="1">
        <v>45862</v>
      </c>
      <c r="C1105" t="s">
        <v>44</v>
      </c>
      <c r="D1105" t="s">
        <v>33</v>
      </c>
      <c r="E1105">
        <v>15758</v>
      </c>
      <c r="F1105">
        <v>10586</v>
      </c>
      <c r="G1105">
        <v>5172</v>
      </c>
      <c r="H1105" t="s">
        <v>19</v>
      </c>
      <c r="I1105" t="s">
        <v>78</v>
      </c>
      <c r="J1105" t="s">
        <v>15</v>
      </c>
    </row>
    <row r="1106" spans="1:10" x14ac:dyDescent="0.25">
      <c r="A1106" t="s">
        <v>1143</v>
      </c>
      <c r="B1106" s="1">
        <v>45894</v>
      </c>
      <c r="C1106" t="s">
        <v>11</v>
      </c>
      <c r="D1106" t="s">
        <v>33</v>
      </c>
      <c r="E1106">
        <v>17466</v>
      </c>
      <c r="F1106">
        <v>10459</v>
      </c>
      <c r="G1106">
        <v>7007</v>
      </c>
      <c r="H1106" t="s">
        <v>19</v>
      </c>
      <c r="I1106" t="s">
        <v>60</v>
      </c>
      <c r="J1106" t="s">
        <v>42</v>
      </c>
    </row>
    <row r="1107" spans="1:10" x14ac:dyDescent="0.25">
      <c r="A1107" t="s">
        <v>1144</v>
      </c>
      <c r="B1107" s="1">
        <v>45250</v>
      </c>
      <c r="C1107" t="s">
        <v>26</v>
      </c>
      <c r="D1107" t="s">
        <v>33</v>
      </c>
      <c r="E1107">
        <v>24481</v>
      </c>
      <c r="F1107">
        <v>13201</v>
      </c>
      <c r="G1107">
        <v>11280</v>
      </c>
      <c r="H1107" t="s">
        <v>27</v>
      </c>
      <c r="I1107" t="s">
        <v>60</v>
      </c>
      <c r="J1107" t="s">
        <v>42</v>
      </c>
    </row>
    <row r="1108" spans="1:10" x14ac:dyDescent="0.25">
      <c r="A1108" t="s">
        <v>1145</v>
      </c>
      <c r="B1108" s="1">
        <v>45161</v>
      </c>
      <c r="C1108" t="s">
        <v>11</v>
      </c>
      <c r="D1108" t="s">
        <v>36</v>
      </c>
      <c r="E1108">
        <v>32262</v>
      </c>
      <c r="F1108">
        <v>15865</v>
      </c>
      <c r="G1108">
        <v>16397</v>
      </c>
      <c r="H1108" t="s">
        <v>13</v>
      </c>
      <c r="I1108" t="s">
        <v>34</v>
      </c>
      <c r="J1108" t="s">
        <v>24</v>
      </c>
    </row>
    <row r="1109" spans="1:10" x14ac:dyDescent="0.25">
      <c r="A1109" t="s">
        <v>1146</v>
      </c>
      <c r="B1109" s="1">
        <v>45648</v>
      </c>
      <c r="C1109" t="s">
        <v>44</v>
      </c>
      <c r="D1109" t="s">
        <v>41</v>
      </c>
      <c r="E1109">
        <v>28705</v>
      </c>
      <c r="F1109">
        <v>18464</v>
      </c>
      <c r="G1109">
        <v>10241</v>
      </c>
      <c r="H1109" t="s">
        <v>27</v>
      </c>
      <c r="I1109" t="s">
        <v>60</v>
      </c>
      <c r="J1109" t="s">
        <v>53</v>
      </c>
    </row>
    <row r="1110" spans="1:10" x14ac:dyDescent="0.25">
      <c r="A1110" t="s">
        <v>1147</v>
      </c>
      <c r="B1110" s="1">
        <v>45502</v>
      </c>
      <c r="C1110" t="s">
        <v>22</v>
      </c>
      <c r="D1110" t="s">
        <v>12</v>
      </c>
      <c r="E1110">
        <v>18456</v>
      </c>
      <c r="F1110">
        <v>8824</v>
      </c>
      <c r="G1110">
        <v>9632</v>
      </c>
      <c r="H1110" t="s">
        <v>27</v>
      </c>
      <c r="I1110" t="s">
        <v>23</v>
      </c>
      <c r="J1110" t="s">
        <v>53</v>
      </c>
    </row>
    <row r="1111" spans="1:10" x14ac:dyDescent="0.25">
      <c r="A1111" t="s">
        <v>1148</v>
      </c>
      <c r="B1111" s="1">
        <v>45594</v>
      </c>
      <c r="C1111" t="s">
        <v>22</v>
      </c>
      <c r="D1111" t="s">
        <v>18</v>
      </c>
      <c r="E1111">
        <v>5122</v>
      </c>
      <c r="F1111">
        <v>1414</v>
      </c>
      <c r="G1111">
        <v>3708</v>
      </c>
      <c r="H1111" t="s">
        <v>19</v>
      </c>
      <c r="I1111" t="s">
        <v>60</v>
      </c>
      <c r="J1111" t="s">
        <v>53</v>
      </c>
    </row>
    <row r="1112" spans="1:10" x14ac:dyDescent="0.25">
      <c r="A1112" t="s">
        <v>1149</v>
      </c>
      <c r="B1112" s="1">
        <v>45483</v>
      </c>
      <c r="C1112" t="s">
        <v>11</v>
      </c>
      <c r="D1112" t="s">
        <v>41</v>
      </c>
      <c r="E1112">
        <v>20704</v>
      </c>
      <c r="F1112">
        <v>3014</v>
      </c>
      <c r="G1112">
        <v>17690</v>
      </c>
      <c r="H1112" t="s">
        <v>19</v>
      </c>
      <c r="I1112" t="s">
        <v>14</v>
      </c>
      <c r="J1112" t="s">
        <v>53</v>
      </c>
    </row>
    <row r="1113" spans="1:10" x14ac:dyDescent="0.25">
      <c r="A1113" t="s">
        <v>1150</v>
      </c>
      <c r="B1113" s="1">
        <v>45881</v>
      </c>
      <c r="C1113" t="s">
        <v>44</v>
      </c>
      <c r="D1113" t="s">
        <v>12</v>
      </c>
      <c r="E1113">
        <v>10579</v>
      </c>
      <c r="F1113">
        <v>5117</v>
      </c>
      <c r="G1113">
        <v>5462</v>
      </c>
      <c r="H1113" t="s">
        <v>13</v>
      </c>
      <c r="I1113" t="s">
        <v>28</v>
      </c>
      <c r="J1113" t="s">
        <v>53</v>
      </c>
    </row>
    <row r="1114" spans="1:10" x14ac:dyDescent="0.25">
      <c r="A1114" t="s">
        <v>1151</v>
      </c>
      <c r="B1114" s="1">
        <v>45408</v>
      </c>
      <c r="C1114" t="s">
        <v>44</v>
      </c>
      <c r="D1114" t="s">
        <v>33</v>
      </c>
      <c r="E1114">
        <v>35289</v>
      </c>
      <c r="F1114">
        <v>27443</v>
      </c>
      <c r="G1114">
        <v>7846</v>
      </c>
      <c r="H1114" t="s">
        <v>38</v>
      </c>
      <c r="I1114" t="s">
        <v>60</v>
      </c>
      <c r="J1114" t="s">
        <v>53</v>
      </c>
    </row>
    <row r="1115" spans="1:10" x14ac:dyDescent="0.25">
      <c r="A1115" t="s">
        <v>1152</v>
      </c>
      <c r="B1115" s="1">
        <v>45472</v>
      </c>
      <c r="C1115" t="s">
        <v>22</v>
      </c>
      <c r="D1115" t="s">
        <v>12</v>
      </c>
      <c r="E1115">
        <v>35215</v>
      </c>
      <c r="F1115">
        <v>27490</v>
      </c>
      <c r="G1115">
        <v>7725</v>
      </c>
      <c r="H1115" t="s">
        <v>19</v>
      </c>
      <c r="I1115" t="s">
        <v>78</v>
      </c>
      <c r="J1115" t="s">
        <v>53</v>
      </c>
    </row>
    <row r="1116" spans="1:10" x14ac:dyDescent="0.25">
      <c r="A1116" t="s">
        <v>1153</v>
      </c>
      <c r="B1116" s="1">
        <v>46010</v>
      </c>
      <c r="C1116" t="s">
        <v>26</v>
      </c>
      <c r="D1116" t="s">
        <v>41</v>
      </c>
      <c r="E1116">
        <v>30648</v>
      </c>
      <c r="F1116">
        <v>24634</v>
      </c>
      <c r="G1116">
        <v>6014</v>
      </c>
      <c r="H1116" t="s">
        <v>13</v>
      </c>
      <c r="I1116" t="s">
        <v>78</v>
      </c>
      <c r="J1116" t="s">
        <v>24</v>
      </c>
    </row>
    <row r="1117" spans="1:10" x14ac:dyDescent="0.25">
      <c r="A1117" t="s">
        <v>1154</v>
      </c>
      <c r="B1117" s="1">
        <v>45300</v>
      </c>
      <c r="C1117" t="s">
        <v>11</v>
      </c>
      <c r="D1117" t="s">
        <v>12</v>
      </c>
      <c r="E1117">
        <v>20543</v>
      </c>
      <c r="F1117">
        <v>2579</v>
      </c>
      <c r="G1117">
        <v>17964</v>
      </c>
      <c r="H1117" t="s">
        <v>38</v>
      </c>
      <c r="I1117" t="s">
        <v>20</v>
      </c>
      <c r="J1117" t="s">
        <v>15</v>
      </c>
    </row>
    <row r="1118" spans="1:10" x14ac:dyDescent="0.25">
      <c r="A1118" t="s">
        <v>1155</v>
      </c>
      <c r="B1118" s="1">
        <v>45940</v>
      </c>
      <c r="C1118" t="s">
        <v>17</v>
      </c>
      <c r="D1118" t="s">
        <v>12</v>
      </c>
      <c r="E1118">
        <v>19590</v>
      </c>
      <c r="F1118">
        <v>10854</v>
      </c>
      <c r="G1118">
        <v>8736</v>
      </c>
      <c r="H1118" t="s">
        <v>38</v>
      </c>
      <c r="I1118" t="s">
        <v>14</v>
      </c>
      <c r="J1118" t="s">
        <v>42</v>
      </c>
    </row>
    <row r="1119" spans="1:10" x14ac:dyDescent="0.25">
      <c r="A1119" t="s">
        <v>1156</v>
      </c>
      <c r="B1119" s="1">
        <v>46093</v>
      </c>
      <c r="C1119" t="s">
        <v>22</v>
      </c>
      <c r="D1119" t="s">
        <v>41</v>
      </c>
      <c r="E1119">
        <v>29536</v>
      </c>
      <c r="F1119">
        <v>10496</v>
      </c>
      <c r="G1119">
        <v>19040</v>
      </c>
      <c r="H1119" t="s">
        <v>13</v>
      </c>
      <c r="I1119" t="s">
        <v>45</v>
      </c>
      <c r="J1119" t="s">
        <v>29</v>
      </c>
    </row>
    <row r="1120" spans="1:10" x14ac:dyDescent="0.25">
      <c r="A1120" t="s">
        <v>1157</v>
      </c>
      <c r="B1120" s="1">
        <v>45740</v>
      </c>
      <c r="C1120" t="s">
        <v>26</v>
      </c>
      <c r="D1120" t="s">
        <v>12</v>
      </c>
      <c r="E1120">
        <v>19596</v>
      </c>
      <c r="F1120">
        <v>6499</v>
      </c>
      <c r="G1120">
        <v>13097</v>
      </c>
      <c r="H1120" t="s">
        <v>38</v>
      </c>
      <c r="I1120" t="s">
        <v>20</v>
      </c>
      <c r="J1120" t="s">
        <v>15</v>
      </c>
    </row>
    <row r="1121" spans="1:10" x14ac:dyDescent="0.25">
      <c r="A1121" t="s">
        <v>1158</v>
      </c>
      <c r="B1121" s="1">
        <v>45791</v>
      </c>
      <c r="C1121" t="s">
        <v>26</v>
      </c>
      <c r="D1121" t="s">
        <v>18</v>
      </c>
      <c r="E1121">
        <v>23703</v>
      </c>
      <c r="F1121">
        <v>19451</v>
      </c>
      <c r="G1121">
        <v>4252</v>
      </c>
      <c r="H1121" t="s">
        <v>19</v>
      </c>
      <c r="I1121" t="s">
        <v>31</v>
      </c>
      <c r="J1121" t="s">
        <v>29</v>
      </c>
    </row>
    <row r="1122" spans="1:10" x14ac:dyDescent="0.25">
      <c r="A1122" t="s">
        <v>1159</v>
      </c>
      <c r="B1122" s="1">
        <v>45204</v>
      </c>
      <c r="C1122" t="s">
        <v>26</v>
      </c>
      <c r="D1122" t="s">
        <v>36</v>
      </c>
      <c r="E1122">
        <v>6528</v>
      </c>
      <c r="F1122">
        <v>2361</v>
      </c>
      <c r="G1122">
        <v>4167</v>
      </c>
      <c r="H1122" t="s">
        <v>38</v>
      </c>
      <c r="I1122" t="s">
        <v>31</v>
      </c>
      <c r="J1122" t="s">
        <v>15</v>
      </c>
    </row>
    <row r="1123" spans="1:10" x14ac:dyDescent="0.25">
      <c r="A1123" t="s">
        <v>1160</v>
      </c>
      <c r="B1123" s="1">
        <v>45592</v>
      </c>
      <c r="C1123" t="s">
        <v>26</v>
      </c>
      <c r="D1123" t="s">
        <v>41</v>
      </c>
      <c r="E1123">
        <v>22003</v>
      </c>
      <c r="F1123">
        <v>15905</v>
      </c>
      <c r="G1123">
        <v>6098</v>
      </c>
      <c r="H1123" t="s">
        <v>19</v>
      </c>
      <c r="I1123" t="s">
        <v>20</v>
      </c>
      <c r="J1123" t="s">
        <v>15</v>
      </c>
    </row>
    <row r="1124" spans="1:10" x14ac:dyDescent="0.25">
      <c r="A1124" t="s">
        <v>1161</v>
      </c>
      <c r="B1124" s="1">
        <v>45890</v>
      </c>
      <c r="C1124" t="s">
        <v>22</v>
      </c>
      <c r="D1124" t="s">
        <v>33</v>
      </c>
      <c r="E1124">
        <v>22903</v>
      </c>
      <c r="F1124">
        <v>22206</v>
      </c>
      <c r="G1124">
        <v>697</v>
      </c>
      <c r="H1124" t="s">
        <v>19</v>
      </c>
      <c r="I1124" t="s">
        <v>28</v>
      </c>
      <c r="J1124" t="s">
        <v>53</v>
      </c>
    </row>
    <row r="1125" spans="1:10" x14ac:dyDescent="0.25">
      <c r="A1125" t="s">
        <v>1162</v>
      </c>
      <c r="B1125" s="1">
        <v>45704</v>
      </c>
      <c r="C1125" t="s">
        <v>44</v>
      </c>
      <c r="D1125" t="s">
        <v>41</v>
      </c>
      <c r="E1125">
        <v>25572</v>
      </c>
      <c r="F1125">
        <v>7149</v>
      </c>
      <c r="G1125">
        <v>18423</v>
      </c>
      <c r="H1125" t="s">
        <v>13</v>
      </c>
      <c r="I1125" t="s">
        <v>20</v>
      </c>
      <c r="J1125" t="s">
        <v>42</v>
      </c>
    </row>
    <row r="1126" spans="1:10" x14ac:dyDescent="0.25">
      <c r="A1126" t="s">
        <v>1163</v>
      </c>
      <c r="B1126" s="1">
        <v>45309</v>
      </c>
      <c r="C1126" t="s">
        <v>44</v>
      </c>
      <c r="D1126" t="s">
        <v>36</v>
      </c>
      <c r="E1126">
        <v>44049</v>
      </c>
      <c r="F1126">
        <v>33502</v>
      </c>
      <c r="G1126">
        <v>10547</v>
      </c>
      <c r="H1126" t="s">
        <v>13</v>
      </c>
      <c r="I1126" t="s">
        <v>20</v>
      </c>
      <c r="J1126" t="s">
        <v>29</v>
      </c>
    </row>
    <row r="1127" spans="1:10" x14ac:dyDescent="0.25">
      <c r="A1127" t="s">
        <v>1164</v>
      </c>
      <c r="B1127" s="1">
        <v>45372</v>
      </c>
      <c r="C1127" t="s">
        <v>22</v>
      </c>
      <c r="D1127" t="s">
        <v>36</v>
      </c>
      <c r="E1127">
        <v>31075</v>
      </c>
      <c r="F1127">
        <v>14899</v>
      </c>
      <c r="G1127">
        <v>16176</v>
      </c>
      <c r="H1127" t="s">
        <v>27</v>
      </c>
      <c r="I1127" t="s">
        <v>28</v>
      </c>
      <c r="J1127" t="s">
        <v>42</v>
      </c>
    </row>
    <row r="1128" spans="1:10" x14ac:dyDescent="0.25">
      <c r="A1128" t="s">
        <v>1165</v>
      </c>
      <c r="B1128" s="1">
        <v>46106</v>
      </c>
      <c r="C1128" t="s">
        <v>22</v>
      </c>
      <c r="D1128" t="s">
        <v>36</v>
      </c>
      <c r="E1128">
        <v>20522</v>
      </c>
      <c r="F1128">
        <v>3027</v>
      </c>
      <c r="G1128">
        <v>17495</v>
      </c>
      <c r="H1128" t="s">
        <v>38</v>
      </c>
      <c r="I1128" t="s">
        <v>31</v>
      </c>
      <c r="J1128" t="s">
        <v>42</v>
      </c>
    </row>
    <row r="1129" spans="1:10" x14ac:dyDescent="0.25">
      <c r="A1129" t="s">
        <v>1166</v>
      </c>
      <c r="B1129" s="1">
        <v>45929</v>
      </c>
      <c r="C1129" t="s">
        <v>22</v>
      </c>
      <c r="D1129" t="s">
        <v>33</v>
      </c>
      <c r="E1129">
        <v>11322</v>
      </c>
      <c r="F1129">
        <v>5789</v>
      </c>
      <c r="G1129">
        <v>5533</v>
      </c>
      <c r="H1129" t="s">
        <v>19</v>
      </c>
      <c r="I1129" t="s">
        <v>28</v>
      </c>
      <c r="J1129" t="s">
        <v>42</v>
      </c>
    </row>
    <row r="1130" spans="1:10" x14ac:dyDescent="0.25">
      <c r="A1130" t="s">
        <v>1167</v>
      </c>
      <c r="B1130" s="1">
        <v>46144</v>
      </c>
      <c r="C1130" t="s">
        <v>22</v>
      </c>
      <c r="D1130" t="s">
        <v>18</v>
      </c>
      <c r="E1130">
        <v>15347</v>
      </c>
      <c r="F1130">
        <v>9800</v>
      </c>
      <c r="G1130">
        <v>5547</v>
      </c>
      <c r="H1130" t="s">
        <v>13</v>
      </c>
      <c r="I1130" t="s">
        <v>28</v>
      </c>
      <c r="J1130" t="s">
        <v>53</v>
      </c>
    </row>
    <row r="1131" spans="1:10" x14ac:dyDescent="0.25">
      <c r="A1131" t="s">
        <v>1168</v>
      </c>
      <c r="B1131" s="1">
        <v>45387</v>
      </c>
      <c r="C1131" t="s">
        <v>22</v>
      </c>
      <c r="D1131" t="s">
        <v>18</v>
      </c>
      <c r="E1131">
        <v>5971</v>
      </c>
      <c r="F1131">
        <v>4442</v>
      </c>
      <c r="G1131">
        <v>1529</v>
      </c>
      <c r="H1131" t="s">
        <v>27</v>
      </c>
      <c r="I1131" t="s">
        <v>34</v>
      </c>
      <c r="J1131" t="s">
        <v>24</v>
      </c>
    </row>
    <row r="1132" spans="1:10" x14ac:dyDescent="0.25">
      <c r="A1132" t="s">
        <v>1169</v>
      </c>
      <c r="B1132" s="1">
        <v>45942</v>
      </c>
      <c r="C1132" t="s">
        <v>26</v>
      </c>
      <c r="D1132" t="s">
        <v>41</v>
      </c>
      <c r="E1132">
        <v>6626</v>
      </c>
      <c r="F1132">
        <v>2512</v>
      </c>
      <c r="G1132">
        <v>4114</v>
      </c>
      <c r="H1132" t="s">
        <v>27</v>
      </c>
      <c r="I1132" t="s">
        <v>14</v>
      </c>
      <c r="J1132" t="s">
        <v>29</v>
      </c>
    </row>
    <row r="1133" spans="1:10" x14ac:dyDescent="0.25">
      <c r="A1133" t="s">
        <v>1170</v>
      </c>
      <c r="B1133" s="1">
        <v>45966</v>
      </c>
      <c r="C1133" t="s">
        <v>17</v>
      </c>
      <c r="D1133" t="s">
        <v>12</v>
      </c>
      <c r="E1133">
        <v>17091</v>
      </c>
      <c r="F1133">
        <v>9592</v>
      </c>
      <c r="G1133">
        <v>7499</v>
      </c>
      <c r="H1133" t="s">
        <v>27</v>
      </c>
      <c r="I1133" t="s">
        <v>23</v>
      </c>
      <c r="J1133" t="s">
        <v>53</v>
      </c>
    </row>
    <row r="1134" spans="1:10" x14ac:dyDescent="0.25">
      <c r="A1134" t="s">
        <v>1171</v>
      </c>
      <c r="B1134" s="1">
        <v>45416</v>
      </c>
      <c r="C1134" t="s">
        <v>26</v>
      </c>
      <c r="D1134" t="s">
        <v>18</v>
      </c>
      <c r="E1134">
        <v>9618</v>
      </c>
      <c r="F1134">
        <v>6851</v>
      </c>
      <c r="G1134">
        <v>2767</v>
      </c>
      <c r="H1134" t="s">
        <v>27</v>
      </c>
      <c r="I1134" t="s">
        <v>45</v>
      </c>
      <c r="J1134" t="s">
        <v>24</v>
      </c>
    </row>
    <row r="1135" spans="1:10" x14ac:dyDescent="0.25">
      <c r="A1135" t="s">
        <v>1172</v>
      </c>
      <c r="B1135" s="1">
        <v>45614</v>
      </c>
      <c r="C1135" t="s">
        <v>44</v>
      </c>
      <c r="D1135" t="s">
        <v>36</v>
      </c>
      <c r="E1135">
        <v>11337</v>
      </c>
      <c r="F1135">
        <v>2587</v>
      </c>
      <c r="G1135">
        <v>8750</v>
      </c>
      <c r="H1135" t="s">
        <v>19</v>
      </c>
      <c r="I1135" t="s">
        <v>14</v>
      </c>
      <c r="J1135" t="s">
        <v>53</v>
      </c>
    </row>
    <row r="1136" spans="1:10" x14ac:dyDescent="0.25">
      <c r="A1136" t="s">
        <v>1173</v>
      </c>
      <c r="B1136" s="1">
        <v>46180</v>
      </c>
      <c r="C1136" t="s">
        <v>26</v>
      </c>
      <c r="D1136" t="s">
        <v>33</v>
      </c>
      <c r="E1136">
        <v>11692</v>
      </c>
      <c r="F1136">
        <v>3587</v>
      </c>
      <c r="G1136">
        <v>8105</v>
      </c>
      <c r="H1136" t="s">
        <v>38</v>
      </c>
      <c r="I1136" t="s">
        <v>31</v>
      </c>
      <c r="J1136" t="s">
        <v>42</v>
      </c>
    </row>
    <row r="1137" spans="1:10" x14ac:dyDescent="0.25">
      <c r="A1137" t="s">
        <v>1174</v>
      </c>
      <c r="B1137" s="1">
        <v>45188</v>
      </c>
      <c r="C1137" t="s">
        <v>22</v>
      </c>
      <c r="D1137" t="s">
        <v>33</v>
      </c>
      <c r="E1137">
        <v>11629</v>
      </c>
      <c r="F1137">
        <v>10103</v>
      </c>
      <c r="G1137">
        <v>1526</v>
      </c>
      <c r="H1137" t="s">
        <v>13</v>
      </c>
      <c r="I1137" t="s">
        <v>34</v>
      </c>
      <c r="J1137" t="s">
        <v>24</v>
      </c>
    </row>
    <row r="1138" spans="1:10" x14ac:dyDescent="0.25">
      <c r="A1138" t="s">
        <v>1175</v>
      </c>
      <c r="B1138" s="1">
        <v>46118</v>
      </c>
      <c r="C1138" t="s">
        <v>11</v>
      </c>
      <c r="D1138" t="s">
        <v>36</v>
      </c>
      <c r="E1138">
        <v>47850</v>
      </c>
      <c r="F1138">
        <v>31568</v>
      </c>
      <c r="G1138">
        <v>16282</v>
      </c>
      <c r="H1138" t="s">
        <v>27</v>
      </c>
      <c r="I1138" t="s">
        <v>34</v>
      </c>
      <c r="J1138" t="s">
        <v>24</v>
      </c>
    </row>
    <row r="1139" spans="1:10" x14ac:dyDescent="0.25">
      <c r="A1139" t="s">
        <v>1176</v>
      </c>
      <c r="B1139" s="1">
        <v>46023</v>
      </c>
      <c r="C1139" t="s">
        <v>11</v>
      </c>
      <c r="D1139" t="s">
        <v>36</v>
      </c>
      <c r="E1139">
        <v>25925</v>
      </c>
      <c r="F1139">
        <v>13688</v>
      </c>
      <c r="G1139">
        <v>12237</v>
      </c>
      <c r="H1139" t="s">
        <v>27</v>
      </c>
      <c r="I1139" t="s">
        <v>20</v>
      </c>
      <c r="J1139" t="s">
        <v>53</v>
      </c>
    </row>
    <row r="1140" spans="1:10" x14ac:dyDescent="0.25">
      <c r="A1140" t="s">
        <v>1177</v>
      </c>
      <c r="B1140" s="1">
        <v>46103</v>
      </c>
      <c r="C1140" t="s">
        <v>26</v>
      </c>
      <c r="D1140" t="s">
        <v>33</v>
      </c>
      <c r="E1140">
        <v>34924</v>
      </c>
      <c r="F1140">
        <v>16299</v>
      </c>
      <c r="G1140">
        <v>18625</v>
      </c>
      <c r="H1140" t="s">
        <v>19</v>
      </c>
      <c r="I1140" t="s">
        <v>20</v>
      </c>
      <c r="J1140" t="s">
        <v>42</v>
      </c>
    </row>
    <row r="1141" spans="1:10" x14ac:dyDescent="0.25">
      <c r="A1141" t="s">
        <v>1178</v>
      </c>
      <c r="B1141" s="1">
        <v>45574</v>
      </c>
      <c r="C1141" t="s">
        <v>44</v>
      </c>
      <c r="D1141" t="s">
        <v>36</v>
      </c>
      <c r="E1141">
        <v>32875</v>
      </c>
      <c r="F1141">
        <v>16905</v>
      </c>
      <c r="G1141">
        <v>15970</v>
      </c>
      <c r="H1141" t="s">
        <v>38</v>
      </c>
      <c r="I1141" t="s">
        <v>34</v>
      </c>
      <c r="J1141" t="s">
        <v>29</v>
      </c>
    </row>
    <row r="1142" spans="1:10" x14ac:dyDescent="0.25">
      <c r="A1142" t="s">
        <v>1179</v>
      </c>
      <c r="B1142" s="1">
        <v>45670</v>
      </c>
      <c r="C1142" t="s">
        <v>17</v>
      </c>
      <c r="D1142" t="s">
        <v>41</v>
      </c>
      <c r="E1142">
        <v>24731</v>
      </c>
      <c r="F1142">
        <v>24114</v>
      </c>
      <c r="G1142">
        <v>617</v>
      </c>
      <c r="H1142" t="s">
        <v>13</v>
      </c>
      <c r="I1142" t="s">
        <v>31</v>
      </c>
      <c r="J1142" t="s">
        <v>15</v>
      </c>
    </row>
    <row r="1143" spans="1:10" x14ac:dyDescent="0.25">
      <c r="A1143" t="s">
        <v>1180</v>
      </c>
      <c r="B1143" s="1">
        <v>45988</v>
      </c>
      <c r="C1143" t="s">
        <v>44</v>
      </c>
      <c r="D1143" t="s">
        <v>12</v>
      </c>
      <c r="E1143">
        <v>39688</v>
      </c>
      <c r="F1143">
        <v>38102</v>
      </c>
      <c r="G1143">
        <v>1586</v>
      </c>
      <c r="H1143" t="s">
        <v>27</v>
      </c>
      <c r="I1143" t="s">
        <v>45</v>
      </c>
      <c r="J1143" t="s">
        <v>15</v>
      </c>
    </row>
    <row r="1144" spans="1:10" x14ac:dyDescent="0.25">
      <c r="A1144" t="s">
        <v>1181</v>
      </c>
      <c r="B1144" s="1">
        <v>45226</v>
      </c>
      <c r="C1144" t="s">
        <v>22</v>
      </c>
      <c r="D1144" t="s">
        <v>12</v>
      </c>
      <c r="E1144">
        <v>27652</v>
      </c>
      <c r="F1144">
        <v>25326</v>
      </c>
      <c r="G1144">
        <v>2326</v>
      </c>
      <c r="H1144" t="s">
        <v>27</v>
      </c>
      <c r="I1144" t="s">
        <v>60</v>
      </c>
      <c r="J1144" t="s">
        <v>53</v>
      </c>
    </row>
    <row r="1145" spans="1:10" x14ac:dyDescent="0.25">
      <c r="A1145" t="s">
        <v>1182</v>
      </c>
      <c r="B1145" s="1">
        <v>45521</v>
      </c>
      <c r="C1145" t="s">
        <v>11</v>
      </c>
      <c r="D1145" t="s">
        <v>36</v>
      </c>
      <c r="E1145">
        <v>41098</v>
      </c>
      <c r="F1145">
        <v>30358</v>
      </c>
      <c r="G1145">
        <v>10740</v>
      </c>
      <c r="H1145" t="s">
        <v>38</v>
      </c>
      <c r="I1145" t="s">
        <v>14</v>
      </c>
      <c r="J1145" t="s">
        <v>42</v>
      </c>
    </row>
    <row r="1146" spans="1:10" x14ac:dyDescent="0.25">
      <c r="A1146" t="s">
        <v>1183</v>
      </c>
      <c r="B1146" s="1">
        <v>45354</v>
      </c>
      <c r="C1146" t="s">
        <v>26</v>
      </c>
      <c r="D1146" t="s">
        <v>18</v>
      </c>
      <c r="E1146">
        <v>36520</v>
      </c>
      <c r="F1146">
        <v>27543</v>
      </c>
      <c r="G1146">
        <v>8977</v>
      </c>
      <c r="H1146" t="s">
        <v>27</v>
      </c>
      <c r="I1146" t="s">
        <v>14</v>
      </c>
      <c r="J1146" t="s">
        <v>29</v>
      </c>
    </row>
    <row r="1147" spans="1:10" x14ac:dyDescent="0.25">
      <c r="A1147" t="s">
        <v>1184</v>
      </c>
      <c r="B1147" s="1">
        <v>46123</v>
      </c>
      <c r="C1147" t="s">
        <v>22</v>
      </c>
      <c r="D1147" t="s">
        <v>18</v>
      </c>
      <c r="E1147">
        <v>10011</v>
      </c>
      <c r="F1147">
        <v>7546</v>
      </c>
      <c r="G1147">
        <v>2465</v>
      </c>
      <c r="H1147" t="s">
        <v>38</v>
      </c>
      <c r="I1147" t="s">
        <v>63</v>
      </c>
      <c r="J1147" t="s">
        <v>42</v>
      </c>
    </row>
    <row r="1148" spans="1:10" x14ac:dyDescent="0.25">
      <c r="A1148" t="s">
        <v>1185</v>
      </c>
      <c r="B1148" s="1">
        <v>45295</v>
      </c>
      <c r="C1148" t="s">
        <v>11</v>
      </c>
      <c r="D1148" t="s">
        <v>41</v>
      </c>
      <c r="E1148">
        <v>9776</v>
      </c>
      <c r="F1148">
        <v>6663</v>
      </c>
      <c r="G1148">
        <v>3113</v>
      </c>
      <c r="H1148" t="s">
        <v>38</v>
      </c>
      <c r="I1148" t="s">
        <v>28</v>
      </c>
      <c r="J1148" t="s">
        <v>15</v>
      </c>
    </row>
    <row r="1149" spans="1:10" x14ac:dyDescent="0.25">
      <c r="A1149" t="s">
        <v>1186</v>
      </c>
      <c r="B1149" s="1">
        <v>45116</v>
      </c>
      <c r="C1149" t="s">
        <v>22</v>
      </c>
      <c r="D1149" t="s">
        <v>41</v>
      </c>
      <c r="E1149">
        <v>17984</v>
      </c>
      <c r="F1149">
        <v>9441</v>
      </c>
      <c r="G1149">
        <v>8543</v>
      </c>
      <c r="H1149" t="s">
        <v>27</v>
      </c>
      <c r="I1149" t="s">
        <v>28</v>
      </c>
      <c r="J1149" t="s">
        <v>15</v>
      </c>
    </row>
    <row r="1150" spans="1:10" x14ac:dyDescent="0.25">
      <c r="A1150" t="s">
        <v>1187</v>
      </c>
      <c r="B1150" s="1">
        <v>45683</v>
      </c>
      <c r="C1150" t="s">
        <v>17</v>
      </c>
      <c r="D1150" t="s">
        <v>36</v>
      </c>
      <c r="E1150">
        <v>16244</v>
      </c>
      <c r="F1150">
        <v>14343</v>
      </c>
      <c r="G1150">
        <v>1901</v>
      </c>
      <c r="H1150" t="s">
        <v>38</v>
      </c>
      <c r="I1150" t="s">
        <v>31</v>
      </c>
      <c r="J1150" t="s">
        <v>15</v>
      </c>
    </row>
    <row r="1151" spans="1:10" x14ac:dyDescent="0.25">
      <c r="A1151" t="s">
        <v>1188</v>
      </c>
      <c r="B1151" s="1">
        <v>45872</v>
      </c>
      <c r="C1151" t="s">
        <v>11</v>
      </c>
      <c r="D1151" t="s">
        <v>36</v>
      </c>
      <c r="E1151">
        <v>10375</v>
      </c>
      <c r="F1151">
        <v>5827</v>
      </c>
      <c r="G1151">
        <v>4548</v>
      </c>
      <c r="H1151" t="s">
        <v>13</v>
      </c>
      <c r="I1151" t="s">
        <v>34</v>
      </c>
      <c r="J1151" t="s">
        <v>15</v>
      </c>
    </row>
    <row r="1152" spans="1:10" x14ac:dyDescent="0.25">
      <c r="A1152" t="s">
        <v>1189</v>
      </c>
      <c r="B1152" s="1">
        <v>45697</v>
      </c>
      <c r="C1152" t="s">
        <v>22</v>
      </c>
      <c r="D1152" t="s">
        <v>41</v>
      </c>
      <c r="E1152">
        <v>35401</v>
      </c>
      <c r="F1152">
        <v>26208</v>
      </c>
      <c r="G1152">
        <v>9193</v>
      </c>
      <c r="H1152" t="s">
        <v>27</v>
      </c>
      <c r="I1152" t="s">
        <v>14</v>
      </c>
      <c r="J1152" t="s">
        <v>42</v>
      </c>
    </row>
    <row r="1153" spans="1:10" x14ac:dyDescent="0.25">
      <c r="A1153" t="s">
        <v>1190</v>
      </c>
      <c r="B1153" s="1">
        <v>46197</v>
      </c>
      <c r="C1153" t="s">
        <v>44</v>
      </c>
      <c r="D1153" t="s">
        <v>41</v>
      </c>
      <c r="E1153">
        <v>18555</v>
      </c>
      <c r="F1153">
        <v>2907</v>
      </c>
      <c r="G1153">
        <v>15648</v>
      </c>
      <c r="H1153" t="s">
        <v>27</v>
      </c>
      <c r="I1153" t="s">
        <v>34</v>
      </c>
      <c r="J1153" t="s">
        <v>42</v>
      </c>
    </row>
    <row r="1154" spans="1:10" x14ac:dyDescent="0.25">
      <c r="A1154" t="s">
        <v>1191</v>
      </c>
      <c r="B1154" s="1">
        <v>45850</v>
      </c>
      <c r="C1154" t="s">
        <v>22</v>
      </c>
      <c r="D1154" t="s">
        <v>36</v>
      </c>
      <c r="E1154">
        <v>11496</v>
      </c>
      <c r="F1154">
        <v>10398</v>
      </c>
      <c r="G1154">
        <v>1098</v>
      </c>
      <c r="H1154" t="s">
        <v>13</v>
      </c>
      <c r="I1154" t="s">
        <v>60</v>
      </c>
      <c r="J1154" t="s">
        <v>24</v>
      </c>
    </row>
    <row r="1155" spans="1:10" x14ac:dyDescent="0.25">
      <c r="A1155" t="s">
        <v>1192</v>
      </c>
      <c r="B1155" s="1">
        <v>46105</v>
      </c>
      <c r="C1155" t="s">
        <v>17</v>
      </c>
      <c r="D1155" t="s">
        <v>36</v>
      </c>
      <c r="E1155">
        <v>7216</v>
      </c>
      <c r="F1155">
        <v>6029</v>
      </c>
      <c r="G1155">
        <v>1187</v>
      </c>
      <c r="H1155" t="s">
        <v>13</v>
      </c>
      <c r="I1155" t="s">
        <v>78</v>
      </c>
      <c r="J1155" t="s">
        <v>24</v>
      </c>
    </row>
    <row r="1156" spans="1:10" x14ac:dyDescent="0.25">
      <c r="A1156" t="s">
        <v>1193</v>
      </c>
      <c r="B1156" s="1">
        <v>45631</v>
      </c>
      <c r="C1156" t="s">
        <v>44</v>
      </c>
      <c r="D1156" t="s">
        <v>18</v>
      </c>
      <c r="E1156">
        <v>33346</v>
      </c>
      <c r="F1156">
        <v>21889</v>
      </c>
      <c r="G1156">
        <v>11457</v>
      </c>
      <c r="H1156" t="s">
        <v>27</v>
      </c>
      <c r="I1156" t="s">
        <v>31</v>
      </c>
      <c r="J1156" t="s">
        <v>24</v>
      </c>
    </row>
    <row r="1157" spans="1:10" x14ac:dyDescent="0.25">
      <c r="A1157" t="s">
        <v>1194</v>
      </c>
      <c r="B1157" s="1">
        <v>45756</v>
      </c>
      <c r="C1157" t="s">
        <v>44</v>
      </c>
      <c r="D1157" t="s">
        <v>36</v>
      </c>
      <c r="E1157">
        <v>7745</v>
      </c>
      <c r="F1157">
        <v>612</v>
      </c>
      <c r="G1157">
        <v>7133</v>
      </c>
      <c r="H1157" t="s">
        <v>27</v>
      </c>
      <c r="I1157" t="s">
        <v>45</v>
      </c>
      <c r="J1157" t="s">
        <v>53</v>
      </c>
    </row>
    <row r="1158" spans="1:10" x14ac:dyDescent="0.25">
      <c r="A1158" t="s">
        <v>1195</v>
      </c>
      <c r="B1158" s="1">
        <v>45752</v>
      </c>
      <c r="C1158" t="s">
        <v>17</v>
      </c>
      <c r="D1158" t="s">
        <v>36</v>
      </c>
      <c r="E1158">
        <v>25903</v>
      </c>
      <c r="F1158">
        <v>5906</v>
      </c>
      <c r="G1158">
        <v>19997</v>
      </c>
      <c r="H1158" t="s">
        <v>13</v>
      </c>
      <c r="I1158" t="s">
        <v>23</v>
      </c>
      <c r="J1158" t="s">
        <v>53</v>
      </c>
    </row>
    <row r="1159" spans="1:10" x14ac:dyDescent="0.25">
      <c r="A1159" t="s">
        <v>1196</v>
      </c>
      <c r="B1159" s="1">
        <v>45504</v>
      </c>
      <c r="C1159" t="s">
        <v>22</v>
      </c>
      <c r="D1159" t="s">
        <v>33</v>
      </c>
      <c r="E1159">
        <v>21695</v>
      </c>
      <c r="F1159">
        <v>10344</v>
      </c>
      <c r="G1159">
        <v>11351</v>
      </c>
      <c r="H1159" t="s">
        <v>13</v>
      </c>
      <c r="I1159" t="s">
        <v>23</v>
      </c>
      <c r="J1159" t="s">
        <v>42</v>
      </c>
    </row>
    <row r="1160" spans="1:10" x14ac:dyDescent="0.25">
      <c r="A1160" t="s">
        <v>1197</v>
      </c>
      <c r="B1160" s="1">
        <v>45419</v>
      </c>
      <c r="C1160" t="s">
        <v>17</v>
      </c>
      <c r="D1160" t="s">
        <v>18</v>
      </c>
      <c r="E1160">
        <v>32821</v>
      </c>
      <c r="F1160">
        <v>28724</v>
      </c>
      <c r="G1160">
        <v>4097</v>
      </c>
      <c r="H1160" t="s">
        <v>38</v>
      </c>
      <c r="I1160" t="s">
        <v>28</v>
      </c>
      <c r="J1160" t="s">
        <v>29</v>
      </c>
    </row>
    <row r="1161" spans="1:10" x14ac:dyDescent="0.25">
      <c r="A1161" t="s">
        <v>1198</v>
      </c>
      <c r="B1161" s="1">
        <v>45782</v>
      </c>
      <c r="C1161" t="s">
        <v>26</v>
      </c>
      <c r="D1161" t="s">
        <v>41</v>
      </c>
      <c r="E1161">
        <v>48250</v>
      </c>
      <c r="F1161">
        <v>31685</v>
      </c>
      <c r="G1161">
        <v>16565</v>
      </c>
      <c r="H1161" t="s">
        <v>19</v>
      </c>
      <c r="I1161" t="s">
        <v>45</v>
      </c>
      <c r="J1161" t="s">
        <v>53</v>
      </c>
    </row>
    <row r="1162" spans="1:10" x14ac:dyDescent="0.25">
      <c r="A1162" t="s">
        <v>1199</v>
      </c>
      <c r="B1162" s="1">
        <v>45325</v>
      </c>
      <c r="C1162" t="s">
        <v>22</v>
      </c>
      <c r="D1162" t="s">
        <v>41</v>
      </c>
      <c r="E1162">
        <v>33209</v>
      </c>
      <c r="F1162">
        <v>27035</v>
      </c>
      <c r="G1162">
        <v>6174</v>
      </c>
      <c r="H1162" t="s">
        <v>27</v>
      </c>
      <c r="I1162" t="s">
        <v>60</v>
      </c>
      <c r="J1162" t="s">
        <v>29</v>
      </c>
    </row>
    <row r="1163" spans="1:10" x14ac:dyDescent="0.25">
      <c r="A1163" t="s">
        <v>1200</v>
      </c>
      <c r="B1163" s="1">
        <v>45548</v>
      </c>
      <c r="C1163" t="s">
        <v>17</v>
      </c>
      <c r="D1163" t="s">
        <v>12</v>
      </c>
      <c r="E1163">
        <v>45420</v>
      </c>
      <c r="F1163">
        <v>42561</v>
      </c>
      <c r="G1163">
        <v>2859</v>
      </c>
      <c r="H1163" t="s">
        <v>27</v>
      </c>
      <c r="I1163" t="s">
        <v>63</v>
      </c>
      <c r="J1163" t="s">
        <v>42</v>
      </c>
    </row>
    <row r="1164" spans="1:10" x14ac:dyDescent="0.25">
      <c r="A1164" t="s">
        <v>1201</v>
      </c>
      <c r="B1164" s="1">
        <v>45810</v>
      </c>
      <c r="C1164" t="s">
        <v>26</v>
      </c>
      <c r="D1164" t="s">
        <v>18</v>
      </c>
      <c r="E1164">
        <v>40378</v>
      </c>
      <c r="F1164">
        <v>34153</v>
      </c>
      <c r="G1164">
        <v>6225</v>
      </c>
      <c r="H1164" t="s">
        <v>19</v>
      </c>
      <c r="I1164" t="s">
        <v>34</v>
      </c>
      <c r="J1164" t="s">
        <v>53</v>
      </c>
    </row>
    <row r="1165" spans="1:10" x14ac:dyDescent="0.25">
      <c r="A1165" t="s">
        <v>1202</v>
      </c>
      <c r="B1165" s="1">
        <v>45441</v>
      </c>
      <c r="C1165" t="s">
        <v>22</v>
      </c>
      <c r="D1165" t="s">
        <v>41</v>
      </c>
      <c r="E1165">
        <v>35384</v>
      </c>
      <c r="F1165">
        <v>16676</v>
      </c>
      <c r="G1165">
        <v>18708</v>
      </c>
      <c r="H1165" t="s">
        <v>38</v>
      </c>
      <c r="I1165" t="s">
        <v>31</v>
      </c>
      <c r="J1165" t="s">
        <v>29</v>
      </c>
    </row>
    <row r="1166" spans="1:10" x14ac:dyDescent="0.25">
      <c r="A1166" t="s">
        <v>1203</v>
      </c>
      <c r="B1166" s="1">
        <v>45124</v>
      </c>
      <c r="C1166" t="s">
        <v>22</v>
      </c>
      <c r="D1166" t="s">
        <v>33</v>
      </c>
      <c r="E1166">
        <v>5350</v>
      </c>
      <c r="F1166">
        <v>2463</v>
      </c>
      <c r="G1166">
        <v>2887</v>
      </c>
      <c r="H1166" t="s">
        <v>38</v>
      </c>
      <c r="I1166" t="s">
        <v>23</v>
      </c>
      <c r="J1166" t="s">
        <v>24</v>
      </c>
    </row>
    <row r="1167" spans="1:10" x14ac:dyDescent="0.25">
      <c r="A1167" t="s">
        <v>1204</v>
      </c>
      <c r="B1167" s="1">
        <v>45922</v>
      </c>
      <c r="C1167" t="s">
        <v>26</v>
      </c>
      <c r="D1167" t="s">
        <v>18</v>
      </c>
      <c r="E1167">
        <v>27704</v>
      </c>
      <c r="F1167">
        <v>15082</v>
      </c>
      <c r="G1167">
        <v>12622</v>
      </c>
      <c r="H1167" t="s">
        <v>19</v>
      </c>
      <c r="I1167" t="s">
        <v>60</v>
      </c>
      <c r="J1167" t="s">
        <v>29</v>
      </c>
    </row>
    <row r="1168" spans="1:10" x14ac:dyDescent="0.25">
      <c r="A1168" t="s">
        <v>1205</v>
      </c>
      <c r="B1168" s="1">
        <v>45362</v>
      </c>
      <c r="C1168" t="s">
        <v>17</v>
      </c>
      <c r="D1168" t="s">
        <v>36</v>
      </c>
      <c r="E1168">
        <v>23855</v>
      </c>
      <c r="F1168">
        <v>22800</v>
      </c>
      <c r="G1168">
        <v>1055</v>
      </c>
      <c r="H1168" t="s">
        <v>27</v>
      </c>
      <c r="I1168" t="s">
        <v>45</v>
      </c>
      <c r="J1168" t="s">
        <v>53</v>
      </c>
    </row>
    <row r="1169" spans="1:10" x14ac:dyDescent="0.25">
      <c r="A1169" t="s">
        <v>1206</v>
      </c>
      <c r="B1169" s="1">
        <v>45560</v>
      </c>
      <c r="C1169" t="s">
        <v>44</v>
      </c>
      <c r="D1169" t="s">
        <v>18</v>
      </c>
      <c r="E1169">
        <v>49858</v>
      </c>
      <c r="F1169">
        <v>46992</v>
      </c>
      <c r="G1169">
        <v>2866</v>
      </c>
      <c r="H1169" t="s">
        <v>38</v>
      </c>
      <c r="I1169" t="s">
        <v>78</v>
      </c>
      <c r="J1169" t="s">
        <v>42</v>
      </c>
    </row>
    <row r="1170" spans="1:10" x14ac:dyDescent="0.25">
      <c r="A1170" t="s">
        <v>1207</v>
      </c>
      <c r="B1170" s="1">
        <v>45836</v>
      </c>
      <c r="C1170" t="s">
        <v>44</v>
      </c>
      <c r="D1170" t="s">
        <v>33</v>
      </c>
      <c r="E1170">
        <v>47772</v>
      </c>
      <c r="F1170">
        <v>35042</v>
      </c>
      <c r="G1170">
        <v>12730</v>
      </c>
      <c r="H1170" t="s">
        <v>19</v>
      </c>
      <c r="I1170" t="s">
        <v>14</v>
      </c>
      <c r="J1170" t="s">
        <v>42</v>
      </c>
    </row>
    <row r="1171" spans="1:10" x14ac:dyDescent="0.25">
      <c r="A1171" t="s">
        <v>1208</v>
      </c>
      <c r="B1171" s="1">
        <v>45832</v>
      </c>
      <c r="C1171" t="s">
        <v>22</v>
      </c>
      <c r="D1171" t="s">
        <v>33</v>
      </c>
      <c r="E1171">
        <v>33998</v>
      </c>
      <c r="F1171">
        <v>18794</v>
      </c>
      <c r="G1171">
        <v>15204</v>
      </c>
      <c r="H1171" t="s">
        <v>19</v>
      </c>
      <c r="I1171" t="s">
        <v>45</v>
      </c>
      <c r="J1171" t="s">
        <v>24</v>
      </c>
    </row>
    <row r="1172" spans="1:10" x14ac:dyDescent="0.25">
      <c r="A1172" t="s">
        <v>1209</v>
      </c>
      <c r="B1172" s="1">
        <v>45959</v>
      </c>
      <c r="C1172" t="s">
        <v>26</v>
      </c>
      <c r="D1172" t="s">
        <v>18</v>
      </c>
      <c r="E1172">
        <v>26441</v>
      </c>
      <c r="F1172">
        <v>9628</v>
      </c>
      <c r="G1172">
        <v>16813</v>
      </c>
      <c r="H1172" t="s">
        <v>19</v>
      </c>
      <c r="I1172" t="s">
        <v>45</v>
      </c>
      <c r="J1172" t="s">
        <v>15</v>
      </c>
    </row>
    <row r="1173" spans="1:10" x14ac:dyDescent="0.25">
      <c r="A1173" t="s">
        <v>1210</v>
      </c>
      <c r="B1173" s="1">
        <v>46116</v>
      </c>
      <c r="C1173" t="s">
        <v>17</v>
      </c>
      <c r="D1173" t="s">
        <v>36</v>
      </c>
      <c r="E1173">
        <v>22259</v>
      </c>
      <c r="F1173">
        <v>12936</v>
      </c>
      <c r="G1173">
        <v>9323</v>
      </c>
      <c r="H1173" t="s">
        <v>27</v>
      </c>
      <c r="I1173" t="s">
        <v>14</v>
      </c>
      <c r="J1173" t="s">
        <v>53</v>
      </c>
    </row>
    <row r="1174" spans="1:10" x14ac:dyDescent="0.25">
      <c r="A1174" t="s">
        <v>1211</v>
      </c>
      <c r="B1174" s="1">
        <v>45678</v>
      </c>
      <c r="C1174" t="s">
        <v>11</v>
      </c>
      <c r="D1174" t="s">
        <v>41</v>
      </c>
      <c r="E1174">
        <v>31424</v>
      </c>
      <c r="F1174">
        <v>13806</v>
      </c>
      <c r="G1174">
        <v>17618</v>
      </c>
      <c r="H1174" t="s">
        <v>27</v>
      </c>
      <c r="I1174" t="s">
        <v>63</v>
      </c>
      <c r="J1174" t="s">
        <v>24</v>
      </c>
    </row>
    <row r="1175" spans="1:10" x14ac:dyDescent="0.25">
      <c r="A1175" t="s">
        <v>1212</v>
      </c>
      <c r="B1175" s="1">
        <v>45873</v>
      </c>
      <c r="C1175" t="s">
        <v>17</v>
      </c>
      <c r="D1175" t="s">
        <v>33</v>
      </c>
      <c r="E1175">
        <v>44149</v>
      </c>
      <c r="F1175">
        <v>29715</v>
      </c>
      <c r="G1175">
        <v>14434</v>
      </c>
      <c r="H1175" t="s">
        <v>19</v>
      </c>
      <c r="I1175" t="s">
        <v>14</v>
      </c>
      <c r="J1175" t="s">
        <v>29</v>
      </c>
    </row>
    <row r="1176" spans="1:10" x14ac:dyDescent="0.25">
      <c r="A1176" t="s">
        <v>1213</v>
      </c>
      <c r="B1176" s="1">
        <v>45849</v>
      </c>
      <c r="C1176" t="s">
        <v>11</v>
      </c>
      <c r="D1176" t="s">
        <v>41</v>
      </c>
      <c r="E1176">
        <v>19780</v>
      </c>
      <c r="F1176">
        <v>7730</v>
      </c>
      <c r="G1176">
        <v>12050</v>
      </c>
      <c r="H1176" t="s">
        <v>13</v>
      </c>
      <c r="I1176" t="s">
        <v>23</v>
      </c>
      <c r="J1176" t="s">
        <v>24</v>
      </c>
    </row>
    <row r="1177" spans="1:10" x14ac:dyDescent="0.25">
      <c r="A1177" t="s">
        <v>1214</v>
      </c>
      <c r="B1177" s="1">
        <v>45156</v>
      </c>
      <c r="C1177" t="s">
        <v>22</v>
      </c>
      <c r="D1177" t="s">
        <v>41</v>
      </c>
      <c r="E1177">
        <v>19111</v>
      </c>
      <c r="F1177">
        <v>1393</v>
      </c>
      <c r="G1177">
        <v>17718</v>
      </c>
      <c r="H1177" t="s">
        <v>38</v>
      </c>
      <c r="I1177" t="s">
        <v>63</v>
      </c>
      <c r="J1177" t="s">
        <v>24</v>
      </c>
    </row>
    <row r="1178" spans="1:10" x14ac:dyDescent="0.25">
      <c r="A1178" t="s">
        <v>1215</v>
      </c>
      <c r="B1178" s="1">
        <v>45878</v>
      </c>
      <c r="C1178" t="s">
        <v>17</v>
      </c>
      <c r="D1178" t="s">
        <v>36</v>
      </c>
      <c r="E1178">
        <v>36168</v>
      </c>
      <c r="F1178">
        <v>29981</v>
      </c>
      <c r="G1178">
        <v>6187</v>
      </c>
      <c r="H1178" t="s">
        <v>19</v>
      </c>
      <c r="I1178" t="s">
        <v>78</v>
      </c>
      <c r="J1178" t="s">
        <v>42</v>
      </c>
    </row>
    <row r="1179" spans="1:10" x14ac:dyDescent="0.25">
      <c r="A1179" t="s">
        <v>1216</v>
      </c>
      <c r="B1179" s="1">
        <v>45439</v>
      </c>
      <c r="C1179" t="s">
        <v>26</v>
      </c>
      <c r="D1179" t="s">
        <v>36</v>
      </c>
      <c r="E1179">
        <v>29378</v>
      </c>
      <c r="F1179">
        <v>14855</v>
      </c>
      <c r="G1179">
        <v>14523</v>
      </c>
      <c r="H1179" t="s">
        <v>38</v>
      </c>
      <c r="I1179" t="s">
        <v>34</v>
      </c>
      <c r="J1179" t="s">
        <v>53</v>
      </c>
    </row>
    <row r="1180" spans="1:10" x14ac:dyDescent="0.25">
      <c r="A1180" t="s">
        <v>1217</v>
      </c>
      <c r="B1180" s="1">
        <v>45318</v>
      </c>
      <c r="C1180" t="s">
        <v>11</v>
      </c>
      <c r="D1180" t="s">
        <v>18</v>
      </c>
      <c r="E1180">
        <v>41480</v>
      </c>
      <c r="F1180">
        <v>32785</v>
      </c>
      <c r="G1180">
        <v>8695</v>
      </c>
      <c r="H1180" t="s">
        <v>27</v>
      </c>
      <c r="I1180" t="s">
        <v>31</v>
      </c>
      <c r="J1180" t="s">
        <v>15</v>
      </c>
    </row>
    <row r="1181" spans="1:10" x14ac:dyDescent="0.25">
      <c r="A1181" t="s">
        <v>1218</v>
      </c>
      <c r="B1181" s="1">
        <v>46183</v>
      </c>
      <c r="C1181" t="s">
        <v>44</v>
      </c>
      <c r="D1181" t="s">
        <v>36</v>
      </c>
      <c r="E1181">
        <v>28090</v>
      </c>
      <c r="F1181">
        <v>12573</v>
      </c>
      <c r="G1181">
        <v>15517</v>
      </c>
      <c r="H1181" t="s">
        <v>27</v>
      </c>
      <c r="I1181" t="s">
        <v>60</v>
      </c>
      <c r="J1181" t="s">
        <v>53</v>
      </c>
    </row>
    <row r="1182" spans="1:10" x14ac:dyDescent="0.25">
      <c r="A1182" t="s">
        <v>1219</v>
      </c>
      <c r="B1182" s="1">
        <v>46164</v>
      </c>
      <c r="C1182" t="s">
        <v>44</v>
      </c>
      <c r="D1182" t="s">
        <v>33</v>
      </c>
      <c r="E1182">
        <v>10533</v>
      </c>
      <c r="F1182">
        <v>1854</v>
      </c>
      <c r="G1182">
        <v>8679</v>
      </c>
      <c r="H1182" t="s">
        <v>27</v>
      </c>
      <c r="I1182" t="s">
        <v>34</v>
      </c>
      <c r="J1182" t="s">
        <v>29</v>
      </c>
    </row>
    <row r="1183" spans="1:10" x14ac:dyDescent="0.25">
      <c r="A1183" t="s">
        <v>1220</v>
      </c>
      <c r="B1183" s="1">
        <v>45980</v>
      </c>
      <c r="C1183" t="s">
        <v>17</v>
      </c>
      <c r="D1183" t="s">
        <v>33</v>
      </c>
      <c r="E1183">
        <v>36050</v>
      </c>
      <c r="F1183">
        <v>34786</v>
      </c>
      <c r="G1183">
        <v>1264</v>
      </c>
      <c r="H1183" t="s">
        <v>19</v>
      </c>
      <c r="I1183" t="s">
        <v>34</v>
      </c>
      <c r="J1183" t="s">
        <v>53</v>
      </c>
    </row>
    <row r="1184" spans="1:10" x14ac:dyDescent="0.25">
      <c r="A1184" t="s">
        <v>1221</v>
      </c>
      <c r="B1184" s="1">
        <v>45842</v>
      </c>
      <c r="C1184" t="s">
        <v>44</v>
      </c>
      <c r="D1184" t="s">
        <v>41</v>
      </c>
      <c r="E1184">
        <v>28016</v>
      </c>
      <c r="F1184">
        <v>17498</v>
      </c>
      <c r="G1184">
        <v>10518</v>
      </c>
      <c r="H1184" t="s">
        <v>19</v>
      </c>
      <c r="I1184" t="s">
        <v>63</v>
      </c>
      <c r="J1184" t="s">
        <v>24</v>
      </c>
    </row>
    <row r="1185" spans="1:10" x14ac:dyDescent="0.25">
      <c r="A1185" t="s">
        <v>1222</v>
      </c>
      <c r="B1185" s="1">
        <v>45637</v>
      </c>
      <c r="C1185" t="s">
        <v>17</v>
      </c>
      <c r="D1185" t="s">
        <v>36</v>
      </c>
      <c r="E1185">
        <v>21250</v>
      </c>
      <c r="F1185">
        <v>3099</v>
      </c>
      <c r="G1185">
        <v>18151</v>
      </c>
      <c r="H1185" t="s">
        <v>38</v>
      </c>
      <c r="I1185" t="s">
        <v>31</v>
      </c>
      <c r="J1185" t="s">
        <v>53</v>
      </c>
    </row>
    <row r="1186" spans="1:10" x14ac:dyDescent="0.25">
      <c r="A1186" t="s">
        <v>1223</v>
      </c>
      <c r="B1186" s="1">
        <v>45589</v>
      </c>
      <c r="C1186" t="s">
        <v>22</v>
      </c>
      <c r="D1186" t="s">
        <v>18</v>
      </c>
      <c r="E1186">
        <v>39618</v>
      </c>
      <c r="F1186">
        <v>29726</v>
      </c>
      <c r="G1186">
        <v>9892</v>
      </c>
      <c r="H1186" t="s">
        <v>27</v>
      </c>
      <c r="I1186" t="s">
        <v>34</v>
      </c>
      <c r="J1186" t="s">
        <v>29</v>
      </c>
    </row>
    <row r="1187" spans="1:10" x14ac:dyDescent="0.25">
      <c r="A1187" t="s">
        <v>1224</v>
      </c>
      <c r="B1187" s="1">
        <v>45981</v>
      </c>
      <c r="C1187" t="s">
        <v>44</v>
      </c>
      <c r="D1187" t="s">
        <v>18</v>
      </c>
      <c r="E1187">
        <v>33597</v>
      </c>
      <c r="F1187">
        <v>19609</v>
      </c>
      <c r="G1187">
        <v>13988</v>
      </c>
      <c r="H1187" t="s">
        <v>27</v>
      </c>
      <c r="I1187" t="s">
        <v>34</v>
      </c>
      <c r="J1187" t="s">
        <v>53</v>
      </c>
    </row>
    <row r="1188" spans="1:10" x14ac:dyDescent="0.25">
      <c r="A1188" t="s">
        <v>1225</v>
      </c>
      <c r="B1188" s="1">
        <v>45559</v>
      </c>
      <c r="C1188" t="s">
        <v>44</v>
      </c>
      <c r="D1188" t="s">
        <v>33</v>
      </c>
      <c r="E1188">
        <v>38291</v>
      </c>
      <c r="F1188">
        <v>26526</v>
      </c>
      <c r="G1188">
        <v>11765</v>
      </c>
      <c r="H1188" t="s">
        <v>27</v>
      </c>
      <c r="I1188" t="s">
        <v>63</v>
      </c>
      <c r="J1188" t="s">
        <v>29</v>
      </c>
    </row>
    <row r="1189" spans="1:10" x14ac:dyDescent="0.25">
      <c r="A1189" t="s">
        <v>1226</v>
      </c>
      <c r="B1189" s="1">
        <v>45232</v>
      </c>
      <c r="C1189" t="s">
        <v>26</v>
      </c>
      <c r="D1189" t="s">
        <v>33</v>
      </c>
      <c r="E1189">
        <v>9642</v>
      </c>
      <c r="F1189">
        <v>5396</v>
      </c>
      <c r="G1189">
        <v>4246</v>
      </c>
      <c r="H1189" t="s">
        <v>38</v>
      </c>
      <c r="I1189" t="s">
        <v>78</v>
      </c>
      <c r="J1189" t="s">
        <v>42</v>
      </c>
    </row>
    <row r="1190" spans="1:10" x14ac:dyDescent="0.25">
      <c r="A1190" t="s">
        <v>1227</v>
      </c>
      <c r="B1190" s="1">
        <v>45231</v>
      </c>
      <c r="C1190" t="s">
        <v>26</v>
      </c>
      <c r="D1190" t="s">
        <v>36</v>
      </c>
      <c r="E1190">
        <v>34009</v>
      </c>
      <c r="F1190">
        <v>28027</v>
      </c>
      <c r="G1190">
        <v>5982</v>
      </c>
      <c r="H1190" t="s">
        <v>19</v>
      </c>
      <c r="I1190" t="s">
        <v>45</v>
      </c>
      <c r="J1190" t="s">
        <v>53</v>
      </c>
    </row>
    <row r="1191" spans="1:10" x14ac:dyDescent="0.25">
      <c r="A1191" t="s">
        <v>1228</v>
      </c>
      <c r="B1191" s="1">
        <v>45158</v>
      </c>
      <c r="C1191" t="s">
        <v>44</v>
      </c>
      <c r="D1191" t="s">
        <v>12</v>
      </c>
      <c r="E1191">
        <v>9606</v>
      </c>
      <c r="F1191">
        <v>4690</v>
      </c>
      <c r="G1191">
        <v>4916</v>
      </c>
      <c r="H1191" t="s">
        <v>19</v>
      </c>
      <c r="I1191" t="s">
        <v>34</v>
      </c>
      <c r="J1191" t="s">
        <v>53</v>
      </c>
    </row>
    <row r="1192" spans="1:10" x14ac:dyDescent="0.25">
      <c r="A1192" t="s">
        <v>1229</v>
      </c>
      <c r="B1192" s="1">
        <v>45155</v>
      </c>
      <c r="C1192" t="s">
        <v>22</v>
      </c>
      <c r="D1192" t="s">
        <v>36</v>
      </c>
      <c r="E1192">
        <v>29658</v>
      </c>
      <c r="F1192">
        <v>13541</v>
      </c>
      <c r="G1192">
        <v>16117</v>
      </c>
      <c r="H1192" t="s">
        <v>19</v>
      </c>
      <c r="I1192" t="s">
        <v>34</v>
      </c>
      <c r="J1192" t="s">
        <v>15</v>
      </c>
    </row>
    <row r="1193" spans="1:10" x14ac:dyDescent="0.25">
      <c r="A1193" t="s">
        <v>1230</v>
      </c>
      <c r="B1193" s="1">
        <v>46132</v>
      </c>
      <c r="C1193" t="s">
        <v>17</v>
      </c>
      <c r="D1193" t="s">
        <v>12</v>
      </c>
      <c r="E1193">
        <v>9519</v>
      </c>
      <c r="F1193">
        <v>5100</v>
      </c>
      <c r="G1193">
        <v>4419</v>
      </c>
      <c r="H1193" t="s">
        <v>19</v>
      </c>
      <c r="I1193" t="s">
        <v>28</v>
      </c>
      <c r="J1193" t="s">
        <v>24</v>
      </c>
    </row>
    <row r="1194" spans="1:10" x14ac:dyDescent="0.25">
      <c r="A1194" t="s">
        <v>1231</v>
      </c>
      <c r="B1194" s="1">
        <v>45602</v>
      </c>
      <c r="C1194" t="s">
        <v>17</v>
      </c>
      <c r="D1194" t="s">
        <v>18</v>
      </c>
      <c r="E1194">
        <v>48427</v>
      </c>
      <c r="F1194">
        <v>45565</v>
      </c>
      <c r="G1194">
        <v>2862</v>
      </c>
      <c r="H1194" t="s">
        <v>27</v>
      </c>
      <c r="I1194" t="s">
        <v>45</v>
      </c>
      <c r="J1194" t="s">
        <v>42</v>
      </c>
    </row>
    <row r="1195" spans="1:10" x14ac:dyDescent="0.25">
      <c r="A1195" t="s">
        <v>1232</v>
      </c>
      <c r="B1195" s="1">
        <v>46077</v>
      </c>
      <c r="C1195" t="s">
        <v>11</v>
      </c>
      <c r="D1195" t="s">
        <v>12</v>
      </c>
      <c r="E1195">
        <v>30049</v>
      </c>
      <c r="F1195">
        <v>16821</v>
      </c>
      <c r="G1195">
        <v>13228</v>
      </c>
      <c r="H1195" t="s">
        <v>19</v>
      </c>
      <c r="I1195" t="s">
        <v>23</v>
      </c>
      <c r="J1195" t="s">
        <v>15</v>
      </c>
    </row>
    <row r="1196" spans="1:10" x14ac:dyDescent="0.25">
      <c r="A1196" t="s">
        <v>1233</v>
      </c>
      <c r="B1196" s="1">
        <v>46158</v>
      </c>
      <c r="C1196" t="s">
        <v>11</v>
      </c>
      <c r="D1196" t="s">
        <v>36</v>
      </c>
      <c r="E1196">
        <v>11936</v>
      </c>
      <c r="F1196">
        <v>5919</v>
      </c>
      <c r="G1196">
        <v>6017</v>
      </c>
      <c r="H1196" t="s">
        <v>38</v>
      </c>
      <c r="I1196" t="s">
        <v>20</v>
      </c>
      <c r="J1196" t="s">
        <v>29</v>
      </c>
    </row>
    <row r="1197" spans="1:10" x14ac:dyDescent="0.25">
      <c r="A1197" t="s">
        <v>1234</v>
      </c>
      <c r="B1197" s="1">
        <v>46002</v>
      </c>
      <c r="C1197" t="s">
        <v>11</v>
      </c>
      <c r="D1197" t="s">
        <v>41</v>
      </c>
      <c r="E1197">
        <v>16494</v>
      </c>
      <c r="F1197">
        <v>15376</v>
      </c>
      <c r="G1197">
        <v>1118</v>
      </c>
      <c r="H1197" t="s">
        <v>38</v>
      </c>
      <c r="I1197" t="s">
        <v>14</v>
      </c>
      <c r="J1197" t="s">
        <v>15</v>
      </c>
    </row>
    <row r="1198" spans="1:10" x14ac:dyDescent="0.25">
      <c r="A1198" t="s">
        <v>1235</v>
      </c>
      <c r="B1198" s="1">
        <v>45496</v>
      </c>
      <c r="C1198" t="s">
        <v>17</v>
      </c>
      <c r="D1198" t="s">
        <v>41</v>
      </c>
      <c r="E1198">
        <v>15335</v>
      </c>
      <c r="F1198">
        <v>6727</v>
      </c>
      <c r="G1198">
        <v>8608</v>
      </c>
      <c r="H1198" t="s">
        <v>27</v>
      </c>
      <c r="I1198" t="s">
        <v>78</v>
      </c>
      <c r="J1198" t="s">
        <v>42</v>
      </c>
    </row>
    <row r="1199" spans="1:10" x14ac:dyDescent="0.25">
      <c r="A1199" t="s">
        <v>1236</v>
      </c>
      <c r="B1199" s="1">
        <v>45359</v>
      </c>
      <c r="C1199" t="s">
        <v>22</v>
      </c>
      <c r="D1199" t="s">
        <v>33</v>
      </c>
      <c r="E1199">
        <v>5286</v>
      </c>
      <c r="F1199">
        <v>3615</v>
      </c>
      <c r="G1199">
        <v>1671</v>
      </c>
      <c r="H1199" t="s">
        <v>13</v>
      </c>
      <c r="I1199" t="s">
        <v>31</v>
      </c>
      <c r="J1199" t="s">
        <v>24</v>
      </c>
    </row>
    <row r="1200" spans="1:10" x14ac:dyDescent="0.25">
      <c r="A1200" t="s">
        <v>1237</v>
      </c>
      <c r="B1200" s="1">
        <v>46165</v>
      </c>
      <c r="C1200" t="s">
        <v>17</v>
      </c>
      <c r="D1200" t="s">
        <v>18</v>
      </c>
      <c r="E1200">
        <v>36662</v>
      </c>
      <c r="F1200">
        <v>31152</v>
      </c>
      <c r="G1200">
        <v>5510</v>
      </c>
      <c r="H1200" t="s">
        <v>38</v>
      </c>
      <c r="I1200" t="s">
        <v>60</v>
      </c>
      <c r="J1200" t="s">
        <v>24</v>
      </c>
    </row>
    <row r="1201" spans="1:10" x14ac:dyDescent="0.25">
      <c r="A1201" t="s">
        <v>1238</v>
      </c>
      <c r="B1201" s="1">
        <v>45156</v>
      </c>
      <c r="C1201" t="s">
        <v>44</v>
      </c>
      <c r="D1201" t="s">
        <v>18</v>
      </c>
      <c r="E1201">
        <v>44650</v>
      </c>
      <c r="F1201">
        <v>28036</v>
      </c>
      <c r="G1201">
        <v>16614</v>
      </c>
      <c r="H1201" t="s">
        <v>38</v>
      </c>
      <c r="I1201" t="s">
        <v>31</v>
      </c>
      <c r="J1201" t="s">
        <v>24</v>
      </c>
    </row>
    <row r="1202" spans="1:10" x14ac:dyDescent="0.25">
      <c r="A1202" t="s">
        <v>1239</v>
      </c>
      <c r="B1202" s="1">
        <v>46107</v>
      </c>
      <c r="C1202" t="s">
        <v>22</v>
      </c>
      <c r="D1202" t="s">
        <v>36</v>
      </c>
      <c r="E1202">
        <v>12561</v>
      </c>
      <c r="F1202">
        <v>2029</v>
      </c>
      <c r="G1202">
        <v>10532</v>
      </c>
      <c r="H1202" t="s">
        <v>13</v>
      </c>
      <c r="I1202" t="s">
        <v>78</v>
      </c>
      <c r="J1202" t="s">
        <v>15</v>
      </c>
    </row>
    <row r="1203" spans="1:10" x14ac:dyDescent="0.25">
      <c r="A1203" t="s">
        <v>1240</v>
      </c>
      <c r="B1203" s="1">
        <v>46194</v>
      </c>
      <c r="C1203" t="s">
        <v>11</v>
      </c>
      <c r="D1203" t="s">
        <v>41</v>
      </c>
      <c r="E1203">
        <v>44269</v>
      </c>
      <c r="F1203">
        <v>27862</v>
      </c>
      <c r="G1203">
        <v>16407</v>
      </c>
      <c r="H1203" t="s">
        <v>13</v>
      </c>
      <c r="I1203" t="s">
        <v>31</v>
      </c>
      <c r="J1203" t="s">
        <v>29</v>
      </c>
    </row>
    <row r="1204" spans="1:10" x14ac:dyDescent="0.25">
      <c r="A1204" t="s">
        <v>1241</v>
      </c>
      <c r="B1204" s="1">
        <v>45296</v>
      </c>
      <c r="C1204" t="s">
        <v>11</v>
      </c>
      <c r="D1204" t="s">
        <v>18</v>
      </c>
      <c r="E1204">
        <v>30968</v>
      </c>
      <c r="F1204">
        <v>29631</v>
      </c>
      <c r="G1204">
        <v>1337</v>
      </c>
      <c r="H1204" t="s">
        <v>19</v>
      </c>
      <c r="I1204" t="s">
        <v>20</v>
      </c>
      <c r="J1204" t="s">
        <v>24</v>
      </c>
    </row>
    <row r="1205" spans="1:10" x14ac:dyDescent="0.25">
      <c r="A1205" t="s">
        <v>1242</v>
      </c>
      <c r="B1205" s="1">
        <v>46136</v>
      </c>
      <c r="C1205" t="s">
        <v>22</v>
      </c>
      <c r="D1205" t="s">
        <v>41</v>
      </c>
      <c r="E1205">
        <v>36205</v>
      </c>
      <c r="F1205">
        <v>23059</v>
      </c>
      <c r="G1205">
        <v>13146</v>
      </c>
      <c r="H1205" t="s">
        <v>27</v>
      </c>
      <c r="I1205" t="s">
        <v>63</v>
      </c>
      <c r="J1205" t="s">
        <v>15</v>
      </c>
    </row>
    <row r="1206" spans="1:10" x14ac:dyDescent="0.25">
      <c r="A1206" t="s">
        <v>1243</v>
      </c>
      <c r="B1206" s="1">
        <v>45575</v>
      </c>
      <c r="C1206" t="s">
        <v>22</v>
      </c>
      <c r="D1206" t="s">
        <v>36</v>
      </c>
      <c r="E1206">
        <v>42927</v>
      </c>
      <c r="F1206">
        <v>27247</v>
      </c>
      <c r="G1206">
        <v>15680</v>
      </c>
      <c r="H1206" t="s">
        <v>38</v>
      </c>
      <c r="I1206" t="s">
        <v>60</v>
      </c>
      <c r="J1206" t="s">
        <v>15</v>
      </c>
    </row>
    <row r="1207" spans="1:10" x14ac:dyDescent="0.25">
      <c r="A1207" t="s">
        <v>1244</v>
      </c>
      <c r="B1207" s="1">
        <v>45910</v>
      </c>
      <c r="C1207" t="s">
        <v>17</v>
      </c>
      <c r="D1207" t="s">
        <v>33</v>
      </c>
      <c r="E1207">
        <v>27996</v>
      </c>
      <c r="F1207">
        <v>10921</v>
      </c>
      <c r="G1207">
        <v>17075</v>
      </c>
      <c r="H1207" t="s">
        <v>27</v>
      </c>
      <c r="I1207" t="s">
        <v>23</v>
      </c>
      <c r="J1207" t="s">
        <v>42</v>
      </c>
    </row>
    <row r="1208" spans="1:10" x14ac:dyDescent="0.25">
      <c r="A1208" t="s">
        <v>1245</v>
      </c>
      <c r="B1208" s="1">
        <v>46028</v>
      </c>
      <c r="C1208" t="s">
        <v>17</v>
      </c>
      <c r="D1208" t="s">
        <v>18</v>
      </c>
      <c r="E1208">
        <v>34424</v>
      </c>
      <c r="F1208">
        <v>16773</v>
      </c>
      <c r="G1208">
        <v>17651</v>
      </c>
      <c r="H1208" t="s">
        <v>38</v>
      </c>
      <c r="I1208" t="s">
        <v>23</v>
      </c>
      <c r="J1208" t="s">
        <v>15</v>
      </c>
    </row>
    <row r="1209" spans="1:10" x14ac:dyDescent="0.25">
      <c r="A1209" t="s">
        <v>1246</v>
      </c>
      <c r="B1209" s="1">
        <v>45991</v>
      </c>
      <c r="C1209" t="s">
        <v>26</v>
      </c>
      <c r="D1209" t="s">
        <v>33</v>
      </c>
      <c r="E1209">
        <v>48255</v>
      </c>
      <c r="F1209">
        <v>31883</v>
      </c>
      <c r="G1209">
        <v>16372</v>
      </c>
      <c r="H1209" t="s">
        <v>27</v>
      </c>
      <c r="I1209" t="s">
        <v>34</v>
      </c>
      <c r="J1209" t="s">
        <v>29</v>
      </c>
    </row>
    <row r="1210" spans="1:10" x14ac:dyDescent="0.25">
      <c r="A1210" t="s">
        <v>1247</v>
      </c>
      <c r="B1210" s="1">
        <v>46092</v>
      </c>
      <c r="C1210" t="s">
        <v>26</v>
      </c>
      <c r="D1210" t="s">
        <v>36</v>
      </c>
      <c r="E1210">
        <v>5154</v>
      </c>
      <c r="F1210">
        <v>2266</v>
      </c>
      <c r="G1210">
        <v>2888</v>
      </c>
      <c r="H1210" t="s">
        <v>38</v>
      </c>
      <c r="I1210" t="s">
        <v>34</v>
      </c>
      <c r="J1210" t="s">
        <v>24</v>
      </c>
    </row>
    <row r="1211" spans="1:10" x14ac:dyDescent="0.25">
      <c r="A1211" t="s">
        <v>1248</v>
      </c>
      <c r="B1211" s="1">
        <v>45683</v>
      </c>
      <c r="C1211" t="s">
        <v>22</v>
      </c>
      <c r="D1211" t="s">
        <v>12</v>
      </c>
      <c r="E1211">
        <v>8891</v>
      </c>
      <c r="F1211">
        <v>4790</v>
      </c>
      <c r="G1211">
        <v>4101</v>
      </c>
      <c r="H1211" t="s">
        <v>19</v>
      </c>
      <c r="I1211" t="s">
        <v>60</v>
      </c>
      <c r="J1211" t="s">
        <v>53</v>
      </c>
    </row>
    <row r="1212" spans="1:10" x14ac:dyDescent="0.25">
      <c r="A1212" t="s">
        <v>1249</v>
      </c>
      <c r="B1212" s="1">
        <v>45189</v>
      </c>
      <c r="C1212" t="s">
        <v>22</v>
      </c>
      <c r="D1212" t="s">
        <v>18</v>
      </c>
      <c r="E1212">
        <v>13968</v>
      </c>
      <c r="F1212">
        <v>11053</v>
      </c>
      <c r="G1212">
        <v>2915</v>
      </c>
      <c r="H1212" t="s">
        <v>13</v>
      </c>
      <c r="I1212" t="s">
        <v>23</v>
      </c>
      <c r="J1212" t="s">
        <v>29</v>
      </c>
    </row>
    <row r="1213" spans="1:10" x14ac:dyDescent="0.25">
      <c r="A1213" t="s">
        <v>1250</v>
      </c>
      <c r="B1213" s="1">
        <v>46205</v>
      </c>
      <c r="C1213" t="s">
        <v>17</v>
      </c>
      <c r="D1213" t="s">
        <v>36</v>
      </c>
      <c r="E1213">
        <v>29079</v>
      </c>
      <c r="F1213">
        <v>17162</v>
      </c>
      <c r="G1213">
        <v>11917</v>
      </c>
      <c r="H1213" t="s">
        <v>13</v>
      </c>
      <c r="I1213" t="s">
        <v>28</v>
      </c>
      <c r="J1213" t="s">
        <v>24</v>
      </c>
    </row>
    <row r="1214" spans="1:10" x14ac:dyDescent="0.25">
      <c r="A1214" t="s">
        <v>1251</v>
      </c>
      <c r="B1214" s="1">
        <v>46110</v>
      </c>
      <c r="C1214" t="s">
        <v>44</v>
      </c>
      <c r="D1214" t="s">
        <v>41</v>
      </c>
      <c r="E1214">
        <v>41043</v>
      </c>
      <c r="F1214">
        <v>39931</v>
      </c>
      <c r="G1214">
        <v>1112</v>
      </c>
      <c r="H1214" t="s">
        <v>13</v>
      </c>
      <c r="I1214" t="s">
        <v>20</v>
      </c>
      <c r="J1214" t="s">
        <v>15</v>
      </c>
    </row>
    <row r="1215" spans="1:10" x14ac:dyDescent="0.25">
      <c r="A1215" t="s">
        <v>1252</v>
      </c>
      <c r="B1215" s="1">
        <v>45451</v>
      </c>
      <c r="C1215" t="s">
        <v>17</v>
      </c>
      <c r="D1215" t="s">
        <v>33</v>
      </c>
      <c r="E1215">
        <v>9901</v>
      </c>
      <c r="F1215">
        <v>5741</v>
      </c>
      <c r="G1215">
        <v>4160</v>
      </c>
      <c r="H1215" t="s">
        <v>27</v>
      </c>
      <c r="I1215" t="s">
        <v>20</v>
      </c>
      <c r="J1215" t="s">
        <v>42</v>
      </c>
    </row>
    <row r="1216" spans="1:10" x14ac:dyDescent="0.25">
      <c r="A1216" t="s">
        <v>1253</v>
      </c>
      <c r="B1216" s="1">
        <v>45612</v>
      </c>
      <c r="C1216" t="s">
        <v>11</v>
      </c>
      <c r="D1216" t="s">
        <v>12</v>
      </c>
      <c r="E1216">
        <v>13637</v>
      </c>
      <c r="F1216">
        <v>623</v>
      </c>
      <c r="G1216">
        <v>13014</v>
      </c>
      <c r="H1216" t="s">
        <v>19</v>
      </c>
      <c r="I1216" t="s">
        <v>31</v>
      </c>
      <c r="J1216" t="s">
        <v>29</v>
      </c>
    </row>
    <row r="1217" spans="1:10" x14ac:dyDescent="0.25">
      <c r="A1217" t="s">
        <v>1254</v>
      </c>
      <c r="B1217" s="1">
        <v>45837</v>
      </c>
      <c r="C1217" t="s">
        <v>26</v>
      </c>
      <c r="D1217" t="s">
        <v>41</v>
      </c>
      <c r="E1217">
        <v>25134</v>
      </c>
      <c r="F1217">
        <v>16022</v>
      </c>
      <c r="G1217">
        <v>9112</v>
      </c>
      <c r="H1217" t="s">
        <v>13</v>
      </c>
      <c r="I1217" t="s">
        <v>31</v>
      </c>
      <c r="J1217" t="s">
        <v>24</v>
      </c>
    </row>
    <row r="1218" spans="1:10" x14ac:dyDescent="0.25">
      <c r="A1218" t="s">
        <v>1255</v>
      </c>
      <c r="B1218" s="1">
        <v>45440</v>
      </c>
      <c r="C1218" t="s">
        <v>26</v>
      </c>
      <c r="D1218" t="s">
        <v>12</v>
      </c>
      <c r="E1218">
        <v>9687</v>
      </c>
      <c r="F1218">
        <v>5214</v>
      </c>
      <c r="G1218">
        <v>4473</v>
      </c>
      <c r="H1218" t="s">
        <v>27</v>
      </c>
      <c r="I1218" t="s">
        <v>78</v>
      </c>
      <c r="J1218" t="s">
        <v>53</v>
      </c>
    </row>
    <row r="1219" spans="1:10" x14ac:dyDescent="0.25">
      <c r="A1219" t="s">
        <v>1256</v>
      </c>
      <c r="B1219" s="1">
        <v>46179</v>
      </c>
      <c r="C1219" t="s">
        <v>22</v>
      </c>
      <c r="D1219" t="s">
        <v>33</v>
      </c>
      <c r="E1219">
        <v>6872</v>
      </c>
      <c r="F1219">
        <v>3699</v>
      </c>
      <c r="G1219">
        <v>3173</v>
      </c>
      <c r="H1219" t="s">
        <v>13</v>
      </c>
      <c r="I1219" t="s">
        <v>14</v>
      </c>
      <c r="J1219" t="s">
        <v>53</v>
      </c>
    </row>
    <row r="1220" spans="1:10" x14ac:dyDescent="0.25">
      <c r="A1220" t="s">
        <v>1257</v>
      </c>
      <c r="B1220" s="1">
        <v>46176</v>
      </c>
      <c r="C1220" t="s">
        <v>17</v>
      </c>
      <c r="D1220" t="s">
        <v>12</v>
      </c>
      <c r="E1220">
        <v>35925</v>
      </c>
      <c r="F1220">
        <v>17999</v>
      </c>
      <c r="G1220">
        <v>17926</v>
      </c>
      <c r="H1220" t="s">
        <v>38</v>
      </c>
      <c r="I1220" t="s">
        <v>14</v>
      </c>
      <c r="J1220" t="s">
        <v>29</v>
      </c>
    </row>
    <row r="1221" spans="1:10" x14ac:dyDescent="0.25">
      <c r="A1221" t="s">
        <v>1258</v>
      </c>
      <c r="B1221" s="1">
        <v>45835</v>
      </c>
      <c r="C1221" t="s">
        <v>22</v>
      </c>
      <c r="D1221" t="s">
        <v>12</v>
      </c>
      <c r="E1221">
        <v>5246</v>
      </c>
      <c r="F1221">
        <v>3804</v>
      </c>
      <c r="G1221">
        <v>1442</v>
      </c>
      <c r="H1221" t="s">
        <v>38</v>
      </c>
      <c r="I1221" t="s">
        <v>31</v>
      </c>
      <c r="J1221" t="s">
        <v>15</v>
      </c>
    </row>
    <row r="1222" spans="1:10" x14ac:dyDescent="0.25">
      <c r="A1222" t="s">
        <v>1259</v>
      </c>
      <c r="B1222" s="1">
        <v>45844</v>
      </c>
      <c r="C1222" t="s">
        <v>17</v>
      </c>
      <c r="D1222" t="s">
        <v>12</v>
      </c>
      <c r="E1222">
        <v>19726</v>
      </c>
      <c r="F1222">
        <v>2000</v>
      </c>
      <c r="G1222">
        <v>17726</v>
      </c>
      <c r="H1222" t="s">
        <v>38</v>
      </c>
      <c r="I1222" t="s">
        <v>31</v>
      </c>
      <c r="J1222" t="s">
        <v>29</v>
      </c>
    </row>
    <row r="1223" spans="1:10" x14ac:dyDescent="0.25">
      <c r="A1223" t="s">
        <v>1260</v>
      </c>
      <c r="B1223" s="1">
        <v>45526</v>
      </c>
      <c r="C1223" t="s">
        <v>22</v>
      </c>
      <c r="D1223" t="s">
        <v>41</v>
      </c>
      <c r="E1223">
        <v>24632</v>
      </c>
      <c r="F1223">
        <v>15803</v>
      </c>
      <c r="G1223">
        <v>8829</v>
      </c>
      <c r="H1223" t="s">
        <v>13</v>
      </c>
      <c r="I1223" t="s">
        <v>14</v>
      </c>
      <c r="J1223" t="s">
        <v>53</v>
      </c>
    </row>
    <row r="1224" spans="1:10" x14ac:dyDescent="0.25">
      <c r="A1224" t="s">
        <v>1261</v>
      </c>
      <c r="B1224" s="1">
        <v>45373</v>
      </c>
      <c r="C1224" t="s">
        <v>22</v>
      </c>
      <c r="D1224" t="s">
        <v>41</v>
      </c>
      <c r="E1224">
        <v>37386</v>
      </c>
      <c r="F1224">
        <v>26407</v>
      </c>
      <c r="G1224">
        <v>10979</v>
      </c>
      <c r="H1224" t="s">
        <v>13</v>
      </c>
      <c r="I1224" t="s">
        <v>23</v>
      </c>
      <c r="J1224" t="s">
        <v>53</v>
      </c>
    </row>
    <row r="1225" spans="1:10" x14ac:dyDescent="0.25">
      <c r="A1225" t="s">
        <v>1262</v>
      </c>
      <c r="B1225" s="1">
        <v>46113</v>
      </c>
      <c r="C1225" t="s">
        <v>22</v>
      </c>
      <c r="D1225" t="s">
        <v>18</v>
      </c>
      <c r="E1225">
        <v>18130</v>
      </c>
      <c r="F1225">
        <v>181</v>
      </c>
      <c r="G1225">
        <v>17949</v>
      </c>
      <c r="H1225" t="s">
        <v>19</v>
      </c>
      <c r="I1225" t="s">
        <v>34</v>
      </c>
      <c r="J1225" t="s">
        <v>42</v>
      </c>
    </row>
    <row r="1226" spans="1:10" x14ac:dyDescent="0.25">
      <c r="A1226" t="s">
        <v>1263</v>
      </c>
      <c r="B1226" s="1">
        <v>45713</v>
      </c>
      <c r="C1226" t="s">
        <v>22</v>
      </c>
      <c r="D1226" t="s">
        <v>41</v>
      </c>
      <c r="E1226">
        <v>31747</v>
      </c>
      <c r="F1226">
        <v>17705</v>
      </c>
      <c r="G1226">
        <v>14042</v>
      </c>
      <c r="H1226" t="s">
        <v>13</v>
      </c>
      <c r="I1226" t="s">
        <v>23</v>
      </c>
      <c r="J1226" t="s">
        <v>53</v>
      </c>
    </row>
    <row r="1227" spans="1:10" x14ac:dyDescent="0.25">
      <c r="A1227" t="s">
        <v>1264</v>
      </c>
      <c r="B1227" s="1">
        <v>46167</v>
      </c>
      <c r="C1227" t="s">
        <v>26</v>
      </c>
      <c r="D1227" t="s">
        <v>41</v>
      </c>
      <c r="E1227">
        <v>6470</v>
      </c>
      <c r="F1227">
        <v>1561</v>
      </c>
      <c r="G1227">
        <v>4909</v>
      </c>
      <c r="H1227" t="s">
        <v>38</v>
      </c>
      <c r="I1227" t="s">
        <v>14</v>
      </c>
      <c r="J1227" t="s">
        <v>24</v>
      </c>
    </row>
    <row r="1228" spans="1:10" x14ac:dyDescent="0.25">
      <c r="A1228" t="s">
        <v>1265</v>
      </c>
      <c r="B1228" s="1">
        <v>45149</v>
      </c>
      <c r="C1228" t="s">
        <v>26</v>
      </c>
      <c r="D1228" t="s">
        <v>36</v>
      </c>
      <c r="E1228">
        <v>49026</v>
      </c>
      <c r="F1228">
        <v>33645</v>
      </c>
      <c r="G1228">
        <v>15381</v>
      </c>
      <c r="H1228" t="s">
        <v>13</v>
      </c>
      <c r="I1228" t="s">
        <v>14</v>
      </c>
      <c r="J1228" t="s">
        <v>42</v>
      </c>
    </row>
    <row r="1229" spans="1:10" x14ac:dyDescent="0.25">
      <c r="A1229" t="s">
        <v>1266</v>
      </c>
      <c r="B1229" s="1">
        <v>45462</v>
      </c>
      <c r="C1229" t="s">
        <v>26</v>
      </c>
      <c r="D1229" t="s">
        <v>33</v>
      </c>
      <c r="E1229">
        <v>6913</v>
      </c>
      <c r="F1229">
        <v>862</v>
      </c>
      <c r="G1229">
        <v>6051</v>
      </c>
      <c r="H1229" t="s">
        <v>13</v>
      </c>
      <c r="I1229" t="s">
        <v>34</v>
      </c>
      <c r="J1229" t="s">
        <v>53</v>
      </c>
    </row>
    <row r="1230" spans="1:10" x14ac:dyDescent="0.25">
      <c r="A1230" t="s">
        <v>1267</v>
      </c>
      <c r="B1230" s="1">
        <v>45239</v>
      </c>
      <c r="C1230" t="s">
        <v>17</v>
      </c>
      <c r="D1230" t="s">
        <v>33</v>
      </c>
      <c r="E1230">
        <v>49249</v>
      </c>
      <c r="F1230">
        <v>41030</v>
      </c>
      <c r="G1230">
        <v>8219</v>
      </c>
      <c r="H1230" t="s">
        <v>38</v>
      </c>
      <c r="I1230" t="s">
        <v>14</v>
      </c>
      <c r="J1230" t="s">
        <v>53</v>
      </c>
    </row>
    <row r="1231" spans="1:10" x14ac:dyDescent="0.25">
      <c r="A1231" t="s">
        <v>1268</v>
      </c>
      <c r="B1231" s="1">
        <v>45146</v>
      </c>
      <c r="C1231" t="s">
        <v>44</v>
      </c>
      <c r="D1231" t="s">
        <v>36</v>
      </c>
      <c r="E1231">
        <v>30409</v>
      </c>
      <c r="F1231">
        <v>16877</v>
      </c>
      <c r="G1231">
        <v>13532</v>
      </c>
      <c r="H1231" t="s">
        <v>38</v>
      </c>
      <c r="I1231" t="s">
        <v>20</v>
      </c>
      <c r="J1231" t="s">
        <v>29</v>
      </c>
    </row>
    <row r="1232" spans="1:10" x14ac:dyDescent="0.25">
      <c r="A1232" t="s">
        <v>1269</v>
      </c>
      <c r="B1232" s="1">
        <v>46086</v>
      </c>
      <c r="C1232" t="s">
        <v>22</v>
      </c>
      <c r="D1232" t="s">
        <v>36</v>
      </c>
      <c r="E1232">
        <v>44582</v>
      </c>
      <c r="F1232">
        <v>37374</v>
      </c>
      <c r="G1232">
        <v>7208</v>
      </c>
      <c r="H1232" t="s">
        <v>13</v>
      </c>
      <c r="I1232" t="s">
        <v>28</v>
      </c>
      <c r="J1232" t="s">
        <v>42</v>
      </c>
    </row>
    <row r="1233" spans="1:10" x14ac:dyDescent="0.25">
      <c r="A1233" t="s">
        <v>1270</v>
      </c>
      <c r="B1233" s="1">
        <v>45475</v>
      </c>
      <c r="C1233" t="s">
        <v>26</v>
      </c>
      <c r="D1233" t="s">
        <v>18</v>
      </c>
      <c r="E1233">
        <v>13793</v>
      </c>
      <c r="F1233">
        <v>7673</v>
      </c>
      <c r="G1233">
        <v>6120</v>
      </c>
      <c r="H1233" t="s">
        <v>19</v>
      </c>
      <c r="I1233" t="s">
        <v>34</v>
      </c>
      <c r="J1233" t="s">
        <v>53</v>
      </c>
    </row>
    <row r="1234" spans="1:10" x14ac:dyDescent="0.25">
      <c r="A1234" t="s">
        <v>1271</v>
      </c>
      <c r="B1234" s="1">
        <v>45729</v>
      </c>
      <c r="C1234" t="s">
        <v>22</v>
      </c>
      <c r="D1234" t="s">
        <v>36</v>
      </c>
      <c r="E1234">
        <v>29808</v>
      </c>
      <c r="F1234">
        <v>18902</v>
      </c>
      <c r="G1234">
        <v>10906</v>
      </c>
      <c r="H1234" t="s">
        <v>38</v>
      </c>
      <c r="I1234" t="s">
        <v>14</v>
      </c>
      <c r="J1234" t="s">
        <v>42</v>
      </c>
    </row>
    <row r="1235" spans="1:10" x14ac:dyDescent="0.25">
      <c r="A1235" t="s">
        <v>1272</v>
      </c>
      <c r="B1235" s="1">
        <v>45526</v>
      </c>
      <c r="C1235" t="s">
        <v>44</v>
      </c>
      <c r="D1235" t="s">
        <v>18</v>
      </c>
      <c r="E1235">
        <v>17914</v>
      </c>
      <c r="F1235">
        <v>13388</v>
      </c>
      <c r="G1235">
        <v>4526</v>
      </c>
      <c r="H1235" t="s">
        <v>27</v>
      </c>
      <c r="I1235" t="s">
        <v>23</v>
      </c>
      <c r="J1235" t="s">
        <v>42</v>
      </c>
    </row>
    <row r="1236" spans="1:10" x14ac:dyDescent="0.25">
      <c r="A1236" t="s">
        <v>1273</v>
      </c>
      <c r="B1236" s="1">
        <v>45372</v>
      </c>
      <c r="C1236" t="s">
        <v>44</v>
      </c>
      <c r="D1236" t="s">
        <v>41</v>
      </c>
      <c r="E1236">
        <v>48134</v>
      </c>
      <c r="F1236">
        <v>38579</v>
      </c>
      <c r="G1236">
        <v>9555</v>
      </c>
      <c r="H1236" t="s">
        <v>13</v>
      </c>
      <c r="I1236" t="s">
        <v>63</v>
      </c>
      <c r="J1236" t="s">
        <v>53</v>
      </c>
    </row>
    <row r="1237" spans="1:10" x14ac:dyDescent="0.25">
      <c r="A1237" t="s">
        <v>1274</v>
      </c>
      <c r="B1237" s="1">
        <v>45949</v>
      </c>
      <c r="C1237" t="s">
        <v>11</v>
      </c>
      <c r="D1237" t="s">
        <v>41</v>
      </c>
      <c r="E1237">
        <v>48115</v>
      </c>
      <c r="F1237">
        <v>37454</v>
      </c>
      <c r="G1237">
        <v>10661</v>
      </c>
      <c r="H1237" t="s">
        <v>13</v>
      </c>
      <c r="I1237" t="s">
        <v>34</v>
      </c>
      <c r="J1237" t="s">
        <v>24</v>
      </c>
    </row>
    <row r="1238" spans="1:10" x14ac:dyDescent="0.25">
      <c r="A1238" t="s">
        <v>1275</v>
      </c>
      <c r="B1238" s="1">
        <v>45356</v>
      </c>
      <c r="C1238" t="s">
        <v>26</v>
      </c>
      <c r="D1238" t="s">
        <v>33</v>
      </c>
      <c r="E1238">
        <v>8600</v>
      </c>
      <c r="F1238">
        <v>1029</v>
      </c>
      <c r="G1238">
        <v>7571</v>
      </c>
      <c r="H1238" t="s">
        <v>19</v>
      </c>
      <c r="I1238" t="s">
        <v>34</v>
      </c>
      <c r="J1238" t="s">
        <v>29</v>
      </c>
    </row>
    <row r="1239" spans="1:10" x14ac:dyDescent="0.25">
      <c r="A1239" t="s">
        <v>1276</v>
      </c>
      <c r="B1239" s="1">
        <v>45901</v>
      </c>
      <c r="C1239" t="s">
        <v>17</v>
      </c>
      <c r="D1239" t="s">
        <v>18</v>
      </c>
      <c r="E1239">
        <v>27427</v>
      </c>
      <c r="F1239">
        <v>18524</v>
      </c>
      <c r="G1239">
        <v>8903</v>
      </c>
      <c r="H1239" t="s">
        <v>38</v>
      </c>
      <c r="I1239" t="s">
        <v>20</v>
      </c>
      <c r="J1239" t="s">
        <v>24</v>
      </c>
    </row>
    <row r="1240" spans="1:10" x14ac:dyDescent="0.25">
      <c r="A1240" t="s">
        <v>1277</v>
      </c>
      <c r="B1240" s="1">
        <v>45684</v>
      </c>
      <c r="C1240" t="s">
        <v>11</v>
      </c>
      <c r="D1240" t="s">
        <v>36</v>
      </c>
      <c r="E1240">
        <v>20790</v>
      </c>
      <c r="F1240">
        <v>16708</v>
      </c>
      <c r="G1240">
        <v>4082</v>
      </c>
      <c r="H1240" t="s">
        <v>13</v>
      </c>
      <c r="I1240" t="s">
        <v>78</v>
      </c>
      <c r="J1240" t="s">
        <v>53</v>
      </c>
    </row>
    <row r="1241" spans="1:10" x14ac:dyDescent="0.25">
      <c r="A1241" t="s">
        <v>1278</v>
      </c>
      <c r="B1241" s="1">
        <v>45498</v>
      </c>
      <c r="C1241" t="s">
        <v>17</v>
      </c>
      <c r="D1241" t="s">
        <v>18</v>
      </c>
      <c r="E1241">
        <v>7395</v>
      </c>
      <c r="F1241">
        <v>5267</v>
      </c>
      <c r="G1241">
        <v>2128</v>
      </c>
      <c r="H1241" t="s">
        <v>13</v>
      </c>
      <c r="I1241" t="s">
        <v>45</v>
      </c>
      <c r="J1241" t="s">
        <v>53</v>
      </c>
    </row>
    <row r="1242" spans="1:10" x14ac:dyDescent="0.25">
      <c r="A1242" t="s">
        <v>1279</v>
      </c>
      <c r="B1242" s="1">
        <v>45944</v>
      </c>
      <c r="C1242" t="s">
        <v>22</v>
      </c>
      <c r="D1242" t="s">
        <v>12</v>
      </c>
      <c r="E1242">
        <v>8440</v>
      </c>
      <c r="F1242">
        <v>2191</v>
      </c>
      <c r="G1242">
        <v>6249</v>
      </c>
      <c r="H1242" t="s">
        <v>13</v>
      </c>
      <c r="I1242" t="s">
        <v>63</v>
      </c>
      <c r="J1242" t="s">
        <v>24</v>
      </c>
    </row>
    <row r="1243" spans="1:10" x14ac:dyDescent="0.25">
      <c r="A1243" t="s">
        <v>1280</v>
      </c>
      <c r="B1243" s="1">
        <v>45421</v>
      </c>
      <c r="C1243" t="s">
        <v>44</v>
      </c>
      <c r="D1243" t="s">
        <v>18</v>
      </c>
      <c r="E1243">
        <v>17582</v>
      </c>
      <c r="F1243">
        <v>16754</v>
      </c>
      <c r="G1243">
        <v>828</v>
      </c>
      <c r="H1243" t="s">
        <v>13</v>
      </c>
      <c r="I1243" t="s">
        <v>45</v>
      </c>
      <c r="J1243" t="s">
        <v>53</v>
      </c>
    </row>
    <row r="1244" spans="1:10" x14ac:dyDescent="0.25">
      <c r="A1244" t="s">
        <v>1281</v>
      </c>
      <c r="B1244" s="1">
        <v>45714</v>
      </c>
      <c r="C1244" t="s">
        <v>11</v>
      </c>
      <c r="D1244" t="s">
        <v>41</v>
      </c>
      <c r="E1244">
        <v>18333</v>
      </c>
      <c r="F1244">
        <v>3897</v>
      </c>
      <c r="G1244">
        <v>14436</v>
      </c>
      <c r="H1244" t="s">
        <v>19</v>
      </c>
      <c r="I1244" t="s">
        <v>34</v>
      </c>
      <c r="J1244" t="s">
        <v>29</v>
      </c>
    </row>
    <row r="1245" spans="1:10" x14ac:dyDescent="0.25">
      <c r="A1245" t="s">
        <v>1282</v>
      </c>
      <c r="B1245" s="1">
        <v>45403</v>
      </c>
      <c r="C1245" t="s">
        <v>22</v>
      </c>
      <c r="D1245" t="s">
        <v>33</v>
      </c>
      <c r="E1245">
        <v>14222</v>
      </c>
      <c r="F1245">
        <v>1668</v>
      </c>
      <c r="G1245">
        <v>12554</v>
      </c>
      <c r="H1245" t="s">
        <v>19</v>
      </c>
      <c r="I1245" t="s">
        <v>34</v>
      </c>
      <c r="J1245" t="s">
        <v>24</v>
      </c>
    </row>
    <row r="1246" spans="1:10" x14ac:dyDescent="0.25">
      <c r="A1246" t="s">
        <v>1283</v>
      </c>
      <c r="B1246" s="1">
        <v>45388</v>
      </c>
      <c r="C1246" t="s">
        <v>44</v>
      </c>
      <c r="D1246" t="s">
        <v>36</v>
      </c>
      <c r="E1246">
        <v>35141</v>
      </c>
      <c r="F1246">
        <v>30110</v>
      </c>
      <c r="G1246">
        <v>5031</v>
      </c>
      <c r="H1246" t="s">
        <v>38</v>
      </c>
      <c r="I1246" t="s">
        <v>31</v>
      </c>
      <c r="J1246" t="s">
        <v>42</v>
      </c>
    </row>
    <row r="1247" spans="1:10" x14ac:dyDescent="0.25">
      <c r="A1247" t="s">
        <v>1284</v>
      </c>
      <c r="B1247" s="1">
        <v>45456</v>
      </c>
      <c r="C1247" t="s">
        <v>44</v>
      </c>
      <c r="D1247" t="s">
        <v>33</v>
      </c>
      <c r="E1247">
        <v>39489</v>
      </c>
      <c r="F1247">
        <v>27905</v>
      </c>
      <c r="G1247">
        <v>11584</v>
      </c>
      <c r="H1247" t="s">
        <v>19</v>
      </c>
      <c r="I1247" t="s">
        <v>31</v>
      </c>
      <c r="J1247" t="s">
        <v>29</v>
      </c>
    </row>
    <row r="1248" spans="1:10" x14ac:dyDescent="0.25">
      <c r="A1248" t="s">
        <v>1285</v>
      </c>
      <c r="B1248" s="1">
        <v>45513</v>
      </c>
      <c r="C1248" t="s">
        <v>44</v>
      </c>
      <c r="D1248" t="s">
        <v>33</v>
      </c>
      <c r="E1248">
        <v>10075</v>
      </c>
      <c r="F1248">
        <v>8392</v>
      </c>
      <c r="G1248">
        <v>1683</v>
      </c>
      <c r="H1248" t="s">
        <v>27</v>
      </c>
      <c r="I1248" t="s">
        <v>14</v>
      </c>
      <c r="J1248" t="s">
        <v>53</v>
      </c>
    </row>
    <row r="1249" spans="1:10" x14ac:dyDescent="0.25">
      <c r="A1249" t="s">
        <v>1286</v>
      </c>
      <c r="B1249" s="1">
        <v>45116</v>
      </c>
      <c r="C1249" t="s">
        <v>26</v>
      </c>
      <c r="D1249" t="s">
        <v>33</v>
      </c>
      <c r="E1249">
        <v>10217</v>
      </c>
      <c r="F1249">
        <v>5617</v>
      </c>
      <c r="G1249">
        <v>4600</v>
      </c>
      <c r="H1249" t="s">
        <v>19</v>
      </c>
      <c r="I1249" t="s">
        <v>23</v>
      </c>
      <c r="J1249" t="s">
        <v>24</v>
      </c>
    </row>
    <row r="1250" spans="1:10" x14ac:dyDescent="0.25">
      <c r="A1250" t="s">
        <v>1287</v>
      </c>
      <c r="B1250" s="1">
        <v>45613</v>
      </c>
      <c r="C1250" t="s">
        <v>17</v>
      </c>
      <c r="D1250" t="s">
        <v>36</v>
      </c>
      <c r="E1250">
        <v>48507</v>
      </c>
      <c r="F1250">
        <v>38612</v>
      </c>
      <c r="G1250">
        <v>9895</v>
      </c>
      <c r="H1250" t="s">
        <v>13</v>
      </c>
      <c r="I1250" t="s">
        <v>34</v>
      </c>
      <c r="J1250" t="s">
        <v>29</v>
      </c>
    </row>
    <row r="1251" spans="1:10" x14ac:dyDescent="0.25">
      <c r="A1251" t="s">
        <v>1288</v>
      </c>
      <c r="B1251" s="1">
        <v>45336</v>
      </c>
      <c r="C1251" t="s">
        <v>22</v>
      </c>
      <c r="D1251" t="s">
        <v>18</v>
      </c>
      <c r="E1251">
        <v>16131</v>
      </c>
      <c r="F1251">
        <v>10768</v>
      </c>
      <c r="G1251">
        <v>5363</v>
      </c>
      <c r="H1251" t="s">
        <v>19</v>
      </c>
      <c r="I1251" t="s">
        <v>45</v>
      </c>
      <c r="J1251" t="s">
        <v>42</v>
      </c>
    </row>
    <row r="1252" spans="1:10" x14ac:dyDescent="0.25">
      <c r="A1252" t="s">
        <v>1289</v>
      </c>
      <c r="B1252" s="1">
        <v>45434</v>
      </c>
      <c r="C1252" t="s">
        <v>22</v>
      </c>
      <c r="D1252" t="s">
        <v>18</v>
      </c>
      <c r="E1252">
        <v>35924</v>
      </c>
      <c r="F1252">
        <v>18150</v>
      </c>
      <c r="G1252">
        <v>17774</v>
      </c>
      <c r="H1252" t="s">
        <v>27</v>
      </c>
      <c r="I1252" t="s">
        <v>23</v>
      </c>
      <c r="J1252" t="s">
        <v>15</v>
      </c>
    </row>
    <row r="1253" spans="1:10" x14ac:dyDescent="0.25">
      <c r="A1253" t="s">
        <v>1290</v>
      </c>
      <c r="B1253" s="1">
        <v>45430</v>
      </c>
      <c r="C1253" t="s">
        <v>11</v>
      </c>
      <c r="D1253" t="s">
        <v>41</v>
      </c>
      <c r="E1253">
        <v>49924</v>
      </c>
      <c r="F1253">
        <v>36476</v>
      </c>
      <c r="G1253">
        <v>13448</v>
      </c>
      <c r="H1253" t="s">
        <v>27</v>
      </c>
      <c r="I1253" t="s">
        <v>28</v>
      </c>
      <c r="J1253" t="s">
        <v>53</v>
      </c>
    </row>
    <row r="1254" spans="1:10" x14ac:dyDescent="0.25">
      <c r="A1254" t="s">
        <v>1291</v>
      </c>
      <c r="B1254" s="1">
        <v>46111</v>
      </c>
      <c r="C1254" t="s">
        <v>44</v>
      </c>
      <c r="D1254" t="s">
        <v>41</v>
      </c>
      <c r="E1254">
        <v>16277</v>
      </c>
      <c r="F1254">
        <v>11182</v>
      </c>
      <c r="G1254">
        <v>5095</v>
      </c>
      <c r="H1254" t="s">
        <v>19</v>
      </c>
      <c r="I1254" t="s">
        <v>31</v>
      </c>
      <c r="J1254" t="s">
        <v>29</v>
      </c>
    </row>
    <row r="1255" spans="1:10" x14ac:dyDescent="0.25">
      <c r="A1255" t="s">
        <v>1292</v>
      </c>
      <c r="B1255" s="1">
        <v>45871</v>
      </c>
      <c r="C1255" t="s">
        <v>22</v>
      </c>
      <c r="D1255" t="s">
        <v>18</v>
      </c>
      <c r="E1255">
        <v>45763</v>
      </c>
      <c r="F1255">
        <v>40202</v>
      </c>
      <c r="G1255">
        <v>5561</v>
      </c>
      <c r="H1255" t="s">
        <v>27</v>
      </c>
      <c r="I1255" t="s">
        <v>63</v>
      </c>
      <c r="J1255" t="s">
        <v>53</v>
      </c>
    </row>
    <row r="1256" spans="1:10" x14ac:dyDescent="0.25">
      <c r="A1256" t="s">
        <v>1293</v>
      </c>
      <c r="B1256" s="1">
        <v>45735</v>
      </c>
      <c r="C1256" t="s">
        <v>22</v>
      </c>
      <c r="D1256" t="s">
        <v>18</v>
      </c>
      <c r="E1256">
        <v>37479</v>
      </c>
      <c r="F1256">
        <v>23035</v>
      </c>
      <c r="G1256">
        <v>14444</v>
      </c>
      <c r="H1256" t="s">
        <v>19</v>
      </c>
      <c r="I1256" t="s">
        <v>34</v>
      </c>
      <c r="J1256" t="s">
        <v>42</v>
      </c>
    </row>
    <row r="1257" spans="1:10" x14ac:dyDescent="0.25">
      <c r="A1257" t="s">
        <v>1294</v>
      </c>
      <c r="B1257" s="1">
        <v>45332</v>
      </c>
      <c r="C1257" t="s">
        <v>44</v>
      </c>
      <c r="D1257" t="s">
        <v>41</v>
      </c>
      <c r="E1257">
        <v>37209</v>
      </c>
      <c r="F1257">
        <v>26432</v>
      </c>
      <c r="G1257">
        <v>10777</v>
      </c>
      <c r="H1257" t="s">
        <v>27</v>
      </c>
      <c r="I1257" t="s">
        <v>28</v>
      </c>
      <c r="J1257" t="s">
        <v>53</v>
      </c>
    </row>
    <row r="1258" spans="1:10" x14ac:dyDescent="0.25">
      <c r="A1258" t="s">
        <v>1295</v>
      </c>
      <c r="B1258" s="1">
        <v>45877</v>
      </c>
      <c r="C1258" t="s">
        <v>26</v>
      </c>
      <c r="D1258" t="s">
        <v>18</v>
      </c>
      <c r="E1258">
        <v>14335</v>
      </c>
      <c r="F1258">
        <v>11058</v>
      </c>
      <c r="G1258">
        <v>3277</v>
      </c>
      <c r="H1258" t="s">
        <v>27</v>
      </c>
      <c r="I1258" t="s">
        <v>20</v>
      </c>
      <c r="J1258" t="s">
        <v>53</v>
      </c>
    </row>
    <row r="1259" spans="1:10" x14ac:dyDescent="0.25">
      <c r="A1259" t="s">
        <v>1296</v>
      </c>
      <c r="B1259" s="1">
        <v>46056</v>
      </c>
      <c r="C1259" t="s">
        <v>44</v>
      </c>
      <c r="D1259" t="s">
        <v>12</v>
      </c>
      <c r="E1259">
        <v>31665</v>
      </c>
      <c r="F1259">
        <v>21682</v>
      </c>
      <c r="G1259">
        <v>9983</v>
      </c>
      <c r="H1259" t="s">
        <v>38</v>
      </c>
      <c r="I1259" t="s">
        <v>60</v>
      </c>
      <c r="J1259" t="s">
        <v>15</v>
      </c>
    </row>
    <row r="1260" spans="1:10" x14ac:dyDescent="0.25">
      <c r="A1260" t="s">
        <v>1297</v>
      </c>
      <c r="B1260" s="1">
        <v>45777</v>
      </c>
      <c r="C1260" t="s">
        <v>17</v>
      </c>
      <c r="D1260" t="s">
        <v>18</v>
      </c>
      <c r="E1260">
        <v>45417</v>
      </c>
      <c r="F1260">
        <v>29919</v>
      </c>
      <c r="G1260">
        <v>15498</v>
      </c>
      <c r="H1260" t="s">
        <v>27</v>
      </c>
      <c r="I1260" t="s">
        <v>60</v>
      </c>
      <c r="J1260" t="s">
        <v>53</v>
      </c>
    </row>
    <row r="1261" spans="1:10" x14ac:dyDescent="0.25">
      <c r="A1261" t="s">
        <v>1298</v>
      </c>
      <c r="B1261" s="1">
        <v>46130</v>
      </c>
      <c r="C1261" t="s">
        <v>11</v>
      </c>
      <c r="D1261" t="s">
        <v>41</v>
      </c>
      <c r="E1261">
        <v>12219</v>
      </c>
      <c r="F1261">
        <v>10551</v>
      </c>
      <c r="G1261">
        <v>1668</v>
      </c>
      <c r="H1261" t="s">
        <v>13</v>
      </c>
      <c r="I1261" t="s">
        <v>60</v>
      </c>
      <c r="J1261" t="s">
        <v>53</v>
      </c>
    </row>
    <row r="1262" spans="1:10" x14ac:dyDescent="0.25">
      <c r="A1262" t="s">
        <v>1299</v>
      </c>
      <c r="B1262" s="1">
        <v>45400</v>
      </c>
      <c r="C1262" t="s">
        <v>17</v>
      </c>
      <c r="D1262" t="s">
        <v>33</v>
      </c>
      <c r="E1262">
        <v>25920</v>
      </c>
      <c r="F1262">
        <v>12656</v>
      </c>
      <c r="G1262">
        <v>13264</v>
      </c>
      <c r="H1262" t="s">
        <v>19</v>
      </c>
      <c r="I1262" t="s">
        <v>14</v>
      </c>
      <c r="J1262" t="s">
        <v>24</v>
      </c>
    </row>
    <row r="1263" spans="1:10" x14ac:dyDescent="0.25">
      <c r="A1263" t="s">
        <v>1300</v>
      </c>
      <c r="B1263" s="1">
        <v>46137</v>
      </c>
      <c r="C1263" t="s">
        <v>26</v>
      </c>
      <c r="D1263" t="s">
        <v>41</v>
      </c>
      <c r="E1263">
        <v>15563</v>
      </c>
      <c r="F1263">
        <v>382</v>
      </c>
      <c r="G1263">
        <v>15181</v>
      </c>
      <c r="H1263" t="s">
        <v>27</v>
      </c>
      <c r="I1263" t="s">
        <v>14</v>
      </c>
      <c r="J1263" t="s">
        <v>29</v>
      </c>
    </row>
    <row r="1264" spans="1:10" x14ac:dyDescent="0.25">
      <c r="A1264" t="s">
        <v>1301</v>
      </c>
      <c r="B1264" s="1">
        <v>45884</v>
      </c>
      <c r="C1264" t="s">
        <v>22</v>
      </c>
      <c r="D1264" t="s">
        <v>33</v>
      </c>
      <c r="E1264">
        <v>20274</v>
      </c>
      <c r="F1264">
        <v>17117</v>
      </c>
      <c r="G1264">
        <v>3157</v>
      </c>
      <c r="H1264" t="s">
        <v>38</v>
      </c>
      <c r="I1264" t="s">
        <v>34</v>
      </c>
      <c r="J1264" t="s">
        <v>24</v>
      </c>
    </row>
    <row r="1265" spans="1:10" x14ac:dyDescent="0.25">
      <c r="A1265" t="s">
        <v>1302</v>
      </c>
      <c r="B1265" s="1">
        <v>45411</v>
      </c>
      <c r="C1265" t="s">
        <v>22</v>
      </c>
      <c r="D1265" t="s">
        <v>18</v>
      </c>
      <c r="E1265">
        <v>32161</v>
      </c>
      <c r="F1265">
        <v>26760</v>
      </c>
      <c r="G1265">
        <v>5401</v>
      </c>
      <c r="H1265" t="s">
        <v>19</v>
      </c>
      <c r="I1265" t="s">
        <v>31</v>
      </c>
      <c r="J1265" t="s">
        <v>29</v>
      </c>
    </row>
    <row r="1266" spans="1:10" x14ac:dyDescent="0.25">
      <c r="A1266" t="s">
        <v>1303</v>
      </c>
      <c r="B1266" s="1">
        <v>45485</v>
      </c>
      <c r="C1266" t="s">
        <v>17</v>
      </c>
      <c r="D1266" t="s">
        <v>12</v>
      </c>
      <c r="E1266">
        <v>14096</v>
      </c>
      <c r="F1266">
        <v>3319</v>
      </c>
      <c r="G1266">
        <v>10777</v>
      </c>
      <c r="H1266" t="s">
        <v>27</v>
      </c>
      <c r="I1266" t="s">
        <v>45</v>
      </c>
      <c r="J1266" t="s">
        <v>42</v>
      </c>
    </row>
    <row r="1267" spans="1:10" x14ac:dyDescent="0.25">
      <c r="A1267" t="s">
        <v>1304</v>
      </c>
      <c r="B1267" s="1">
        <v>46172</v>
      </c>
      <c r="C1267" t="s">
        <v>17</v>
      </c>
      <c r="D1267" t="s">
        <v>18</v>
      </c>
      <c r="E1267">
        <v>26215</v>
      </c>
      <c r="F1267">
        <v>23877</v>
      </c>
      <c r="G1267">
        <v>2338</v>
      </c>
      <c r="H1267" t="s">
        <v>19</v>
      </c>
      <c r="I1267" t="s">
        <v>45</v>
      </c>
      <c r="J1267" t="s">
        <v>53</v>
      </c>
    </row>
    <row r="1268" spans="1:10" x14ac:dyDescent="0.25">
      <c r="A1268" t="s">
        <v>1305</v>
      </c>
      <c r="B1268" s="1">
        <v>45231</v>
      </c>
      <c r="C1268" t="s">
        <v>26</v>
      </c>
      <c r="D1268" t="s">
        <v>18</v>
      </c>
      <c r="E1268">
        <v>9674</v>
      </c>
      <c r="F1268">
        <v>1433</v>
      </c>
      <c r="G1268">
        <v>8241</v>
      </c>
      <c r="H1268" t="s">
        <v>38</v>
      </c>
      <c r="I1268" t="s">
        <v>31</v>
      </c>
      <c r="J1268" t="s">
        <v>15</v>
      </c>
    </row>
    <row r="1269" spans="1:10" x14ac:dyDescent="0.25">
      <c r="A1269" t="s">
        <v>1306</v>
      </c>
      <c r="B1269" s="1">
        <v>45347</v>
      </c>
      <c r="C1269" t="s">
        <v>26</v>
      </c>
      <c r="D1269" t="s">
        <v>33</v>
      </c>
      <c r="E1269">
        <v>32590</v>
      </c>
      <c r="F1269">
        <v>16947</v>
      </c>
      <c r="G1269">
        <v>15643</v>
      </c>
      <c r="H1269" t="s">
        <v>19</v>
      </c>
      <c r="I1269" t="s">
        <v>28</v>
      </c>
      <c r="J1269" t="s">
        <v>29</v>
      </c>
    </row>
    <row r="1270" spans="1:10" x14ac:dyDescent="0.25">
      <c r="A1270" t="s">
        <v>1307</v>
      </c>
      <c r="B1270" s="1">
        <v>45482</v>
      </c>
      <c r="C1270" t="s">
        <v>26</v>
      </c>
      <c r="D1270" t="s">
        <v>12</v>
      </c>
      <c r="E1270">
        <v>38703</v>
      </c>
      <c r="F1270">
        <v>31490</v>
      </c>
      <c r="G1270">
        <v>7213</v>
      </c>
      <c r="H1270" t="s">
        <v>27</v>
      </c>
      <c r="I1270" t="s">
        <v>63</v>
      </c>
      <c r="J1270" t="s">
        <v>42</v>
      </c>
    </row>
    <row r="1271" spans="1:10" x14ac:dyDescent="0.25">
      <c r="A1271" t="s">
        <v>1308</v>
      </c>
      <c r="B1271" s="1">
        <v>46062</v>
      </c>
      <c r="C1271" t="s">
        <v>44</v>
      </c>
      <c r="D1271" t="s">
        <v>33</v>
      </c>
      <c r="E1271">
        <v>21841</v>
      </c>
      <c r="F1271">
        <v>6975</v>
      </c>
      <c r="G1271">
        <v>14866</v>
      </c>
      <c r="H1271" t="s">
        <v>19</v>
      </c>
      <c r="I1271" t="s">
        <v>63</v>
      </c>
      <c r="J1271" t="s">
        <v>29</v>
      </c>
    </row>
    <row r="1272" spans="1:10" x14ac:dyDescent="0.25">
      <c r="A1272" t="s">
        <v>1309</v>
      </c>
      <c r="B1272" s="1">
        <v>45575</v>
      </c>
      <c r="C1272" t="s">
        <v>11</v>
      </c>
      <c r="D1272" t="s">
        <v>12</v>
      </c>
      <c r="E1272">
        <v>33533</v>
      </c>
      <c r="F1272">
        <v>28193</v>
      </c>
      <c r="G1272">
        <v>5340</v>
      </c>
      <c r="H1272" t="s">
        <v>13</v>
      </c>
      <c r="I1272" t="s">
        <v>31</v>
      </c>
      <c r="J1272" t="s">
        <v>42</v>
      </c>
    </row>
    <row r="1273" spans="1:10" x14ac:dyDescent="0.25">
      <c r="A1273" t="s">
        <v>1310</v>
      </c>
      <c r="B1273" s="1">
        <v>46012</v>
      </c>
      <c r="C1273" t="s">
        <v>26</v>
      </c>
      <c r="D1273" t="s">
        <v>36</v>
      </c>
      <c r="E1273">
        <v>33262</v>
      </c>
      <c r="F1273">
        <v>25648</v>
      </c>
      <c r="G1273">
        <v>7614</v>
      </c>
      <c r="H1273" t="s">
        <v>38</v>
      </c>
      <c r="I1273" t="s">
        <v>20</v>
      </c>
      <c r="J1273" t="s">
        <v>53</v>
      </c>
    </row>
    <row r="1274" spans="1:10" x14ac:dyDescent="0.25">
      <c r="A1274" t="s">
        <v>1311</v>
      </c>
      <c r="B1274" s="1">
        <v>46026</v>
      </c>
      <c r="C1274" t="s">
        <v>11</v>
      </c>
      <c r="D1274" t="s">
        <v>36</v>
      </c>
      <c r="E1274">
        <v>29339</v>
      </c>
      <c r="F1274">
        <v>21742</v>
      </c>
      <c r="G1274">
        <v>7597</v>
      </c>
      <c r="H1274" t="s">
        <v>38</v>
      </c>
      <c r="I1274" t="s">
        <v>78</v>
      </c>
      <c r="J1274" t="s">
        <v>42</v>
      </c>
    </row>
    <row r="1275" spans="1:10" x14ac:dyDescent="0.25">
      <c r="A1275" t="s">
        <v>1312</v>
      </c>
      <c r="B1275" s="1">
        <v>45953</v>
      </c>
      <c r="C1275" t="s">
        <v>22</v>
      </c>
      <c r="D1275" t="s">
        <v>41</v>
      </c>
      <c r="E1275">
        <v>40798</v>
      </c>
      <c r="F1275">
        <v>24680</v>
      </c>
      <c r="G1275">
        <v>16118</v>
      </c>
      <c r="H1275" t="s">
        <v>13</v>
      </c>
      <c r="I1275" t="s">
        <v>45</v>
      </c>
      <c r="J1275" t="s">
        <v>29</v>
      </c>
    </row>
    <row r="1276" spans="1:10" x14ac:dyDescent="0.25">
      <c r="A1276" t="s">
        <v>1313</v>
      </c>
      <c r="B1276" s="1">
        <v>45945</v>
      </c>
      <c r="C1276" t="s">
        <v>11</v>
      </c>
      <c r="D1276" t="s">
        <v>41</v>
      </c>
      <c r="E1276">
        <v>46060</v>
      </c>
      <c r="F1276">
        <v>40109</v>
      </c>
      <c r="G1276">
        <v>5951</v>
      </c>
      <c r="H1276" t="s">
        <v>38</v>
      </c>
      <c r="I1276" t="s">
        <v>45</v>
      </c>
      <c r="J1276" t="s">
        <v>15</v>
      </c>
    </row>
    <row r="1277" spans="1:10" x14ac:dyDescent="0.25">
      <c r="A1277" t="s">
        <v>1314</v>
      </c>
      <c r="B1277" s="1">
        <v>45443</v>
      </c>
      <c r="C1277" t="s">
        <v>44</v>
      </c>
      <c r="D1277" t="s">
        <v>12</v>
      </c>
      <c r="E1277">
        <v>37686</v>
      </c>
      <c r="F1277">
        <v>29450</v>
      </c>
      <c r="G1277">
        <v>8236</v>
      </c>
      <c r="H1277" t="s">
        <v>27</v>
      </c>
      <c r="I1277" t="s">
        <v>45</v>
      </c>
      <c r="J1277" t="s">
        <v>29</v>
      </c>
    </row>
    <row r="1278" spans="1:10" x14ac:dyDescent="0.25">
      <c r="A1278" t="s">
        <v>1315</v>
      </c>
      <c r="B1278" s="1">
        <v>45893</v>
      </c>
      <c r="C1278" t="s">
        <v>22</v>
      </c>
      <c r="D1278" t="s">
        <v>41</v>
      </c>
      <c r="E1278">
        <v>27124</v>
      </c>
      <c r="F1278">
        <v>8706</v>
      </c>
      <c r="G1278">
        <v>18418</v>
      </c>
      <c r="H1278" t="s">
        <v>27</v>
      </c>
      <c r="I1278" t="s">
        <v>28</v>
      </c>
      <c r="J1278" t="s">
        <v>53</v>
      </c>
    </row>
    <row r="1279" spans="1:10" x14ac:dyDescent="0.25">
      <c r="A1279" t="s">
        <v>1316</v>
      </c>
      <c r="B1279" s="1">
        <v>46040</v>
      </c>
      <c r="C1279" t="s">
        <v>26</v>
      </c>
      <c r="D1279" t="s">
        <v>18</v>
      </c>
      <c r="E1279">
        <v>21970</v>
      </c>
      <c r="F1279">
        <v>16994</v>
      </c>
      <c r="G1279">
        <v>4976</v>
      </c>
      <c r="H1279" t="s">
        <v>38</v>
      </c>
      <c r="I1279" t="s">
        <v>78</v>
      </c>
      <c r="J1279" t="s">
        <v>24</v>
      </c>
    </row>
    <row r="1280" spans="1:10" x14ac:dyDescent="0.25">
      <c r="A1280" t="s">
        <v>1317</v>
      </c>
      <c r="B1280" s="1">
        <v>46184</v>
      </c>
      <c r="C1280" t="s">
        <v>26</v>
      </c>
      <c r="D1280" t="s">
        <v>33</v>
      </c>
      <c r="E1280">
        <v>38791</v>
      </c>
      <c r="F1280">
        <v>22142</v>
      </c>
      <c r="G1280">
        <v>16649</v>
      </c>
      <c r="H1280" t="s">
        <v>13</v>
      </c>
      <c r="I1280" t="s">
        <v>20</v>
      </c>
      <c r="J1280" t="s">
        <v>53</v>
      </c>
    </row>
    <row r="1281" spans="1:10" x14ac:dyDescent="0.25">
      <c r="A1281" t="s">
        <v>1318</v>
      </c>
      <c r="B1281" s="1">
        <v>45906</v>
      </c>
      <c r="C1281" t="s">
        <v>17</v>
      </c>
      <c r="D1281" t="s">
        <v>18</v>
      </c>
      <c r="E1281">
        <v>8292</v>
      </c>
      <c r="F1281">
        <v>3907</v>
      </c>
      <c r="G1281">
        <v>4385</v>
      </c>
      <c r="H1281" t="s">
        <v>19</v>
      </c>
      <c r="I1281" t="s">
        <v>60</v>
      </c>
      <c r="J1281" t="s">
        <v>53</v>
      </c>
    </row>
    <row r="1282" spans="1:10" x14ac:dyDescent="0.25">
      <c r="A1282" t="s">
        <v>1319</v>
      </c>
      <c r="B1282" s="1">
        <v>45116</v>
      </c>
      <c r="C1282" t="s">
        <v>26</v>
      </c>
      <c r="D1282" t="s">
        <v>18</v>
      </c>
      <c r="E1282">
        <v>34849</v>
      </c>
      <c r="F1282">
        <v>21375</v>
      </c>
      <c r="G1282">
        <v>13474</v>
      </c>
      <c r="H1282" t="s">
        <v>13</v>
      </c>
      <c r="I1282" t="s">
        <v>34</v>
      </c>
      <c r="J1282" t="s">
        <v>15</v>
      </c>
    </row>
    <row r="1283" spans="1:10" x14ac:dyDescent="0.25">
      <c r="A1283" t="s">
        <v>1320</v>
      </c>
      <c r="B1283" s="1">
        <v>45198</v>
      </c>
      <c r="C1283" t="s">
        <v>26</v>
      </c>
      <c r="D1283" t="s">
        <v>36</v>
      </c>
      <c r="E1283">
        <v>32339</v>
      </c>
      <c r="F1283">
        <v>12927</v>
      </c>
      <c r="G1283">
        <v>19412</v>
      </c>
      <c r="H1283" t="s">
        <v>19</v>
      </c>
      <c r="I1283" t="s">
        <v>20</v>
      </c>
      <c r="J1283" t="s">
        <v>24</v>
      </c>
    </row>
    <row r="1284" spans="1:10" x14ac:dyDescent="0.25">
      <c r="A1284" t="s">
        <v>1321</v>
      </c>
      <c r="B1284" s="1">
        <v>46059</v>
      </c>
      <c r="C1284" t="s">
        <v>44</v>
      </c>
      <c r="D1284" t="s">
        <v>33</v>
      </c>
      <c r="E1284">
        <v>23201</v>
      </c>
      <c r="F1284">
        <v>7805</v>
      </c>
      <c r="G1284">
        <v>15396</v>
      </c>
      <c r="H1284" t="s">
        <v>13</v>
      </c>
      <c r="I1284" t="s">
        <v>20</v>
      </c>
      <c r="J1284" t="s">
        <v>29</v>
      </c>
    </row>
    <row r="1285" spans="1:10" x14ac:dyDescent="0.25">
      <c r="A1285" t="s">
        <v>1322</v>
      </c>
      <c r="B1285" s="1">
        <v>46016</v>
      </c>
      <c r="C1285" t="s">
        <v>44</v>
      </c>
      <c r="D1285" t="s">
        <v>18</v>
      </c>
      <c r="E1285">
        <v>41953</v>
      </c>
      <c r="F1285">
        <v>26870</v>
      </c>
      <c r="G1285">
        <v>15083</v>
      </c>
      <c r="H1285" t="s">
        <v>13</v>
      </c>
      <c r="I1285" t="s">
        <v>31</v>
      </c>
      <c r="J1285" t="s">
        <v>42</v>
      </c>
    </row>
    <row r="1286" spans="1:10" x14ac:dyDescent="0.25">
      <c r="A1286" t="s">
        <v>1323</v>
      </c>
      <c r="B1286" s="1">
        <v>45618</v>
      </c>
      <c r="C1286" t="s">
        <v>17</v>
      </c>
      <c r="D1286" t="s">
        <v>33</v>
      </c>
      <c r="E1286">
        <v>32826</v>
      </c>
      <c r="F1286">
        <v>23008</v>
      </c>
      <c r="G1286">
        <v>9818</v>
      </c>
      <c r="H1286" t="s">
        <v>19</v>
      </c>
      <c r="I1286" t="s">
        <v>60</v>
      </c>
      <c r="J1286" t="s">
        <v>42</v>
      </c>
    </row>
    <row r="1287" spans="1:10" x14ac:dyDescent="0.25">
      <c r="A1287" t="s">
        <v>1324</v>
      </c>
      <c r="B1287" s="1">
        <v>45229</v>
      </c>
      <c r="C1287" t="s">
        <v>17</v>
      </c>
      <c r="D1287" t="s">
        <v>18</v>
      </c>
      <c r="E1287">
        <v>37983</v>
      </c>
      <c r="F1287">
        <v>22522</v>
      </c>
      <c r="G1287">
        <v>15461</v>
      </c>
      <c r="H1287" t="s">
        <v>38</v>
      </c>
      <c r="I1287" t="s">
        <v>23</v>
      </c>
      <c r="J1287" t="s">
        <v>15</v>
      </c>
    </row>
    <row r="1288" spans="1:10" x14ac:dyDescent="0.25">
      <c r="A1288" t="s">
        <v>1325</v>
      </c>
      <c r="B1288" s="1">
        <v>45738</v>
      </c>
      <c r="C1288" t="s">
        <v>44</v>
      </c>
      <c r="D1288" t="s">
        <v>12</v>
      </c>
      <c r="E1288">
        <v>49037</v>
      </c>
      <c r="F1288">
        <v>42935</v>
      </c>
      <c r="G1288">
        <v>6102</v>
      </c>
      <c r="H1288" t="s">
        <v>38</v>
      </c>
      <c r="I1288" t="s">
        <v>60</v>
      </c>
      <c r="J1288" t="s">
        <v>29</v>
      </c>
    </row>
    <row r="1289" spans="1:10" x14ac:dyDescent="0.25">
      <c r="A1289" t="s">
        <v>1326</v>
      </c>
      <c r="B1289" s="1">
        <v>46049</v>
      </c>
      <c r="C1289" t="s">
        <v>44</v>
      </c>
      <c r="D1289" t="s">
        <v>18</v>
      </c>
      <c r="E1289">
        <v>13166</v>
      </c>
      <c r="F1289">
        <v>8664</v>
      </c>
      <c r="G1289">
        <v>4502</v>
      </c>
      <c r="H1289" t="s">
        <v>13</v>
      </c>
      <c r="I1289" t="s">
        <v>20</v>
      </c>
      <c r="J1289" t="s">
        <v>15</v>
      </c>
    </row>
    <row r="1290" spans="1:10" x14ac:dyDescent="0.25">
      <c r="A1290" t="s">
        <v>1327</v>
      </c>
      <c r="B1290" s="1">
        <v>46149</v>
      </c>
      <c r="C1290" t="s">
        <v>26</v>
      </c>
      <c r="D1290" t="s">
        <v>41</v>
      </c>
      <c r="E1290">
        <v>20454</v>
      </c>
      <c r="F1290">
        <v>4260</v>
      </c>
      <c r="G1290">
        <v>16194</v>
      </c>
      <c r="H1290" t="s">
        <v>13</v>
      </c>
      <c r="I1290" t="s">
        <v>20</v>
      </c>
      <c r="J1290" t="s">
        <v>24</v>
      </c>
    </row>
    <row r="1291" spans="1:10" x14ac:dyDescent="0.25">
      <c r="A1291" t="s">
        <v>1328</v>
      </c>
      <c r="B1291" s="1">
        <v>45276</v>
      </c>
      <c r="C1291" t="s">
        <v>26</v>
      </c>
      <c r="D1291" t="s">
        <v>41</v>
      </c>
      <c r="E1291">
        <v>25927</v>
      </c>
      <c r="F1291">
        <v>18241</v>
      </c>
      <c r="G1291">
        <v>7686</v>
      </c>
      <c r="H1291" t="s">
        <v>19</v>
      </c>
      <c r="I1291" t="s">
        <v>14</v>
      </c>
      <c r="J1291" t="s">
        <v>29</v>
      </c>
    </row>
    <row r="1292" spans="1:10" x14ac:dyDescent="0.25">
      <c r="A1292" t="s">
        <v>1329</v>
      </c>
      <c r="B1292" s="1">
        <v>45620</v>
      </c>
      <c r="C1292" t="s">
        <v>17</v>
      </c>
      <c r="D1292" t="s">
        <v>36</v>
      </c>
      <c r="E1292">
        <v>13356</v>
      </c>
      <c r="F1292">
        <v>10839</v>
      </c>
      <c r="G1292">
        <v>2517</v>
      </c>
      <c r="H1292" t="s">
        <v>19</v>
      </c>
      <c r="I1292" t="s">
        <v>23</v>
      </c>
      <c r="J1292" t="s">
        <v>53</v>
      </c>
    </row>
    <row r="1293" spans="1:10" x14ac:dyDescent="0.25">
      <c r="A1293" t="s">
        <v>1330</v>
      </c>
      <c r="B1293" s="1">
        <v>45772</v>
      </c>
      <c r="C1293" t="s">
        <v>44</v>
      </c>
      <c r="D1293" t="s">
        <v>12</v>
      </c>
      <c r="E1293">
        <v>41933</v>
      </c>
      <c r="F1293">
        <v>39476</v>
      </c>
      <c r="G1293">
        <v>2457</v>
      </c>
      <c r="H1293" t="s">
        <v>19</v>
      </c>
      <c r="I1293" t="s">
        <v>28</v>
      </c>
      <c r="J1293" t="s">
        <v>29</v>
      </c>
    </row>
    <row r="1294" spans="1:10" x14ac:dyDescent="0.25">
      <c r="A1294" t="s">
        <v>1331</v>
      </c>
      <c r="B1294" s="1">
        <v>45448</v>
      </c>
      <c r="C1294" t="s">
        <v>44</v>
      </c>
      <c r="D1294" t="s">
        <v>36</v>
      </c>
      <c r="E1294">
        <v>16737</v>
      </c>
      <c r="F1294">
        <v>9609</v>
      </c>
      <c r="G1294">
        <v>7128</v>
      </c>
      <c r="H1294" t="s">
        <v>13</v>
      </c>
      <c r="I1294" t="s">
        <v>28</v>
      </c>
      <c r="J1294" t="s">
        <v>24</v>
      </c>
    </row>
    <row r="1295" spans="1:10" x14ac:dyDescent="0.25">
      <c r="A1295" t="s">
        <v>1332</v>
      </c>
      <c r="B1295" s="1">
        <v>45258</v>
      </c>
      <c r="C1295" t="s">
        <v>22</v>
      </c>
      <c r="D1295" t="s">
        <v>41</v>
      </c>
      <c r="E1295">
        <v>16664</v>
      </c>
      <c r="F1295">
        <v>10273</v>
      </c>
      <c r="G1295">
        <v>6391</v>
      </c>
      <c r="H1295" t="s">
        <v>13</v>
      </c>
      <c r="I1295" t="s">
        <v>31</v>
      </c>
      <c r="J1295" t="s">
        <v>42</v>
      </c>
    </row>
    <row r="1296" spans="1:10" x14ac:dyDescent="0.25">
      <c r="A1296" t="s">
        <v>1333</v>
      </c>
      <c r="B1296" s="1">
        <v>45700</v>
      </c>
      <c r="C1296" t="s">
        <v>44</v>
      </c>
      <c r="D1296" t="s">
        <v>36</v>
      </c>
      <c r="E1296">
        <v>31952</v>
      </c>
      <c r="F1296">
        <v>23058</v>
      </c>
      <c r="G1296">
        <v>8894</v>
      </c>
      <c r="H1296" t="s">
        <v>13</v>
      </c>
      <c r="I1296" t="s">
        <v>23</v>
      </c>
      <c r="J1296" t="s">
        <v>15</v>
      </c>
    </row>
    <row r="1297" spans="1:10" x14ac:dyDescent="0.25">
      <c r="A1297" t="s">
        <v>1334</v>
      </c>
      <c r="B1297" s="1">
        <v>45465</v>
      </c>
      <c r="C1297" t="s">
        <v>22</v>
      </c>
      <c r="D1297" t="s">
        <v>41</v>
      </c>
      <c r="E1297">
        <v>32610</v>
      </c>
      <c r="F1297">
        <v>18199</v>
      </c>
      <c r="G1297">
        <v>14411</v>
      </c>
      <c r="H1297" t="s">
        <v>38</v>
      </c>
      <c r="I1297" t="s">
        <v>60</v>
      </c>
      <c r="J1297" t="s">
        <v>24</v>
      </c>
    </row>
    <row r="1298" spans="1:10" x14ac:dyDescent="0.25">
      <c r="A1298" t="s">
        <v>1335</v>
      </c>
      <c r="B1298" s="1">
        <v>45829</v>
      </c>
      <c r="C1298" t="s">
        <v>26</v>
      </c>
      <c r="D1298" t="s">
        <v>18</v>
      </c>
      <c r="E1298">
        <v>16446</v>
      </c>
      <c r="F1298">
        <v>2793</v>
      </c>
      <c r="G1298">
        <v>13653</v>
      </c>
      <c r="H1298" t="s">
        <v>19</v>
      </c>
      <c r="I1298" t="s">
        <v>78</v>
      </c>
      <c r="J1298" t="s">
        <v>24</v>
      </c>
    </row>
    <row r="1299" spans="1:10" x14ac:dyDescent="0.25">
      <c r="A1299" t="s">
        <v>1336</v>
      </c>
      <c r="B1299" s="1">
        <v>45741</v>
      </c>
      <c r="C1299" t="s">
        <v>44</v>
      </c>
      <c r="D1299" t="s">
        <v>33</v>
      </c>
      <c r="E1299">
        <v>8734</v>
      </c>
      <c r="F1299">
        <v>5002</v>
      </c>
      <c r="G1299">
        <v>3732</v>
      </c>
      <c r="H1299" t="s">
        <v>13</v>
      </c>
      <c r="I1299" t="s">
        <v>78</v>
      </c>
      <c r="J1299" t="s">
        <v>29</v>
      </c>
    </row>
    <row r="1300" spans="1:10" x14ac:dyDescent="0.25">
      <c r="A1300" t="s">
        <v>1337</v>
      </c>
      <c r="B1300" s="1">
        <v>45994</v>
      </c>
      <c r="C1300" t="s">
        <v>11</v>
      </c>
      <c r="D1300" t="s">
        <v>33</v>
      </c>
      <c r="E1300">
        <v>11799</v>
      </c>
      <c r="F1300">
        <v>8313</v>
      </c>
      <c r="G1300">
        <v>3486</v>
      </c>
      <c r="H1300" t="s">
        <v>13</v>
      </c>
      <c r="I1300" t="s">
        <v>60</v>
      </c>
      <c r="J1300" t="s">
        <v>24</v>
      </c>
    </row>
    <row r="1301" spans="1:10" x14ac:dyDescent="0.25">
      <c r="A1301" t="s">
        <v>1338</v>
      </c>
      <c r="B1301" s="1">
        <v>45637</v>
      </c>
      <c r="C1301" t="s">
        <v>11</v>
      </c>
      <c r="D1301" t="s">
        <v>33</v>
      </c>
      <c r="E1301">
        <v>15400</v>
      </c>
      <c r="F1301">
        <v>4482</v>
      </c>
      <c r="G1301">
        <v>10918</v>
      </c>
      <c r="H1301" t="s">
        <v>27</v>
      </c>
      <c r="I1301" t="s">
        <v>28</v>
      </c>
      <c r="J1301" t="s">
        <v>24</v>
      </c>
    </row>
    <row r="1302" spans="1:10" x14ac:dyDescent="0.25">
      <c r="A1302" t="s">
        <v>1339</v>
      </c>
      <c r="B1302" s="1">
        <v>45519</v>
      </c>
      <c r="C1302" t="s">
        <v>44</v>
      </c>
      <c r="D1302" t="s">
        <v>18</v>
      </c>
      <c r="E1302">
        <v>41012</v>
      </c>
      <c r="F1302">
        <v>29243</v>
      </c>
      <c r="G1302">
        <v>11769</v>
      </c>
      <c r="H1302" t="s">
        <v>38</v>
      </c>
      <c r="I1302" t="s">
        <v>34</v>
      </c>
      <c r="J1302" t="s">
        <v>53</v>
      </c>
    </row>
    <row r="1303" spans="1:10" x14ac:dyDescent="0.25">
      <c r="A1303" t="s">
        <v>1340</v>
      </c>
      <c r="B1303" s="1">
        <v>46046</v>
      </c>
      <c r="C1303" t="s">
        <v>17</v>
      </c>
      <c r="D1303" t="s">
        <v>36</v>
      </c>
      <c r="E1303">
        <v>8131</v>
      </c>
      <c r="F1303">
        <v>4687</v>
      </c>
      <c r="G1303">
        <v>3444</v>
      </c>
      <c r="H1303" t="s">
        <v>19</v>
      </c>
      <c r="I1303" t="s">
        <v>34</v>
      </c>
      <c r="J1303" t="s">
        <v>29</v>
      </c>
    </row>
    <row r="1304" spans="1:10" x14ac:dyDescent="0.25">
      <c r="A1304" t="s">
        <v>1341</v>
      </c>
      <c r="B1304" s="1">
        <v>45602</v>
      </c>
      <c r="C1304" t="s">
        <v>22</v>
      </c>
      <c r="D1304" t="s">
        <v>18</v>
      </c>
      <c r="E1304">
        <v>29915</v>
      </c>
      <c r="F1304">
        <v>23573</v>
      </c>
      <c r="G1304">
        <v>6342</v>
      </c>
      <c r="H1304" t="s">
        <v>19</v>
      </c>
      <c r="I1304" t="s">
        <v>14</v>
      </c>
      <c r="J1304" t="s">
        <v>15</v>
      </c>
    </row>
    <row r="1305" spans="1:10" x14ac:dyDescent="0.25">
      <c r="A1305" t="s">
        <v>1342</v>
      </c>
      <c r="B1305" s="1">
        <v>45280</v>
      </c>
      <c r="C1305" t="s">
        <v>22</v>
      </c>
      <c r="D1305" t="s">
        <v>12</v>
      </c>
      <c r="E1305">
        <v>45292</v>
      </c>
      <c r="F1305">
        <v>25376</v>
      </c>
      <c r="G1305">
        <v>19916</v>
      </c>
      <c r="H1305" t="s">
        <v>13</v>
      </c>
      <c r="I1305" t="s">
        <v>14</v>
      </c>
      <c r="J1305" t="s">
        <v>24</v>
      </c>
    </row>
    <row r="1306" spans="1:10" x14ac:dyDescent="0.25">
      <c r="A1306" t="s">
        <v>1343</v>
      </c>
      <c r="B1306" s="1">
        <v>45257</v>
      </c>
      <c r="C1306" t="s">
        <v>26</v>
      </c>
      <c r="D1306" t="s">
        <v>33</v>
      </c>
      <c r="E1306">
        <v>22927</v>
      </c>
      <c r="F1306">
        <v>12616</v>
      </c>
      <c r="G1306">
        <v>10311</v>
      </c>
      <c r="H1306" t="s">
        <v>38</v>
      </c>
      <c r="I1306" t="s">
        <v>14</v>
      </c>
      <c r="J1306" t="s">
        <v>15</v>
      </c>
    </row>
    <row r="1307" spans="1:10" x14ac:dyDescent="0.25">
      <c r="A1307" t="s">
        <v>1344</v>
      </c>
      <c r="B1307" s="1">
        <v>45657</v>
      </c>
      <c r="C1307" t="s">
        <v>17</v>
      </c>
      <c r="D1307" t="s">
        <v>33</v>
      </c>
      <c r="E1307">
        <v>5858</v>
      </c>
      <c r="F1307">
        <v>4042</v>
      </c>
      <c r="G1307">
        <v>1816</v>
      </c>
      <c r="H1307" t="s">
        <v>13</v>
      </c>
      <c r="I1307" t="s">
        <v>14</v>
      </c>
      <c r="J1307" t="s">
        <v>15</v>
      </c>
    </row>
    <row r="1308" spans="1:10" x14ac:dyDescent="0.25">
      <c r="A1308" t="s">
        <v>1345</v>
      </c>
      <c r="B1308" s="1">
        <v>45711</v>
      </c>
      <c r="C1308" t="s">
        <v>44</v>
      </c>
      <c r="D1308" t="s">
        <v>41</v>
      </c>
      <c r="E1308">
        <v>20708</v>
      </c>
      <c r="F1308">
        <v>3778</v>
      </c>
      <c r="G1308">
        <v>16930</v>
      </c>
      <c r="H1308" t="s">
        <v>27</v>
      </c>
      <c r="I1308" t="s">
        <v>14</v>
      </c>
      <c r="J1308" t="s">
        <v>53</v>
      </c>
    </row>
    <row r="1309" spans="1:10" x14ac:dyDescent="0.25">
      <c r="A1309" t="s">
        <v>1346</v>
      </c>
      <c r="B1309" s="1">
        <v>45404</v>
      </c>
      <c r="C1309" t="s">
        <v>22</v>
      </c>
      <c r="D1309" t="s">
        <v>41</v>
      </c>
      <c r="E1309">
        <v>46467</v>
      </c>
      <c r="F1309">
        <v>29884</v>
      </c>
      <c r="G1309">
        <v>16583</v>
      </c>
      <c r="H1309" t="s">
        <v>19</v>
      </c>
      <c r="I1309" t="s">
        <v>20</v>
      </c>
      <c r="J1309" t="s">
        <v>24</v>
      </c>
    </row>
    <row r="1310" spans="1:10" x14ac:dyDescent="0.25">
      <c r="A1310" t="s">
        <v>1347</v>
      </c>
      <c r="B1310" s="1">
        <v>45641</v>
      </c>
      <c r="C1310" t="s">
        <v>11</v>
      </c>
      <c r="D1310" t="s">
        <v>41</v>
      </c>
      <c r="E1310">
        <v>22875</v>
      </c>
      <c r="F1310">
        <v>8774</v>
      </c>
      <c r="G1310">
        <v>14101</v>
      </c>
      <c r="H1310" t="s">
        <v>27</v>
      </c>
      <c r="I1310" t="s">
        <v>31</v>
      </c>
      <c r="J1310" t="s">
        <v>53</v>
      </c>
    </row>
    <row r="1311" spans="1:10" x14ac:dyDescent="0.25">
      <c r="A1311" t="s">
        <v>1348</v>
      </c>
      <c r="B1311" s="1">
        <v>45416</v>
      </c>
      <c r="C1311" t="s">
        <v>22</v>
      </c>
      <c r="D1311" t="s">
        <v>36</v>
      </c>
      <c r="E1311">
        <v>36871</v>
      </c>
      <c r="F1311">
        <v>17219</v>
      </c>
      <c r="G1311">
        <v>19652</v>
      </c>
      <c r="H1311" t="s">
        <v>19</v>
      </c>
      <c r="I1311" t="s">
        <v>31</v>
      </c>
      <c r="J1311" t="s">
        <v>53</v>
      </c>
    </row>
    <row r="1312" spans="1:10" x14ac:dyDescent="0.25">
      <c r="A1312" t="s">
        <v>1349</v>
      </c>
      <c r="B1312" s="1">
        <v>45693</v>
      </c>
      <c r="C1312" t="s">
        <v>26</v>
      </c>
      <c r="D1312" t="s">
        <v>33</v>
      </c>
      <c r="E1312">
        <v>19478</v>
      </c>
      <c r="F1312">
        <v>1664</v>
      </c>
      <c r="G1312">
        <v>17814</v>
      </c>
      <c r="H1312" t="s">
        <v>13</v>
      </c>
      <c r="I1312" t="s">
        <v>28</v>
      </c>
      <c r="J1312" t="s">
        <v>42</v>
      </c>
    </row>
    <row r="1313" spans="1:10" x14ac:dyDescent="0.25">
      <c r="A1313" t="s">
        <v>1350</v>
      </c>
      <c r="B1313" s="1">
        <v>45220</v>
      </c>
      <c r="C1313" t="s">
        <v>44</v>
      </c>
      <c r="D1313" t="s">
        <v>41</v>
      </c>
      <c r="E1313">
        <v>42839</v>
      </c>
      <c r="F1313">
        <v>25384</v>
      </c>
      <c r="G1313">
        <v>17455</v>
      </c>
      <c r="H1313" t="s">
        <v>13</v>
      </c>
      <c r="I1313" t="s">
        <v>23</v>
      </c>
      <c r="J1313" t="s">
        <v>29</v>
      </c>
    </row>
    <row r="1314" spans="1:10" x14ac:dyDescent="0.25">
      <c r="A1314" t="s">
        <v>1351</v>
      </c>
      <c r="B1314" s="1">
        <v>45888</v>
      </c>
      <c r="C1314" t="s">
        <v>11</v>
      </c>
      <c r="D1314" t="s">
        <v>36</v>
      </c>
      <c r="E1314">
        <v>11786</v>
      </c>
      <c r="F1314">
        <v>10138</v>
      </c>
      <c r="G1314">
        <v>1648</v>
      </c>
      <c r="H1314" t="s">
        <v>27</v>
      </c>
      <c r="I1314" t="s">
        <v>20</v>
      </c>
      <c r="J1314" t="s">
        <v>42</v>
      </c>
    </row>
    <row r="1315" spans="1:10" x14ac:dyDescent="0.25">
      <c r="A1315" t="s">
        <v>1352</v>
      </c>
      <c r="B1315" s="1">
        <v>46036</v>
      </c>
      <c r="C1315" t="s">
        <v>11</v>
      </c>
      <c r="D1315" t="s">
        <v>18</v>
      </c>
      <c r="E1315">
        <v>32125</v>
      </c>
      <c r="F1315">
        <v>18292</v>
      </c>
      <c r="G1315">
        <v>13833</v>
      </c>
      <c r="H1315" t="s">
        <v>27</v>
      </c>
      <c r="I1315" t="s">
        <v>20</v>
      </c>
      <c r="J1315" t="s">
        <v>42</v>
      </c>
    </row>
    <row r="1316" spans="1:10" x14ac:dyDescent="0.25">
      <c r="A1316" t="s">
        <v>1353</v>
      </c>
      <c r="B1316" s="1">
        <v>45362</v>
      </c>
      <c r="C1316" t="s">
        <v>22</v>
      </c>
      <c r="D1316" t="s">
        <v>18</v>
      </c>
      <c r="E1316">
        <v>15904</v>
      </c>
      <c r="F1316">
        <v>13851</v>
      </c>
      <c r="G1316">
        <v>2053</v>
      </c>
      <c r="H1316" t="s">
        <v>38</v>
      </c>
      <c r="I1316" t="s">
        <v>45</v>
      </c>
      <c r="J1316" t="s">
        <v>42</v>
      </c>
    </row>
    <row r="1317" spans="1:10" x14ac:dyDescent="0.25">
      <c r="A1317" t="s">
        <v>1354</v>
      </c>
      <c r="B1317" s="1">
        <v>45898</v>
      </c>
      <c r="C1317" t="s">
        <v>11</v>
      </c>
      <c r="D1317" t="s">
        <v>41</v>
      </c>
      <c r="E1317">
        <v>24853</v>
      </c>
      <c r="F1317">
        <v>8437</v>
      </c>
      <c r="G1317">
        <v>16416</v>
      </c>
      <c r="H1317" t="s">
        <v>19</v>
      </c>
      <c r="I1317" t="s">
        <v>45</v>
      </c>
      <c r="J1317" t="s">
        <v>24</v>
      </c>
    </row>
    <row r="1318" spans="1:10" x14ac:dyDescent="0.25">
      <c r="A1318" t="s">
        <v>1355</v>
      </c>
      <c r="B1318" s="1">
        <v>45474</v>
      </c>
      <c r="C1318" t="s">
        <v>22</v>
      </c>
      <c r="D1318" t="s">
        <v>33</v>
      </c>
      <c r="E1318">
        <v>23364</v>
      </c>
      <c r="F1318">
        <v>15430</v>
      </c>
      <c r="G1318">
        <v>7934</v>
      </c>
      <c r="H1318" t="s">
        <v>27</v>
      </c>
      <c r="I1318" t="s">
        <v>45</v>
      </c>
      <c r="J1318" t="s">
        <v>53</v>
      </c>
    </row>
    <row r="1319" spans="1:10" x14ac:dyDescent="0.25">
      <c r="A1319" t="s">
        <v>1356</v>
      </c>
      <c r="B1319" s="1">
        <v>45691</v>
      </c>
      <c r="C1319" t="s">
        <v>44</v>
      </c>
      <c r="D1319" t="s">
        <v>36</v>
      </c>
      <c r="E1319">
        <v>30380</v>
      </c>
      <c r="F1319">
        <v>15957</v>
      </c>
      <c r="G1319">
        <v>14423</v>
      </c>
      <c r="H1319" t="s">
        <v>38</v>
      </c>
      <c r="I1319" t="s">
        <v>28</v>
      </c>
      <c r="J1319" t="s">
        <v>53</v>
      </c>
    </row>
    <row r="1320" spans="1:10" x14ac:dyDescent="0.25">
      <c r="A1320" t="s">
        <v>1357</v>
      </c>
      <c r="B1320" s="1">
        <v>45773</v>
      </c>
      <c r="C1320" t="s">
        <v>17</v>
      </c>
      <c r="D1320" t="s">
        <v>18</v>
      </c>
      <c r="E1320">
        <v>16103</v>
      </c>
      <c r="F1320">
        <v>2828</v>
      </c>
      <c r="G1320">
        <v>13275</v>
      </c>
      <c r="H1320" t="s">
        <v>19</v>
      </c>
      <c r="I1320" t="s">
        <v>78</v>
      </c>
      <c r="J1320" t="s">
        <v>15</v>
      </c>
    </row>
    <row r="1321" spans="1:10" x14ac:dyDescent="0.25">
      <c r="A1321" t="s">
        <v>1358</v>
      </c>
      <c r="B1321" s="1">
        <v>45670</v>
      </c>
      <c r="C1321" t="s">
        <v>44</v>
      </c>
      <c r="D1321" t="s">
        <v>36</v>
      </c>
      <c r="E1321">
        <v>23992</v>
      </c>
      <c r="F1321">
        <v>12926</v>
      </c>
      <c r="G1321">
        <v>11066</v>
      </c>
      <c r="H1321" t="s">
        <v>13</v>
      </c>
      <c r="I1321" t="s">
        <v>28</v>
      </c>
      <c r="J1321" t="s">
        <v>15</v>
      </c>
    </row>
    <row r="1322" spans="1:10" x14ac:dyDescent="0.25">
      <c r="A1322" t="s">
        <v>1359</v>
      </c>
      <c r="B1322" s="1">
        <v>45318</v>
      </c>
      <c r="C1322" t="s">
        <v>44</v>
      </c>
      <c r="D1322" t="s">
        <v>41</v>
      </c>
      <c r="E1322">
        <v>49392</v>
      </c>
      <c r="F1322">
        <v>33041</v>
      </c>
      <c r="G1322">
        <v>16351</v>
      </c>
      <c r="H1322" t="s">
        <v>27</v>
      </c>
      <c r="I1322" t="s">
        <v>34</v>
      </c>
      <c r="J1322" t="s">
        <v>24</v>
      </c>
    </row>
    <row r="1323" spans="1:10" x14ac:dyDescent="0.25">
      <c r="A1323" t="s">
        <v>1360</v>
      </c>
      <c r="B1323" s="1">
        <v>45430</v>
      </c>
      <c r="C1323" t="s">
        <v>17</v>
      </c>
      <c r="D1323" t="s">
        <v>33</v>
      </c>
      <c r="E1323">
        <v>39047</v>
      </c>
      <c r="F1323">
        <v>24218</v>
      </c>
      <c r="G1323">
        <v>14829</v>
      </c>
      <c r="H1323" t="s">
        <v>19</v>
      </c>
      <c r="I1323" t="s">
        <v>78</v>
      </c>
      <c r="J1323" t="s">
        <v>53</v>
      </c>
    </row>
    <row r="1324" spans="1:10" x14ac:dyDescent="0.25">
      <c r="A1324" t="s">
        <v>1361</v>
      </c>
      <c r="B1324" s="1">
        <v>45840</v>
      </c>
      <c r="C1324" t="s">
        <v>44</v>
      </c>
      <c r="D1324" t="s">
        <v>41</v>
      </c>
      <c r="E1324">
        <v>36633</v>
      </c>
      <c r="F1324">
        <v>19017</v>
      </c>
      <c r="G1324">
        <v>17616</v>
      </c>
      <c r="H1324" t="s">
        <v>13</v>
      </c>
      <c r="I1324" t="s">
        <v>28</v>
      </c>
      <c r="J1324" t="s">
        <v>53</v>
      </c>
    </row>
    <row r="1325" spans="1:10" x14ac:dyDescent="0.25">
      <c r="A1325" t="s">
        <v>1362</v>
      </c>
      <c r="B1325" s="1">
        <v>45684</v>
      </c>
      <c r="C1325" t="s">
        <v>17</v>
      </c>
      <c r="D1325" t="s">
        <v>36</v>
      </c>
      <c r="E1325">
        <v>29556</v>
      </c>
      <c r="F1325">
        <v>22770</v>
      </c>
      <c r="G1325">
        <v>6786</v>
      </c>
      <c r="H1325" t="s">
        <v>13</v>
      </c>
      <c r="I1325" t="s">
        <v>45</v>
      </c>
      <c r="J1325" t="s">
        <v>53</v>
      </c>
    </row>
    <row r="1326" spans="1:10" x14ac:dyDescent="0.25">
      <c r="A1326" t="s">
        <v>1363</v>
      </c>
      <c r="B1326" s="1">
        <v>45497</v>
      </c>
      <c r="C1326" t="s">
        <v>17</v>
      </c>
      <c r="D1326" t="s">
        <v>33</v>
      </c>
      <c r="E1326">
        <v>43814</v>
      </c>
      <c r="F1326">
        <v>35614</v>
      </c>
      <c r="G1326">
        <v>8200</v>
      </c>
      <c r="H1326" t="s">
        <v>27</v>
      </c>
      <c r="I1326" t="s">
        <v>31</v>
      </c>
      <c r="J1326" t="s">
        <v>15</v>
      </c>
    </row>
    <row r="1327" spans="1:10" x14ac:dyDescent="0.25">
      <c r="A1327" t="s">
        <v>1364</v>
      </c>
      <c r="B1327" s="1">
        <v>45346</v>
      </c>
      <c r="C1327" t="s">
        <v>22</v>
      </c>
      <c r="D1327" t="s">
        <v>41</v>
      </c>
      <c r="E1327">
        <v>22711</v>
      </c>
      <c r="F1327">
        <v>7491</v>
      </c>
      <c r="G1327">
        <v>15220</v>
      </c>
      <c r="H1327" t="s">
        <v>13</v>
      </c>
      <c r="I1327" t="s">
        <v>31</v>
      </c>
      <c r="J1327" t="s">
        <v>15</v>
      </c>
    </row>
    <row r="1328" spans="1:10" x14ac:dyDescent="0.25">
      <c r="A1328" t="s">
        <v>1365</v>
      </c>
      <c r="B1328" s="1">
        <v>46153</v>
      </c>
      <c r="C1328" t="s">
        <v>44</v>
      </c>
      <c r="D1328" t="s">
        <v>33</v>
      </c>
      <c r="E1328">
        <v>28438</v>
      </c>
      <c r="F1328">
        <v>18393</v>
      </c>
      <c r="G1328">
        <v>10045</v>
      </c>
      <c r="H1328" t="s">
        <v>13</v>
      </c>
      <c r="I1328" t="s">
        <v>28</v>
      </c>
      <c r="J1328" t="s">
        <v>15</v>
      </c>
    </row>
    <row r="1329" spans="1:10" x14ac:dyDescent="0.25">
      <c r="A1329" t="s">
        <v>1366</v>
      </c>
      <c r="B1329" s="1">
        <v>45676</v>
      </c>
      <c r="C1329" t="s">
        <v>11</v>
      </c>
      <c r="D1329" t="s">
        <v>41</v>
      </c>
      <c r="E1329">
        <v>34170</v>
      </c>
      <c r="F1329">
        <v>26168</v>
      </c>
      <c r="G1329">
        <v>8002</v>
      </c>
      <c r="H1329" t="s">
        <v>19</v>
      </c>
      <c r="I1329" t="s">
        <v>31</v>
      </c>
      <c r="J1329" t="s">
        <v>24</v>
      </c>
    </row>
    <row r="1330" spans="1:10" x14ac:dyDescent="0.25">
      <c r="A1330" t="s">
        <v>1367</v>
      </c>
      <c r="B1330" s="1">
        <v>45167</v>
      </c>
      <c r="C1330" t="s">
        <v>17</v>
      </c>
      <c r="D1330" t="s">
        <v>33</v>
      </c>
      <c r="E1330">
        <v>27822</v>
      </c>
      <c r="F1330">
        <v>24176</v>
      </c>
      <c r="G1330">
        <v>3646</v>
      </c>
      <c r="H1330" t="s">
        <v>38</v>
      </c>
      <c r="I1330" t="s">
        <v>31</v>
      </c>
      <c r="J1330" t="s">
        <v>24</v>
      </c>
    </row>
    <row r="1331" spans="1:10" x14ac:dyDescent="0.25">
      <c r="A1331" t="s">
        <v>1368</v>
      </c>
      <c r="B1331" s="1">
        <v>45549</v>
      </c>
      <c r="C1331" t="s">
        <v>22</v>
      </c>
      <c r="D1331" t="s">
        <v>36</v>
      </c>
      <c r="E1331">
        <v>27490</v>
      </c>
      <c r="F1331">
        <v>19211</v>
      </c>
      <c r="G1331">
        <v>8279</v>
      </c>
      <c r="H1331" t="s">
        <v>13</v>
      </c>
      <c r="I1331" t="s">
        <v>28</v>
      </c>
      <c r="J1331" t="s">
        <v>15</v>
      </c>
    </row>
    <row r="1332" spans="1:10" x14ac:dyDescent="0.25">
      <c r="A1332" t="s">
        <v>1369</v>
      </c>
      <c r="B1332" s="1">
        <v>46051</v>
      </c>
      <c r="C1332" t="s">
        <v>11</v>
      </c>
      <c r="D1332" t="s">
        <v>33</v>
      </c>
      <c r="E1332">
        <v>20281</v>
      </c>
      <c r="F1332">
        <v>16052</v>
      </c>
      <c r="G1332">
        <v>4229</v>
      </c>
      <c r="H1332" t="s">
        <v>38</v>
      </c>
      <c r="I1332" t="s">
        <v>31</v>
      </c>
      <c r="J1332" t="s">
        <v>24</v>
      </c>
    </row>
    <row r="1333" spans="1:10" x14ac:dyDescent="0.25">
      <c r="A1333" t="s">
        <v>1370</v>
      </c>
      <c r="B1333" s="1">
        <v>46064</v>
      </c>
      <c r="C1333" t="s">
        <v>17</v>
      </c>
      <c r="D1333" t="s">
        <v>41</v>
      </c>
      <c r="E1333">
        <v>12128</v>
      </c>
      <c r="F1333">
        <v>4625</v>
      </c>
      <c r="G1333">
        <v>7503</v>
      </c>
      <c r="H1333" t="s">
        <v>19</v>
      </c>
      <c r="I1333" t="s">
        <v>23</v>
      </c>
      <c r="J1333" t="s">
        <v>24</v>
      </c>
    </row>
    <row r="1334" spans="1:10" x14ac:dyDescent="0.25">
      <c r="A1334" t="s">
        <v>1371</v>
      </c>
      <c r="B1334" s="1">
        <v>45299</v>
      </c>
      <c r="C1334" t="s">
        <v>17</v>
      </c>
      <c r="D1334" t="s">
        <v>36</v>
      </c>
      <c r="E1334">
        <v>31322</v>
      </c>
      <c r="F1334">
        <v>25289</v>
      </c>
      <c r="G1334">
        <v>6033</v>
      </c>
      <c r="H1334" t="s">
        <v>38</v>
      </c>
      <c r="I1334" t="s">
        <v>28</v>
      </c>
      <c r="J1334" t="s">
        <v>42</v>
      </c>
    </row>
    <row r="1335" spans="1:10" x14ac:dyDescent="0.25">
      <c r="A1335" t="s">
        <v>1372</v>
      </c>
      <c r="B1335" s="1">
        <v>45248</v>
      </c>
      <c r="C1335" t="s">
        <v>17</v>
      </c>
      <c r="D1335" t="s">
        <v>18</v>
      </c>
      <c r="E1335">
        <v>14378</v>
      </c>
      <c r="F1335">
        <v>9696</v>
      </c>
      <c r="G1335">
        <v>4682</v>
      </c>
      <c r="H1335" t="s">
        <v>13</v>
      </c>
      <c r="I1335" t="s">
        <v>78</v>
      </c>
      <c r="J1335" t="s">
        <v>42</v>
      </c>
    </row>
    <row r="1336" spans="1:10" x14ac:dyDescent="0.25">
      <c r="A1336" t="s">
        <v>1373</v>
      </c>
      <c r="B1336" s="1">
        <v>45155</v>
      </c>
      <c r="C1336" t="s">
        <v>26</v>
      </c>
      <c r="D1336" t="s">
        <v>33</v>
      </c>
      <c r="E1336">
        <v>33132</v>
      </c>
      <c r="F1336">
        <v>26822</v>
      </c>
      <c r="G1336">
        <v>6310</v>
      </c>
      <c r="H1336" t="s">
        <v>19</v>
      </c>
      <c r="I1336" t="s">
        <v>78</v>
      </c>
      <c r="J1336" t="s">
        <v>15</v>
      </c>
    </row>
    <row r="1337" spans="1:10" x14ac:dyDescent="0.25">
      <c r="A1337" t="s">
        <v>1374</v>
      </c>
      <c r="B1337" s="1">
        <v>46158</v>
      </c>
      <c r="C1337" t="s">
        <v>26</v>
      </c>
      <c r="D1337" t="s">
        <v>41</v>
      </c>
      <c r="E1337">
        <v>35829</v>
      </c>
      <c r="F1337">
        <v>24093</v>
      </c>
      <c r="G1337">
        <v>11736</v>
      </c>
      <c r="H1337" t="s">
        <v>38</v>
      </c>
      <c r="I1337" t="s">
        <v>28</v>
      </c>
      <c r="J1337" t="s">
        <v>15</v>
      </c>
    </row>
    <row r="1338" spans="1:10" x14ac:dyDescent="0.25">
      <c r="A1338" t="s">
        <v>1375</v>
      </c>
      <c r="B1338" s="1">
        <v>45142</v>
      </c>
      <c r="C1338" t="s">
        <v>11</v>
      </c>
      <c r="D1338" t="s">
        <v>41</v>
      </c>
      <c r="E1338">
        <v>14974</v>
      </c>
      <c r="F1338">
        <v>922</v>
      </c>
      <c r="G1338">
        <v>14052</v>
      </c>
      <c r="H1338" t="s">
        <v>38</v>
      </c>
      <c r="I1338" t="s">
        <v>28</v>
      </c>
      <c r="J1338" t="s">
        <v>53</v>
      </c>
    </row>
    <row r="1339" spans="1:10" x14ac:dyDescent="0.25">
      <c r="A1339" t="s">
        <v>1376</v>
      </c>
      <c r="B1339" s="1">
        <v>45287</v>
      </c>
      <c r="C1339" t="s">
        <v>26</v>
      </c>
      <c r="D1339" t="s">
        <v>18</v>
      </c>
      <c r="E1339">
        <v>17103</v>
      </c>
      <c r="F1339">
        <v>1086</v>
      </c>
      <c r="G1339">
        <v>16017</v>
      </c>
      <c r="H1339" t="s">
        <v>13</v>
      </c>
      <c r="I1339" t="s">
        <v>60</v>
      </c>
      <c r="J1339" t="s">
        <v>29</v>
      </c>
    </row>
    <row r="1340" spans="1:10" x14ac:dyDescent="0.25">
      <c r="A1340" t="s">
        <v>1377</v>
      </c>
      <c r="B1340" s="1">
        <v>46165</v>
      </c>
      <c r="C1340" t="s">
        <v>17</v>
      </c>
      <c r="D1340" t="s">
        <v>18</v>
      </c>
      <c r="E1340">
        <v>38109</v>
      </c>
      <c r="F1340">
        <v>26832</v>
      </c>
      <c r="G1340">
        <v>11277</v>
      </c>
      <c r="H1340" t="s">
        <v>13</v>
      </c>
      <c r="I1340" t="s">
        <v>31</v>
      </c>
      <c r="J1340" t="s">
        <v>29</v>
      </c>
    </row>
    <row r="1341" spans="1:10" x14ac:dyDescent="0.25">
      <c r="A1341" t="s">
        <v>1378</v>
      </c>
      <c r="B1341" s="1">
        <v>46098</v>
      </c>
      <c r="C1341" t="s">
        <v>44</v>
      </c>
      <c r="D1341" t="s">
        <v>41</v>
      </c>
      <c r="E1341">
        <v>42395</v>
      </c>
      <c r="F1341">
        <v>39771</v>
      </c>
      <c r="G1341">
        <v>2624</v>
      </c>
      <c r="H1341" t="s">
        <v>13</v>
      </c>
      <c r="I1341" t="s">
        <v>14</v>
      </c>
      <c r="J1341" t="s">
        <v>42</v>
      </c>
    </row>
    <row r="1342" spans="1:10" x14ac:dyDescent="0.25">
      <c r="A1342" t="s">
        <v>1379</v>
      </c>
      <c r="B1342" s="1">
        <v>46106</v>
      </c>
      <c r="C1342" t="s">
        <v>44</v>
      </c>
      <c r="D1342" t="s">
        <v>12</v>
      </c>
      <c r="E1342">
        <v>46316</v>
      </c>
      <c r="F1342">
        <v>26589</v>
      </c>
      <c r="G1342">
        <v>19727</v>
      </c>
      <c r="H1342" t="s">
        <v>27</v>
      </c>
      <c r="I1342" t="s">
        <v>14</v>
      </c>
      <c r="J1342" t="s">
        <v>15</v>
      </c>
    </row>
    <row r="1343" spans="1:10" x14ac:dyDescent="0.25">
      <c r="A1343" t="s">
        <v>1380</v>
      </c>
      <c r="B1343" s="1">
        <v>45852</v>
      </c>
      <c r="C1343" t="s">
        <v>44</v>
      </c>
      <c r="D1343" t="s">
        <v>41</v>
      </c>
      <c r="E1343">
        <v>20974</v>
      </c>
      <c r="F1343">
        <v>7493</v>
      </c>
      <c r="G1343">
        <v>13481</v>
      </c>
      <c r="H1343" t="s">
        <v>38</v>
      </c>
      <c r="I1343" t="s">
        <v>34</v>
      </c>
      <c r="J1343" t="s">
        <v>24</v>
      </c>
    </row>
    <row r="1344" spans="1:10" x14ac:dyDescent="0.25">
      <c r="A1344" t="s">
        <v>1381</v>
      </c>
      <c r="B1344" s="1">
        <v>45475</v>
      </c>
      <c r="C1344" t="s">
        <v>44</v>
      </c>
      <c r="D1344" t="s">
        <v>41</v>
      </c>
      <c r="E1344">
        <v>30504</v>
      </c>
      <c r="F1344">
        <v>12762</v>
      </c>
      <c r="G1344">
        <v>17742</v>
      </c>
      <c r="H1344" t="s">
        <v>38</v>
      </c>
      <c r="I1344" t="s">
        <v>63</v>
      </c>
      <c r="J1344" t="s">
        <v>29</v>
      </c>
    </row>
    <row r="1345" spans="1:10" x14ac:dyDescent="0.25">
      <c r="A1345" t="s">
        <v>1382</v>
      </c>
      <c r="B1345" s="1">
        <v>45210</v>
      </c>
      <c r="C1345" t="s">
        <v>26</v>
      </c>
      <c r="D1345" t="s">
        <v>41</v>
      </c>
      <c r="E1345">
        <v>48762</v>
      </c>
      <c r="F1345">
        <v>29832</v>
      </c>
      <c r="G1345">
        <v>18930</v>
      </c>
      <c r="H1345" t="s">
        <v>38</v>
      </c>
      <c r="I1345" t="s">
        <v>45</v>
      </c>
      <c r="J1345" t="s">
        <v>29</v>
      </c>
    </row>
    <row r="1346" spans="1:10" x14ac:dyDescent="0.25">
      <c r="A1346" t="s">
        <v>1383</v>
      </c>
      <c r="B1346" s="1">
        <v>46171</v>
      </c>
      <c r="C1346" t="s">
        <v>26</v>
      </c>
      <c r="D1346" t="s">
        <v>33</v>
      </c>
      <c r="E1346">
        <v>25291</v>
      </c>
      <c r="F1346">
        <v>6261</v>
      </c>
      <c r="G1346">
        <v>19030</v>
      </c>
      <c r="H1346" t="s">
        <v>19</v>
      </c>
      <c r="I1346" t="s">
        <v>78</v>
      </c>
      <c r="J1346" t="s">
        <v>24</v>
      </c>
    </row>
    <row r="1347" spans="1:10" x14ac:dyDescent="0.25">
      <c r="A1347" t="s">
        <v>1384</v>
      </c>
      <c r="B1347" s="1">
        <v>45184</v>
      </c>
      <c r="C1347" t="s">
        <v>26</v>
      </c>
      <c r="D1347" t="s">
        <v>41</v>
      </c>
      <c r="E1347">
        <v>40507</v>
      </c>
      <c r="F1347">
        <v>23295</v>
      </c>
      <c r="G1347">
        <v>17212</v>
      </c>
      <c r="H1347" t="s">
        <v>13</v>
      </c>
      <c r="I1347" t="s">
        <v>78</v>
      </c>
      <c r="J1347" t="s">
        <v>53</v>
      </c>
    </row>
    <row r="1348" spans="1:10" x14ac:dyDescent="0.25">
      <c r="A1348" t="s">
        <v>1385</v>
      </c>
      <c r="B1348" s="1">
        <v>45733</v>
      </c>
      <c r="C1348" t="s">
        <v>11</v>
      </c>
      <c r="D1348" t="s">
        <v>33</v>
      </c>
      <c r="E1348">
        <v>40728</v>
      </c>
      <c r="F1348">
        <v>21305</v>
      </c>
      <c r="G1348">
        <v>19423</v>
      </c>
      <c r="H1348" t="s">
        <v>38</v>
      </c>
      <c r="I1348" t="s">
        <v>28</v>
      </c>
      <c r="J1348" t="s">
        <v>29</v>
      </c>
    </row>
    <row r="1349" spans="1:10" x14ac:dyDescent="0.25">
      <c r="A1349" t="s">
        <v>1386</v>
      </c>
      <c r="B1349" s="1">
        <v>45128</v>
      </c>
      <c r="C1349" t="s">
        <v>11</v>
      </c>
      <c r="D1349" t="s">
        <v>33</v>
      </c>
      <c r="E1349">
        <v>37970</v>
      </c>
      <c r="F1349">
        <v>19265</v>
      </c>
      <c r="G1349">
        <v>18705</v>
      </c>
      <c r="H1349" t="s">
        <v>13</v>
      </c>
      <c r="I1349" t="s">
        <v>34</v>
      </c>
      <c r="J1349" t="s">
        <v>29</v>
      </c>
    </row>
    <row r="1350" spans="1:10" x14ac:dyDescent="0.25">
      <c r="A1350" t="s">
        <v>1387</v>
      </c>
      <c r="B1350" s="1">
        <v>45138</v>
      </c>
      <c r="C1350" t="s">
        <v>26</v>
      </c>
      <c r="D1350" t="s">
        <v>36</v>
      </c>
      <c r="E1350">
        <v>10735</v>
      </c>
      <c r="F1350">
        <v>588</v>
      </c>
      <c r="G1350">
        <v>10147</v>
      </c>
      <c r="H1350" t="s">
        <v>38</v>
      </c>
      <c r="I1350" t="s">
        <v>31</v>
      </c>
      <c r="J1350" t="s">
        <v>15</v>
      </c>
    </row>
    <row r="1351" spans="1:10" x14ac:dyDescent="0.25">
      <c r="A1351" t="s">
        <v>1388</v>
      </c>
      <c r="B1351" s="1">
        <v>45300</v>
      </c>
      <c r="C1351" t="s">
        <v>17</v>
      </c>
      <c r="D1351" t="s">
        <v>33</v>
      </c>
      <c r="E1351">
        <v>24786</v>
      </c>
      <c r="F1351">
        <v>19304</v>
      </c>
      <c r="G1351">
        <v>5482</v>
      </c>
      <c r="H1351" t="s">
        <v>19</v>
      </c>
      <c r="I1351" t="s">
        <v>63</v>
      </c>
      <c r="J1351" t="s">
        <v>15</v>
      </c>
    </row>
    <row r="1352" spans="1:10" x14ac:dyDescent="0.25">
      <c r="A1352" t="s">
        <v>1389</v>
      </c>
      <c r="B1352" s="1">
        <v>46145</v>
      </c>
      <c r="C1352" t="s">
        <v>26</v>
      </c>
      <c r="D1352" t="s">
        <v>33</v>
      </c>
      <c r="E1352">
        <v>43570</v>
      </c>
      <c r="F1352">
        <v>26091</v>
      </c>
      <c r="G1352">
        <v>17479</v>
      </c>
      <c r="H1352" t="s">
        <v>27</v>
      </c>
      <c r="I1352" t="s">
        <v>63</v>
      </c>
      <c r="J1352" t="s">
        <v>42</v>
      </c>
    </row>
    <row r="1353" spans="1:10" x14ac:dyDescent="0.25">
      <c r="A1353" t="s">
        <v>1390</v>
      </c>
      <c r="B1353" s="1">
        <v>45554</v>
      </c>
      <c r="C1353" t="s">
        <v>11</v>
      </c>
      <c r="D1353" t="s">
        <v>18</v>
      </c>
      <c r="E1353">
        <v>44694</v>
      </c>
      <c r="F1353">
        <v>26680</v>
      </c>
      <c r="G1353">
        <v>18014</v>
      </c>
      <c r="H1353" t="s">
        <v>19</v>
      </c>
      <c r="I1353" t="s">
        <v>60</v>
      </c>
      <c r="J1353" t="s">
        <v>29</v>
      </c>
    </row>
    <row r="1354" spans="1:10" x14ac:dyDescent="0.25">
      <c r="A1354" t="s">
        <v>1391</v>
      </c>
      <c r="B1354" s="1">
        <v>45669</v>
      </c>
      <c r="C1354" t="s">
        <v>11</v>
      </c>
      <c r="D1354" t="s">
        <v>12</v>
      </c>
      <c r="E1354">
        <v>8495</v>
      </c>
      <c r="F1354">
        <v>1581</v>
      </c>
      <c r="G1354">
        <v>6914</v>
      </c>
      <c r="H1354" t="s">
        <v>27</v>
      </c>
      <c r="I1354" t="s">
        <v>45</v>
      </c>
      <c r="J1354" t="s">
        <v>24</v>
      </c>
    </row>
    <row r="1355" spans="1:10" x14ac:dyDescent="0.25">
      <c r="A1355" t="s">
        <v>1392</v>
      </c>
      <c r="B1355" s="1">
        <v>45492</v>
      </c>
      <c r="C1355" t="s">
        <v>22</v>
      </c>
      <c r="D1355" t="s">
        <v>33</v>
      </c>
      <c r="E1355">
        <v>47151</v>
      </c>
      <c r="F1355">
        <v>39520</v>
      </c>
      <c r="G1355">
        <v>7631</v>
      </c>
      <c r="H1355" t="s">
        <v>27</v>
      </c>
      <c r="I1355" t="s">
        <v>78</v>
      </c>
      <c r="J1355" t="s">
        <v>29</v>
      </c>
    </row>
    <row r="1356" spans="1:10" x14ac:dyDescent="0.25">
      <c r="A1356" t="s">
        <v>1393</v>
      </c>
      <c r="B1356" s="1">
        <v>46162</v>
      </c>
      <c r="C1356" t="s">
        <v>44</v>
      </c>
      <c r="D1356" t="s">
        <v>33</v>
      </c>
      <c r="E1356">
        <v>40454</v>
      </c>
      <c r="F1356">
        <v>38024</v>
      </c>
      <c r="G1356">
        <v>2430</v>
      </c>
      <c r="H1356" t="s">
        <v>19</v>
      </c>
      <c r="I1356" t="s">
        <v>31</v>
      </c>
      <c r="J1356" t="s">
        <v>24</v>
      </c>
    </row>
    <row r="1357" spans="1:10" x14ac:dyDescent="0.25">
      <c r="A1357" t="s">
        <v>1394</v>
      </c>
      <c r="B1357" s="1">
        <v>45182</v>
      </c>
      <c r="C1357" t="s">
        <v>17</v>
      </c>
      <c r="D1357" t="s">
        <v>18</v>
      </c>
      <c r="E1357">
        <v>19644</v>
      </c>
      <c r="F1357">
        <v>4601</v>
      </c>
      <c r="G1357">
        <v>15043</v>
      </c>
      <c r="H1357" t="s">
        <v>19</v>
      </c>
      <c r="I1357" t="s">
        <v>23</v>
      </c>
      <c r="J1357" t="s">
        <v>53</v>
      </c>
    </row>
    <row r="1358" spans="1:10" x14ac:dyDescent="0.25">
      <c r="A1358" t="s">
        <v>1395</v>
      </c>
      <c r="B1358" s="1">
        <v>45768</v>
      </c>
      <c r="C1358" t="s">
        <v>11</v>
      </c>
      <c r="D1358" t="s">
        <v>18</v>
      </c>
      <c r="E1358">
        <v>36173</v>
      </c>
      <c r="F1358">
        <v>24620</v>
      </c>
      <c r="G1358">
        <v>11553</v>
      </c>
      <c r="H1358" t="s">
        <v>13</v>
      </c>
      <c r="I1358" t="s">
        <v>63</v>
      </c>
      <c r="J1358" t="s">
        <v>24</v>
      </c>
    </row>
    <row r="1359" spans="1:10" x14ac:dyDescent="0.25">
      <c r="A1359" t="s">
        <v>1396</v>
      </c>
      <c r="B1359" s="1">
        <v>45298</v>
      </c>
      <c r="C1359" t="s">
        <v>11</v>
      </c>
      <c r="D1359" t="s">
        <v>36</v>
      </c>
      <c r="E1359">
        <v>14781</v>
      </c>
      <c r="F1359">
        <v>606</v>
      </c>
      <c r="G1359">
        <v>14175</v>
      </c>
      <c r="H1359" t="s">
        <v>19</v>
      </c>
      <c r="I1359" t="s">
        <v>45</v>
      </c>
      <c r="J1359" t="s">
        <v>42</v>
      </c>
    </row>
    <row r="1360" spans="1:10" x14ac:dyDescent="0.25">
      <c r="A1360" t="s">
        <v>1397</v>
      </c>
      <c r="B1360" s="1">
        <v>45216</v>
      </c>
      <c r="C1360" t="s">
        <v>22</v>
      </c>
      <c r="D1360" t="s">
        <v>33</v>
      </c>
      <c r="E1360">
        <v>49264</v>
      </c>
      <c r="F1360">
        <v>43955</v>
      </c>
      <c r="G1360">
        <v>5309</v>
      </c>
      <c r="H1360" t="s">
        <v>27</v>
      </c>
      <c r="I1360" t="s">
        <v>20</v>
      </c>
      <c r="J1360" t="s">
        <v>24</v>
      </c>
    </row>
    <row r="1361" spans="1:10" x14ac:dyDescent="0.25">
      <c r="A1361" t="s">
        <v>1398</v>
      </c>
      <c r="B1361" s="1">
        <v>45880</v>
      </c>
      <c r="C1361" t="s">
        <v>11</v>
      </c>
      <c r="D1361" t="s">
        <v>36</v>
      </c>
      <c r="E1361">
        <v>22417</v>
      </c>
      <c r="F1361">
        <v>3934</v>
      </c>
      <c r="G1361">
        <v>18483</v>
      </c>
      <c r="H1361" t="s">
        <v>13</v>
      </c>
      <c r="I1361" t="s">
        <v>34</v>
      </c>
      <c r="J1361" t="s">
        <v>53</v>
      </c>
    </row>
    <row r="1362" spans="1:10" x14ac:dyDescent="0.25">
      <c r="A1362" t="s">
        <v>1399</v>
      </c>
      <c r="B1362" s="1">
        <v>45393</v>
      </c>
      <c r="C1362" t="s">
        <v>26</v>
      </c>
      <c r="D1362" t="s">
        <v>12</v>
      </c>
      <c r="E1362">
        <v>22208</v>
      </c>
      <c r="F1362">
        <v>18169</v>
      </c>
      <c r="G1362">
        <v>4039</v>
      </c>
      <c r="H1362" t="s">
        <v>19</v>
      </c>
      <c r="I1362" t="s">
        <v>20</v>
      </c>
      <c r="J1362" t="s">
        <v>42</v>
      </c>
    </row>
    <row r="1363" spans="1:10" x14ac:dyDescent="0.25">
      <c r="A1363" t="s">
        <v>1400</v>
      </c>
      <c r="B1363" s="1">
        <v>45133</v>
      </c>
      <c r="C1363" t="s">
        <v>44</v>
      </c>
      <c r="D1363" t="s">
        <v>12</v>
      </c>
      <c r="E1363">
        <v>28231</v>
      </c>
      <c r="F1363">
        <v>26046</v>
      </c>
      <c r="G1363">
        <v>2185</v>
      </c>
      <c r="H1363" t="s">
        <v>27</v>
      </c>
      <c r="I1363" t="s">
        <v>20</v>
      </c>
      <c r="J1363" t="s">
        <v>53</v>
      </c>
    </row>
    <row r="1364" spans="1:10" x14ac:dyDescent="0.25">
      <c r="A1364" t="s">
        <v>1401</v>
      </c>
      <c r="B1364" s="1">
        <v>45807</v>
      </c>
      <c r="C1364" t="s">
        <v>22</v>
      </c>
      <c r="D1364" t="s">
        <v>33</v>
      </c>
      <c r="E1364">
        <v>6109</v>
      </c>
      <c r="F1364">
        <v>4894</v>
      </c>
      <c r="G1364">
        <v>1215</v>
      </c>
      <c r="H1364" t="s">
        <v>38</v>
      </c>
      <c r="I1364" t="s">
        <v>34</v>
      </c>
      <c r="J1364" t="s">
        <v>24</v>
      </c>
    </row>
    <row r="1365" spans="1:10" x14ac:dyDescent="0.25">
      <c r="A1365" t="s">
        <v>1402</v>
      </c>
      <c r="B1365" s="1">
        <v>45119</v>
      </c>
      <c r="C1365" t="s">
        <v>22</v>
      </c>
      <c r="D1365" t="s">
        <v>36</v>
      </c>
      <c r="E1365">
        <v>34363</v>
      </c>
      <c r="F1365">
        <v>29986</v>
      </c>
      <c r="G1365">
        <v>4377</v>
      </c>
      <c r="H1365" t="s">
        <v>13</v>
      </c>
      <c r="I1365" t="s">
        <v>14</v>
      </c>
      <c r="J1365" t="s">
        <v>42</v>
      </c>
    </row>
    <row r="1366" spans="1:10" x14ac:dyDescent="0.25">
      <c r="A1366" t="s">
        <v>1403</v>
      </c>
      <c r="B1366" s="1">
        <v>45125</v>
      </c>
      <c r="C1366" t="s">
        <v>22</v>
      </c>
      <c r="D1366" t="s">
        <v>41</v>
      </c>
      <c r="E1366">
        <v>6339</v>
      </c>
      <c r="F1366">
        <v>3614</v>
      </c>
      <c r="G1366">
        <v>2725</v>
      </c>
      <c r="H1366" t="s">
        <v>38</v>
      </c>
      <c r="I1366" t="s">
        <v>31</v>
      </c>
      <c r="J1366" t="s">
        <v>29</v>
      </c>
    </row>
    <row r="1367" spans="1:10" x14ac:dyDescent="0.25">
      <c r="A1367" t="s">
        <v>1404</v>
      </c>
      <c r="B1367" s="1">
        <v>45394</v>
      </c>
      <c r="C1367" t="s">
        <v>22</v>
      </c>
      <c r="D1367" t="s">
        <v>36</v>
      </c>
      <c r="E1367">
        <v>49359</v>
      </c>
      <c r="F1367">
        <v>46993</v>
      </c>
      <c r="G1367">
        <v>2366</v>
      </c>
      <c r="H1367" t="s">
        <v>19</v>
      </c>
      <c r="I1367" t="s">
        <v>45</v>
      </c>
      <c r="J1367" t="s">
        <v>29</v>
      </c>
    </row>
    <row r="1368" spans="1:10" x14ac:dyDescent="0.25">
      <c r="A1368" t="s">
        <v>1405</v>
      </c>
      <c r="B1368" s="1">
        <v>45413</v>
      </c>
      <c r="C1368" t="s">
        <v>22</v>
      </c>
      <c r="D1368" t="s">
        <v>33</v>
      </c>
      <c r="E1368">
        <v>29827</v>
      </c>
      <c r="F1368">
        <v>24145</v>
      </c>
      <c r="G1368">
        <v>5682</v>
      </c>
      <c r="H1368" t="s">
        <v>38</v>
      </c>
      <c r="I1368" t="s">
        <v>31</v>
      </c>
      <c r="J1368" t="s">
        <v>53</v>
      </c>
    </row>
    <row r="1369" spans="1:10" x14ac:dyDescent="0.25">
      <c r="A1369" t="s">
        <v>1406</v>
      </c>
      <c r="B1369" s="1">
        <v>45951</v>
      </c>
      <c r="C1369" t="s">
        <v>26</v>
      </c>
      <c r="D1369" t="s">
        <v>12</v>
      </c>
      <c r="E1369">
        <v>16762</v>
      </c>
      <c r="F1369">
        <v>7414</v>
      </c>
      <c r="G1369">
        <v>9348</v>
      </c>
      <c r="H1369" t="s">
        <v>27</v>
      </c>
      <c r="I1369" t="s">
        <v>28</v>
      </c>
      <c r="J1369" t="s">
        <v>29</v>
      </c>
    </row>
    <row r="1370" spans="1:10" x14ac:dyDescent="0.25">
      <c r="A1370" t="s">
        <v>1407</v>
      </c>
      <c r="B1370" s="1">
        <v>45427</v>
      </c>
      <c r="C1370" t="s">
        <v>11</v>
      </c>
      <c r="D1370" t="s">
        <v>18</v>
      </c>
      <c r="E1370">
        <v>48066</v>
      </c>
      <c r="F1370">
        <v>39418</v>
      </c>
      <c r="G1370">
        <v>8648</v>
      </c>
      <c r="H1370" t="s">
        <v>38</v>
      </c>
      <c r="I1370" t="s">
        <v>23</v>
      </c>
      <c r="J1370" t="s">
        <v>53</v>
      </c>
    </row>
    <row r="1371" spans="1:10" x14ac:dyDescent="0.25">
      <c r="A1371" t="s">
        <v>1408</v>
      </c>
      <c r="B1371" s="1">
        <v>45666</v>
      </c>
      <c r="C1371" t="s">
        <v>26</v>
      </c>
      <c r="D1371" t="s">
        <v>41</v>
      </c>
      <c r="E1371">
        <v>11344</v>
      </c>
      <c r="F1371">
        <v>5021</v>
      </c>
      <c r="G1371">
        <v>6323</v>
      </c>
      <c r="H1371" t="s">
        <v>19</v>
      </c>
      <c r="I1371" t="s">
        <v>31</v>
      </c>
      <c r="J1371" t="s">
        <v>24</v>
      </c>
    </row>
    <row r="1372" spans="1:10" x14ac:dyDescent="0.25">
      <c r="A1372" t="s">
        <v>1409</v>
      </c>
      <c r="B1372" s="1">
        <v>45849</v>
      </c>
      <c r="C1372" t="s">
        <v>44</v>
      </c>
      <c r="D1372" t="s">
        <v>36</v>
      </c>
      <c r="E1372">
        <v>45696</v>
      </c>
      <c r="F1372">
        <v>35702</v>
      </c>
      <c r="G1372">
        <v>9994</v>
      </c>
      <c r="H1372" t="s">
        <v>27</v>
      </c>
      <c r="I1372" t="s">
        <v>63</v>
      </c>
      <c r="J1372" t="s">
        <v>15</v>
      </c>
    </row>
    <row r="1373" spans="1:10" x14ac:dyDescent="0.25">
      <c r="A1373" t="s">
        <v>1410</v>
      </c>
      <c r="B1373" s="1">
        <v>45815</v>
      </c>
      <c r="C1373" t="s">
        <v>26</v>
      </c>
      <c r="D1373" t="s">
        <v>12</v>
      </c>
      <c r="E1373">
        <v>45315</v>
      </c>
      <c r="F1373">
        <v>30224</v>
      </c>
      <c r="G1373">
        <v>15091</v>
      </c>
      <c r="H1373" t="s">
        <v>38</v>
      </c>
      <c r="I1373" t="s">
        <v>14</v>
      </c>
      <c r="J1373" t="s">
        <v>15</v>
      </c>
    </row>
    <row r="1374" spans="1:10" x14ac:dyDescent="0.25">
      <c r="A1374" t="s">
        <v>1411</v>
      </c>
      <c r="B1374" s="1">
        <v>45479</v>
      </c>
      <c r="C1374" t="s">
        <v>17</v>
      </c>
      <c r="D1374" t="s">
        <v>36</v>
      </c>
      <c r="E1374">
        <v>28747</v>
      </c>
      <c r="F1374">
        <v>9804</v>
      </c>
      <c r="G1374">
        <v>18943</v>
      </c>
      <c r="H1374" t="s">
        <v>27</v>
      </c>
      <c r="I1374" t="s">
        <v>31</v>
      </c>
      <c r="J1374" t="s">
        <v>15</v>
      </c>
    </row>
    <row r="1375" spans="1:10" x14ac:dyDescent="0.25">
      <c r="A1375" t="s">
        <v>1412</v>
      </c>
      <c r="B1375" s="1">
        <v>45453</v>
      </c>
      <c r="C1375" t="s">
        <v>22</v>
      </c>
      <c r="D1375" t="s">
        <v>18</v>
      </c>
      <c r="E1375">
        <v>36992</v>
      </c>
      <c r="F1375">
        <v>33050</v>
      </c>
      <c r="G1375">
        <v>3942</v>
      </c>
      <c r="H1375" t="s">
        <v>27</v>
      </c>
      <c r="I1375" t="s">
        <v>31</v>
      </c>
      <c r="J1375" t="s">
        <v>53</v>
      </c>
    </row>
    <row r="1376" spans="1:10" x14ac:dyDescent="0.25">
      <c r="A1376" t="s">
        <v>1413</v>
      </c>
      <c r="B1376" s="1">
        <v>45519</v>
      </c>
      <c r="C1376" t="s">
        <v>22</v>
      </c>
      <c r="D1376" t="s">
        <v>36</v>
      </c>
      <c r="E1376">
        <v>28102</v>
      </c>
      <c r="F1376">
        <v>26052</v>
      </c>
      <c r="G1376">
        <v>2050</v>
      </c>
      <c r="H1376" t="s">
        <v>13</v>
      </c>
      <c r="I1376" t="s">
        <v>28</v>
      </c>
      <c r="J1376" t="s">
        <v>29</v>
      </c>
    </row>
    <row r="1377" spans="1:10" x14ac:dyDescent="0.25">
      <c r="A1377" t="s">
        <v>1414</v>
      </c>
      <c r="B1377" s="1">
        <v>46153</v>
      </c>
      <c r="C1377" t="s">
        <v>22</v>
      </c>
      <c r="D1377" t="s">
        <v>12</v>
      </c>
      <c r="E1377">
        <v>7851</v>
      </c>
      <c r="F1377">
        <v>5666</v>
      </c>
      <c r="G1377">
        <v>2185</v>
      </c>
      <c r="H1377" t="s">
        <v>19</v>
      </c>
      <c r="I1377" t="s">
        <v>60</v>
      </c>
      <c r="J1377" t="s">
        <v>29</v>
      </c>
    </row>
    <row r="1378" spans="1:10" x14ac:dyDescent="0.25">
      <c r="A1378" t="s">
        <v>1415</v>
      </c>
      <c r="B1378" s="1">
        <v>45529</v>
      </c>
      <c r="C1378" t="s">
        <v>11</v>
      </c>
      <c r="D1378" t="s">
        <v>36</v>
      </c>
      <c r="E1378">
        <v>40420</v>
      </c>
      <c r="F1378">
        <v>33803</v>
      </c>
      <c r="G1378">
        <v>6617</v>
      </c>
      <c r="H1378" t="s">
        <v>19</v>
      </c>
      <c r="I1378" t="s">
        <v>78</v>
      </c>
      <c r="J1378" t="s">
        <v>42</v>
      </c>
    </row>
    <row r="1379" spans="1:10" x14ac:dyDescent="0.25">
      <c r="A1379" t="s">
        <v>1416</v>
      </c>
      <c r="B1379" s="1">
        <v>45622</v>
      </c>
      <c r="C1379" t="s">
        <v>17</v>
      </c>
      <c r="D1379" t="s">
        <v>33</v>
      </c>
      <c r="E1379">
        <v>12039</v>
      </c>
      <c r="F1379">
        <v>11097</v>
      </c>
      <c r="G1379">
        <v>942</v>
      </c>
      <c r="H1379" t="s">
        <v>19</v>
      </c>
      <c r="I1379" t="s">
        <v>60</v>
      </c>
      <c r="J1379" t="s">
        <v>53</v>
      </c>
    </row>
    <row r="1380" spans="1:10" x14ac:dyDescent="0.25">
      <c r="A1380" t="s">
        <v>1417</v>
      </c>
      <c r="B1380" s="1">
        <v>45848</v>
      </c>
      <c r="C1380" t="s">
        <v>11</v>
      </c>
      <c r="D1380" t="s">
        <v>36</v>
      </c>
      <c r="E1380">
        <v>44122</v>
      </c>
      <c r="F1380">
        <v>32312</v>
      </c>
      <c r="G1380">
        <v>11810</v>
      </c>
      <c r="H1380" t="s">
        <v>38</v>
      </c>
      <c r="I1380" t="s">
        <v>60</v>
      </c>
      <c r="J1380" t="s">
        <v>15</v>
      </c>
    </row>
    <row r="1381" spans="1:10" x14ac:dyDescent="0.25">
      <c r="A1381" t="s">
        <v>1418</v>
      </c>
      <c r="B1381" s="1">
        <v>45143</v>
      </c>
      <c r="C1381" t="s">
        <v>44</v>
      </c>
      <c r="D1381" t="s">
        <v>18</v>
      </c>
      <c r="E1381">
        <v>8018</v>
      </c>
      <c r="F1381">
        <v>1053</v>
      </c>
      <c r="G1381">
        <v>6965</v>
      </c>
      <c r="H1381" t="s">
        <v>13</v>
      </c>
      <c r="I1381" t="s">
        <v>63</v>
      </c>
      <c r="J1381" t="s">
        <v>24</v>
      </c>
    </row>
    <row r="1382" spans="1:10" x14ac:dyDescent="0.25">
      <c r="A1382" t="s">
        <v>1419</v>
      </c>
      <c r="B1382" s="1">
        <v>45772</v>
      </c>
      <c r="C1382" t="s">
        <v>26</v>
      </c>
      <c r="D1382" t="s">
        <v>12</v>
      </c>
      <c r="E1382">
        <v>30581</v>
      </c>
      <c r="F1382">
        <v>11783</v>
      </c>
      <c r="G1382">
        <v>18798</v>
      </c>
      <c r="H1382" t="s">
        <v>27</v>
      </c>
      <c r="I1382" t="s">
        <v>78</v>
      </c>
      <c r="J1382" t="s">
        <v>24</v>
      </c>
    </row>
    <row r="1383" spans="1:10" x14ac:dyDescent="0.25">
      <c r="A1383" t="s">
        <v>1420</v>
      </c>
      <c r="B1383" s="1">
        <v>45556</v>
      </c>
      <c r="C1383" t="s">
        <v>44</v>
      </c>
      <c r="D1383" t="s">
        <v>41</v>
      </c>
      <c r="E1383">
        <v>29933</v>
      </c>
      <c r="F1383">
        <v>25072</v>
      </c>
      <c r="G1383">
        <v>4861</v>
      </c>
      <c r="H1383" t="s">
        <v>13</v>
      </c>
      <c r="I1383" t="s">
        <v>63</v>
      </c>
      <c r="J1383" t="s">
        <v>29</v>
      </c>
    </row>
    <row r="1384" spans="1:10" x14ac:dyDescent="0.25">
      <c r="A1384" t="s">
        <v>1421</v>
      </c>
      <c r="B1384" s="1">
        <v>46188</v>
      </c>
      <c r="C1384" t="s">
        <v>44</v>
      </c>
      <c r="D1384" t="s">
        <v>36</v>
      </c>
      <c r="E1384">
        <v>9709</v>
      </c>
      <c r="F1384">
        <v>7543</v>
      </c>
      <c r="G1384">
        <v>2166</v>
      </c>
      <c r="H1384" t="s">
        <v>38</v>
      </c>
      <c r="I1384" t="s">
        <v>78</v>
      </c>
      <c r="J1384" t="s">
        <v>24</v>
      </c>
    </row>
    <row r="1385" spans="1:10" x14ac:dyDescent="0.25">
      <c r="A1385" t="s">
        <v>1422</v>
      </c>
      <c r="B1385" s="1">
        <v>46043</v>
      </c>
      <c r="C1385" t="s">
        <v>17</v>
      </c>
      <c r="D1385" t="s">
        <v>41</v>
      </c>
      <c r="E1385">
        <v>15044</v>
      </c>
      <c r="F1385">
        <v>7276</v>
      </c>
      <c r="G1385">
        <v>7768</v>
      </c>
      <c r="H1385" t="s">
        <v>27</v>
      </c>
      <c r="I1385" t="s">
        <v>78</v>
      </c>
      <c r="J1385" t="s">
        <v>53</v>
      </c>
    </row>
    <row r="1386" spans="1:10" x14ac:dyDescent="0.25">
      <c r="A1386" t="s">
        <v>1423</v>
      </c>
      <c r="B1386" s="1">
        <v>46002</v>
      </c>
      <c r="C1386" t="s">
        <v>17</v>
      </c>
      <c r="D1386" t="s">
        <v>12</v>
      </c>
      <c r="E1386">
        <v>13492</v>
      </c>
      <c r="F1386">
        <v>2071</v>
      </c>
      <c r="G1386">
        <v>11421</v>
      </c>
      <c r="H1386" t="s">
        <v>27</v>
      </c>
      <c r="I1386" t="s">
        <v>60</v>
      </c>
      <c r="J1386" t="s">
        <v>53</v>
      </c>
    </row>
    <row r="1387" spans="1:10" x14ac:dyDescent="0.25">
      <c r="A1387" t="s">
        <v>1424</v>
      </c>
      <c r="B1387" s="1">
        <v>45527</v>
      </c>
      <c r="C1387" t="s">
        <v>22</v>
      </c>
      <c r="D1387" t="s">
        <v>36</v>
      </c>
      <c r="E1387">
        <v>14104</v>
      </c>
      <c r="F1387">
        <v>12914</v>
      </c>
      <c r="G1387">
        <v>1190</v>
      </c>
      <c r="H1387" t="s">
        <v>19</v>
      </c>
      <c r="I1387" t="s">
        <v>45</v>
      </c>
      <c r="J1387" t="s">
        <v>53</v>
      </c>
    </row>
    <row r="1388" spans="1:10" x14ac:dyDescent="0.25">
      <c r="A1388" t="s">
        <v>1425</v>
      </c>
      <c r="B1388" s="1">
        <v>45703</v>
      </c>
      <c r="C1388" t="s">
        <v>26</v>
      </c>
      <c r="D1388" t="s">
        <v>41</v>
      </c>
      <c r="E1388">
        <v>48274</v>
      </c>
      <c r="F1388">
        <v>44791</v>
      </c>
      <c r="G1388">
        <v>3483</v>
      </c>
      <c r="H1388" t="s">
        <v>27</v>
      </c>
      <c r="I1388" t="s">
        <v>34</v>
      </c>
      <c r="J1388" t="s">
        <v>29</v>
      </c>
    </row>
    <row r="1389" spans="1:10" x14ac:dyDescent="0.25">
      <c r="A1389" t="s">
        <v>1426</v>
      </c>
      <c r="B1389" s="1">
        <v>45198</v>
      </c>
      <c r="C1389" t="s">
        <v>17</v>
      </c>
      <c r="D1389" t="s">
        <v>12</v>
      </c>
      <c r="E1389">
        <v>29705</v>
      </c>
      <c r="F1389">
        <v>24287</v>
      </c>
      <c r="G1389">
        <v>5418</v>
      </c>
      <c r="H1389" t="s">
        <v>38</v>
      </c>
      <c r="I1389" t="s">
        <v>45</v>
      </c>
      <c r="J1389" t="s">
        <v>15</v>
      </c>
    </row>
    <row r="1390" spans="1:10" x14ac:dyDescent="0.25">
      <c r="A1390" t="s">
        <v>1427</v>
      </c>
      <c r="B1390" s="1">
        <v>45976</v>
      </c>
      <c r="C1390" t="s">
        <v>22</v>
      </c>
      <c r="D1390" t="s">
        <v>12</v>
      </c>
      <c r="E1390">
        <v>43099</v>
      </c>
      <c r="F1390">
        <v>25419</v>
      </c>
      <c r="G1390">
        <v>17680</v>
      </c>
      <c r="H1390" t="s">
        <v>38</v>
      </c>
      <c r="I1390" t="s">
        <v>45</v>
      </c>
      <c r="J1390" t="s">
        <v>24</v>
      </c>
    </row>
    <row r="1391" spans="1:10" x14ac:dyDescent="0.25">
      <c r="A1391" t="s">
        <v>1428</v>
      </c>
      <c r="B1391" s="1">
        <v>45547</v>
      </c>
      <c r="C1391" t="s">
        <v>11</v>
      </c>
      <c r="D1391" t="s">
        <v>41</v>
      </c>
      <c r="E1391">
        <v>39321</v>
      </c>
      <c r="F1391">
        <v>33242</v>
      </c>
      <c r="G1391">
        <v>6079</v>
      </c>
      <c r="H1391" t="s">
        <v>27</v>
      </c>
      <c r="I1391" t="s">
        <v>34</v>
      </c>
      <c r="J1391" t="s">
        <v>53</v>
      </c>
    </row>
    <row r="1392" spans="1:10" x14ac:dyDescent="0.25">
      <c r="A1392" t="s">
        <v>1429</v>
      </c>
      <c r="B1392" s="1">
        <v>45836</v>
      </c>
      <c r="C1392" t="s">
        <v>17</v>
      </c>
      <c r="D1392" t="s">
        <v>18</v>
      </c>
      <c r="E1392">
        <v>26383</v>
      </c>
      <c r="F1392">
        <v>23259</v>
      </c>
      <c r="G1392">
        <v>3124</v>
      </c>
      <c r="H1392" t="s">
        <v>19</v>
      </c>
      <c r="I1392" t="s">
        <v>78</v>
      </c>
      <c r="J1392" t="s">
        <v>24</v>
      </c>
    </row>
    <row r="1393" spans="1:10" x14ac:dyDescent="0.25">
      <c r="A1393" t="s">
        <v>1430</v>
      </c>
      <c r="B1393" s="1">
        <v>45222</v>
      </c>
      <c r="C1393" t="s">
        <v>44</v>
      </c>
      <c r="D1393" t="s">
        <v>12</v>
      </c>
      <c r="E1393">
        <v>31581</v>
      </c>
      <c r="F1393">
        <v>26217</v>
      </c>
      <c r="G1393">
        <v>5364</v>
      </c>
      <c r="H1393" t="s">
        <v>38</v>
      </c>
      <c r="I1393" t="s">
        <v>28</v>
      </c>
      <c r="J1393" t="s">
        <v>24</v>
      </c>
    </row>
    <row r="1394" spans="1:10" x14ac:dyDescent="0.25">
      <c r="A1394" t="s">
        <v>1431</v>
      </c>
      <c r="B1394" s="1">
        <v>45567</v>
      </c>
      <c r="C1394" t="s">
        <v>17</v>
      </c>
      <c r="D1394" t="s">
        <v>18</v>
      </c>
      <c r="E1394">
        <v>38991</v>
      </c>
      <c r="F1394">
        <v>35897</v>
      </c>
      <c r="G1394">
        <v>3094</v>
      </c>
      <c r="H1394" t="s">
        <v>19</v>
      </c>
      <c r="I1394" t="s">
        <v>78</v>
      </c>
      <c r="J1394" t="s">
        <v>29</v>
      </c>
    </row>
    <row r="1395" spans="1:10" x14ac:dyDescent="0.25">
      <c r="A1395" t="s">
        <v>1432</v>
      </c>
      <c r="B1395" s="1">
        <v>45220</v>
      </c>
      <c r="C1395" t="s">
        <v>26</v>
      </c>
      <c r="D1395" t="s">
        <v>18</v>
      </c>
      <c r="E1395">
        <v>46885</v>
      </c>
      <c r="F1395">
        <v>38467</v>
      </c>
      <c r="G1395">
        <v>8418</v>
      </c>
      <c r="H1395" t="s">
        <v>27</v>
      </c>
      <c r="I1395" t="s">
        <v>20</v>
      </c>
      <c r="J1395" t="s">
        <v>15</v>
      </c>
    </row>
    <row r="1396" spans="1:10" x14ac:dyDescent="0.25">
      <c r="A1396" t="s">
        <v>1433</v>
      </c>
      <c r="B1396" s="1">
        <v>45363</v>
      </c>
      <c r="C1396" t="s">
        <v>11</v>
      </c>
      <c r="D1396" t="s">
        <v>18</v>
      </c>
      <c r="E1396">
        <v>32511</v>
      </c>
      <c r="F1396">
        <v>25689</v>
      </c>
      <c r="G1396">
        <v>6822</v>
      </c>
      <c r="H1396" t="s">
        <v>13</v>
      </c>
      <c r="I1396" t="s">
        <v>23</v>
      </c>
      <c r="J1396" t="s">
        <v>24</v>
      </c>
    </row>
    <row r="1397" spans="1:10" x14ac:dyDescent="0.25">
      <c r="A1397" t="s">
        <v>1434</v>
      </c>
      <c r="B1397" s="1">
        <v>45767</v>
      </c>
      <c r="C1397" t="s">
        <v>26</v>
      </c>
      <c r="D1397" t="s">
        <v>33</v>
      </c>
      <c r="E1397">
        <v>32928</v>
      </c>
      <c r="F1397">
        <v>26891</v>
      </c>
      <c r="G1397">
        <v>6037</v>
      </c>
      <c r="H1397" t="s">
        <v>38</v>
      </c>
      <c r="I1397" t="s">
        <v>23</v>
      </c>
      <c r="J1397" t="s">
        <v>15</v>
      </c>
    </row>
    <row r="1398" spans="1:10" x14ac:dyDescent="0.25">
      <c r="A1398" t="s">
        <v>1435</v>
      </c>
      <c r="B1398" s="1">
        <v>45570</v>
      </c>
      <c r="C1398" t="s">
        <v>26</v>
      </c>
      <c r="D1398" t="s">
        <v>12</v>
      </c>
      <c r="E1398">
        <v>25847</v>
      </c>
      <c r="F1398">
        <v>11631</v>
      </c>
      <c r="G1398">
        <v>14216</v>
      </c>
      <c r="H1398" t="s">
        <v>19</v>
      </c>
      <c r="I1398" t="s">
        <v>45</v>
      </c>
      <c r="J1398" t="s">
        <v>42</v>
      </c>
    </row>
    <row r="1399" spans="1:10" x14ac:dyDescent="0.25">
      <c r="A1399" t="s">
        <v>1436</v>
      </c>
      <c r="B1399" s="1">
        <v>45834</v>
      </c>
      <c r="C1399" t="s">
        <v>11</v>
      </c>
      <c r="D1399" t="s">
        <v>33</v>
      </c>
      <c r="E1399">
        <v>17871</v>
      </c>
      <c r="F1399">
        <v>422</v>
      </c>
      <c r="G1399">
        <v>17449</v>
      </c>
      <c r="H1399" t="s">
        <v>13</v>
      </c>
      <c r="I1399" t="s">
        <v>60</v>
      </c>
      <c r="J1399" t="s">
        <v>42</v>
      </c>
    </row>
    <row r="1400" spans="1:10" x14ac:dyDescent="0.25">
      <c r="A1400" t="s">
        <v>1437</v>
      </c>
      <c r="B1400" s="1">
        <v>46198</v>
      </c>
      <c r="C1400" t="s">
        <v>11</v>
      </c>
      <c r="D1400" t="s">
        <v>18</v>
      </c>
      <c r="E1400">
        <v>14351</v>
      </c>
      <c r="F1400">
        <v>3097</v>
      </c>
      <c r="G1400">
        <v>11254</v>
      </c>
      <c r="H1400" t="s">
        <v>19</v>
      </c>
      <c r="I1400" t="s">
        <v>60</v>
      </c>
      <c r="J1400" t="s">
        <v>29</v>
      </c>
    </row>
    <row r="1401" spans="1:10" x14ac:dyDescent="0.25">
      <c r="A1401" t="s">
        <v>1438</v>
      </c>
      <c r="B1401" s="1">
        <v>45616</v>
      </c>
      <c r="C1401" t="s">
        <v>22</v>
      </c>
      <c r="D1401" t="s">
        <v>33</v>
      </c>
      <c r="E1401">
        <v>12166</v>
      </c>
      <c r="F1401">
        <v>1317</v>
      </c>
      <c r="G1401">
        <v>10849</v>
      </c>
      <c r="H1401" t="s">
        <v>38</v>
      </c>
      <c r="I1401" t="s">
        <v>28</v>
      </c>
      <c r="J1401" t="s">
        <v>29</v>
      </c>
    </row>
    <row r="1402" spans="1:10" x14ac:dyDescent="0.25">
      <c r="A1402" t="s">
        <v>1439</v>
      </c>
      <c r="B1402" s="1">
        <v>45993</v>
      </c>
      <c r="C1402" t="s">
        <v>17</v>
      </c>
      <c r="D1402" t="s">
        <v>12</v>
      </c>
      <c r="E1402">
        <v>7887</v>
      </c>
      <c r="F1402">
        <v>850</v>
      </c>
      <c r="G1402">
        <v>7037</v>
      </c>
      <c r="H1402" t="s">
        <v>19</v>
      </c>
      <c r="I1402" t="s">
        <v>20</v>
      </c>
      <c r="J1402" t="s">
        <v>53</v>
      </c>
    </row>
    <row r="1403" spans="1:10" x14ac:dyDescent="0.25">
      <c r="A1403" t="s">
        <v>1440</v>
      </c>
      <c r="B1403" s="1">
        <v>45810</v>
      </c>
      <c r="C1403" t="s">
        <v>44</v>
      </c>
      <c r="D1403" t="s">
        <v>18</v>
      </c>
      <c r="E1403">
        <v>5057</v>
      </c>
      <c r="F1403">
        <v>3939</v>
      </c>
      <c r="G1403">
        <v>1118</v>
      </c>
      <c r="H1403" t="s">
        <v>13</v>
      </c>
      <c r="I1403" t="s">
        <v>23</v>
      </c>
      <c r="J1403" t="s">
        <v>15</v>
      </c>
    </row>
    <row r="1404" spans="1:10" x14ac:dyDescent="0.25">
      <c r="A1404" t="s">
        <v>1441</v>
      </c>
      <c r="B1404" s="1">
        <v>46028</v>
      </c>
      <c r="C1404" t="s">
        <v>17</v>
      </c>
      <c r="D1404" t="s">
        <v>33</v>
      </c>
      <c r="E1404">
        <v>43839</v>
      </c>
      <c r="F1404">
        <v>30241</v>
      </c>
      <c r="G1404">
        <v>13598</v>
      </c>
      <c r="H1404" t="s">
        <v>13</v>
      </c>
      <c r="I1404" t="s">
        <v>23</v>
      </c>
      <c r="J1404" t="s">
        <v>42</v>
      </c>
    </row>
    <row r="1405" spans="1:10" x14ac:dyDescent="0.25">
      <c r="A1405" t="s">
        <v>1442</v>
      </c>
      <c r="B1405" s="1">
        <v>45801</v>
      </c>
      <c r="C1405" t="s">
        <v>26</v>
      </c>
      <c r="D1405" t="s">
        <v>33</v>
      </c>
      <c r="E1405">
        <v>40992</v>
      </c>
      <c r="F1405">
        <v>26917</v>
      </c>
      <c r="G1405">
        <v>14075</v>
      </c>
      <c r="H1405" t="s">
        <v>13</v>
      </c>
      <c r="I1405" t="s">
        <v>45</v>
      </c>
      <c r="J1405" t="s">
        <v>24</v>
      </c>
    </row>
    <row r="1406" spans="1:10" x14ac:dyDescent="0.25">
      <c r="A1406" t="s">
        <v>1443</v>
      </c>
      <c r="B1406" s="1">
        <v>45681</v>
      </c>
      <c r="C1406" t="s">
        <v>44</v>
      </c>
      <c r="D1406" t="s">
        <v>41</v>
      </c>
      <c r="E1406">
        <v>13838</v>
      </c>
      <c r="F1406">
        <v>3300</v>
      </c>
      <c r="G1406">
        <v>10538</v>
      </c>
      <c r="H1406" t="s">
        <v>19</v>
      </c>
      <c r="I1406" t="s">
        <v>14</v>
      </c>
      <c r="J1406" t="s">
        <v>42</v>
      </c>
    </row>
    <row r="1407" spans="1:10" x14ac:dyDescent="0.25">
      <c r="A1407" t="s">
        <v>1444</v>
      </c>
      <c r="B1407" s="1">
        <v>45562</v>
      </c>
      <c r="C1407" t="s">
        <v>11</v>
      </c>
      <c r="D1407" t="s">
        <v>12</v>
      </c>
      <c r="E1407">
        <v>42741</v>
      </c>
      <c r="F1407">
        <v>29887</v>
      </c>
      <c r="G1407">
        <v>12854</v>
      </c>
      <c r="H1407" t="s">
        <v>27</v>
      </c>
      <c r="I1407" t="s">
        <v>34</v>
      </c>
      <c r="J1407" t="s">
        <v>15</v>
      </c>
    </row>
    <row r="1408" spans="1:10" x14ac:dyDescent="0.25">
      <c r="A1408" t="s">
        <v>1445</v>
      </c>
      <c r="B1408" s="1">
        <v>45995</v>
      </c>
      <c r="C1408" t="s">
        <v>22</v>
      </c>
      <c r="D1408" t="s">
        <v>18</v>
      </c>
      <c r="E1408">
        <v>48642</v>
      </c>
      <c r="F1408">
        <v>39785</v>
      </c>
      <c r="G1408">
        <v>8857</v>
      </c>
      <c r="H1408" t="s">
        <v>38</v>
      </c>
      <c r="I1408" t="s">
        <v>23</v>
      </c>
      <c r="J1408" t="s">
        <v>42</v>
      </c>
    </row>
    <row r="1409" spans="1:10" x14ac:dyDescent="0.25">
      <c r="A1409" t="s">
        <v>1446</v>
      </c>
      <c r="B1409" s="1">
        <v>45378</v>
      </c>
      <c r="C1409" t="s">
        <v>22</v>
      </c>
      <c r="D1409" t="s">
        <v>18</v>
      </c>
      <c r="E1409">
        <v>25232</v>
      </c>
      <c r="F1409">
        <v>8380</v>
      </c>
      <c r="G1409">
        <v>16852</v>
      </c>
      <c r="H1409" t="s">
        <v>38</v>
      </c>
      <c r="I1409" t="s">
        <v>28</v>
      </c>
      <c r="J1409" t="s">
        <v>42</v>
      </c>
    </row>
    <row r="1410" spans="1:10" x14ac:dyDescent="0.25">
      <c r="A1410" t="s">
        <v>1447</v>
      </c>
      <c r="B1410" s="1">
        <v>45350</v>
      </c>
      <c r="C1410" t="s">
        <v>17</v>
      </c>
      <c r="D1410" t="s">
        <v>33</v>
      </c>
      <c r="E1410">
        <v>23041</v>
      </c>
      <c r="F1410">
        <v>21354</v>
      </c>
      <c r="G1410">
        <v>1687</v>
      </c>
      <c r="H1410" t="s">
        <v>38</v>
      </c>
      <c r="I1410" t="s">
        <v>23</v>
      </c>
      <c r="J1410" t="s">
        <v>24</v>
      </c>
    </row>
    <row r="1411" spans="1:10" x14ac:dyDescent="0.25">
      <c r="A1411" t="s">
        <v>1448</v>
      </c>
      <c r="B1411" s="1">
        <v>45271</v>
      </c>
      <c r="C1411" t="s">
        <v>22</v>
      </c>
      <c r="D1411" t="s">
        <v>36</v>
      </c>
      <c r="E1411">
        <v>49444</v>
      </c>
      <c r="F1411">
        <v>29793</v>
      </c>
      <c r="G1411">
        <v>19651</v>
      </c>
      <c r="H1411" t="s">
        <v>13</v>
      </c>
      <c r="I1411" t="s">
        <v>60</v>
      </c>
      <c r="J1411" t="s">
        <v>24</v>
      </c>
    </row>
    <row r="1412" spans="1:10" x14ac:dyDescent="0.25">
      <c r="A1412" t="s">
        <v>1449</v>
      </c>
      <c r="B1412" s="1">
        <v>46202</v>
      </c>
      <c r="C1412" t="s">
        <v>44</v>
      </c>
      <c r="D1412" t="s">
        <v>18</v>
      </c>
      <c r="E1412">
        <v>40755</v>
      </c>
      <c r="F1412">
        <v>34053</v>
      </c>
      <c r="G1412">
        <v>6702</v>
      </c>
      <c r="H1412" t="s">
        <v>13</v>
      </c>
      <c r="I1412" t="s">
        <v>14</v>
      </c>
      <c r="J1412" t="s">
        <v>15</v>
      </c>
    </row>
    <row r="1413" spans="1:10" x14ac:dyDescent="0.25">
      <c r="A1413" t="s">
        <v>1450</v>
      </c>
      <c r="B1413" s="1">
        <v>45701</v>
      </c>
      <c r="C1413" t="s">
        <v>11</v>
      </c>
      <c r="D1413" t="s">
        <v>36</v>
      </c>
      <c r="E1413">
        <v>43468</v>
      </c>
      <c r="F1413">
        <v>38209</v>
      </c>
      <c r="G1413">
        <v>5259</v>
      </c>
      <c r="H1413" t="s">
        <v>13</v>
      </c>
      <c r="I1413" t="s">
        <v>31</v>
      </c>
      <c r="J1413" t="s">
        <v>53</v>
      </c>
    </row>
    <row r="1414" spans="1:10" x14ac:dyDescent="0.25">
      <c r="A1414" t="s">
        <v>1451</v>
      </c>
      <c r="B1414" s="1">
        <v>46127</v>
      </c>
      <c r="C1414" t="s">
        <v>44</v>
      </c>
      <c r="D1414" t="s">
        <v>36</v>
      </c>
      <c r="E1414">
        <v>20844</v>
      </c>
      <c r="F1414">
        <v>9935</v>
      </c>
      <c r="G1414">
        <v>10909</v>
      </c>
      <c r="H1414" t="s">
        <v>38</v>
      </c>
      <c r="I1414" t="s">
        <v>45</v>
      </c>
      <c r="J1414" t="s">
        <v>29</v>
      </c>
    </row>
    <row r="1415" spans="1:10" x14ac:dyDescent="0.25">
      <c r="A1415" t="s">
        <v>1452</v>
      </c>
      <c r="B1415" s="1">
        <v>45428</v>
      </c>
      <c r="C1415" t="s">
        <v>22</v>
      </c>
      <c r="D1415" t="s">
        <v>36</v>
      </c>
      <c r="E1415">
        <v>49789</v>
      </c>
      <c r="F1415">
        <v>31253</v>
      </c>
      <c r="G1415">
        <v>18536</v>
      </c>
      <c r="H1415" t="s">
        <v>27</v>
      </c>
      <c r="I1415" t="s">
        <v>34</v>
      </c>
      <c r="J1415" t="s">
        <v>53</v>
      </c>
    </row>
    <row r="1416" spans="1:10" x14ac:dyDescent="0.25">
      <c r="A1416" t="s">
        <v>1453</v>
      </c>
      <c r="B1416" s="1">
        <v>45906</v>
      </c>
      <c r="C1416" t="s">
        <v>11</v>
      </c>
      <c r="D1416" t="s">
        <v>33</v>
      </c>
      <c r="E1416">
        <v>27520</v>
      </c>
      <c r="F1416">
        <v>9657</v>
      </c>
      <c r="G1416">
        <v>17863</v>
      </c>
      <c r="H1416" t="s">
        <v>27</v>
      </c>
      <c r="I1416" t="s">
        <v>23</v>
      </c>
      <c r="J1416" t="s">
        <v>29</v>
      </c>
    </row>
    <row r="1417" spans="1:10" x14ac:dyDescent="0.25">
      <c r="A1417" t="s">
        <v>1454</v>
      </c>
      <c r="B1417" s="1">
        <v>45223</v>
      </c>
      <c r="C1417" t="s">
        <v>17</v>
      </c>
      <c r="D1417" t="s">
        <v>18</v>
      </c>
      <c r="E1417">
        <v>18742</v>
      </c>
      <c r="F1417">
        <v>16851</v>
      </c>
      <c r="G1417">
        <v>1891</v>
      </c>
      <c r="H1417" t="s">
        <v>38</v>
      </c>
      <c r="I1417" t="s">
        <v>14</v>
      </c>
      <c r="J1417" t="s">
        <v>53</v>
      </c>
    </row>
    <row r="1418" spans="1:10" x14ac:dyDescent="0.25">
      <c r="A1418" t="s">
        <v>1455</v>
      </c>
      <c r="B1418" s="1">
        <v>45487</v>
      </c>
      <c r="C1418" t="s">
        <v>11</v>
      </c>
      <c r="D1418" t="s">
        <v>41</v>
      </c>
      <c r="E1418">
        <v>12318</v>
      </c>
      <c r="F1418">
        <v>8117</v>
      </c>
      <c r="G1418">
        <v>4201</v>
      </c>
      <c r="H1418" t="s">
        <v>27</v>
      </c>
      <c r="I1418" t="s">
        <v>45</v>
      </c>
      <c r="J1418" t="s">
        <v>42</v>
      </c>
    </row>
    <row r="1419" spans="1:10" x14ac:dyDescent="0.25">
      <c r="A1419" t="s">
        <v>1456</v>
      </c>
      <c r="B1419" s="1">
        <v>45816</v>
      </c>
      <c r="C1419" t="s">
        <v>17</v>
      </c>
      <c r="D1419" t="s">
        <v>18</v>
      </c>
      <c r="E1419">
        <v>33232</v>
      </c>
      <c r="F1419">
        <v>25126</v>
      </c>
      <c r="G1419">
        <v>8106</v>
      </c>
      <c r="H1419" t="s">
        <v>27</v>
      </c>
      <c r="I1419" t="s">
        <v>34</v>
      </c>
      <c r="J1419" t="s">
        <v>42</v>
      </c>
    </row>
    <row r="1420" spans="1:10" x14ac:dyDescent="0.25">
      <c r="A1420" t="s">
        <v>1457</v>
      </c>
      <c r="B1420" s="1">
        <v>46128</v>
      </c>
      <c r="C1420" t="s">
        <v>44</v>
      </c>
      <c r="D1420" t="s">
        <v>41</v>
      </c>
      <c r="E1420">
        <v>7779</v>
      </c>
      <c r="F1420">
        <v>3750</v>
      </c>
      <c r="G1420">
        <v>4029</v>
      </c>
      <c r="H1420" t="s">
        <v>19</v>
      </c>
      <c r="I1420" t="s">
        <v>34</v>
      </c>
      <c r="J1420" t="s">
        <v>15</v>
      </c>
    </row>
    <row r="1421" spans="1:10" x14ac:dyDescent="0.25">
      <c r="A1421" t="s">
        <v>1458</v>
      </c>
      <c r="B1421" s="1">
        <v>45431</v>
      </c>
      <c r="C1421" t="s">
        <v>17</v>
      </c>
      <c r="D1421" t="s">
        <v>41</v>
      </c>
      <c r="E1421">
        <v>5496</v>
      </c>
      <c r="F1421">
        <v>1401</v>
      </c>
      <c r="G1421">
        <v>4095</v>
      </c>
      <c r="H1421" t="s">
        <v>27</v>
      </c>
      <c r="I1421" t="s">
        <v>23</v>
      </c>
      <c r="J1421" t="s">
        <v>42</v>
      </c>
    </row>
    <row r="1422" spans="1:10" x14ac:dyDescent="0.25">
      <c r="A1422" t="s">
        <v>1459</v>
      </c>
      <c r="B1422" s="1">
        <v>45452</v>
      </c>
      <c r="C1422" t="s">
        <v>11</v>
      </c>
      <c r="D1422" t="s">
        <v>33</v>
      </c>
      <c r="E1422">
        <v>14095</v>
      </c>
      <c r="F1422">
        <v>9107</v>
      </c>
      <c r="G1422">
        <v>4988</v>
      </c>
      <c r="H1422" t="s">
        <v>13</v>
      </c>
      <c r="I1422" t="s">
        <v>20</v>
      </c>
      <c r="J1422" t="s">
        <v>15</v>
      </c>
    </row>
    <row r="1423" spans="1:10" x14ac:dyDescent="0.25">
      <c r="A1423" t="s">
        <v>1460</v>
      </c>
      <c r="B1423" s="1">
        <v>45504</v>
      </c>
      <c r="C1423" t="s">
        <v>11</v>
      </c>
      <c r="D1423" t="s">
        <v>18</v>
      </c>
      <c r="E1423">
        <v>45936</v>
      </c>
      <c r="F1423">
        <v>33549</v>
      </c>
      <c r="G1423">
        <v>12387</v>
      </c>
      <c r="H1423" t="s">
        <v>27</v>
      </c>
      <c r="I1423" t="s">
        <v>45</v>
      </c>
      <c r="J1423" t="s">
        <v>42</v>
      </c>
    </row>
    <row r="1424" spans="1:10" x14ac:dyDescent="0.25">
      <c r="A1424" t="s">
        <v>1461</v>
      </c>
      <c r="B1424" s="1">
        <v>46118</v>
      </c>
      <c r="C1424" t="s">
        <v>17</v>
      </c>
      <c r="D1424" t="s">
        <v>41</v>
      </c>
      <c r="E1424">
        <v>9835</v>
      </c>
      <c r="F1424">
        <v>8356</v>
      </c>
      <c r="G1424">
        <v>1479</v>
      </c>
      <c r="H1424" t="s">
        <v>27</v>
      </c>
      <c r="I1424" t="s">
        <v>63</v>
      </c>
      <c r="J1424" t="s">
        <v>15</v>
      </c>
    </row>
    <row r="1425" spans="1:10" x14ac:dyDescent="0.25">
      <c r="A1425" t="s">
        <v>1462</v>
      </c>
      <c r="B1425" s="1">
        <v>45402</v>
      </c>
      <c r="C1425" t="s">
        <v>26</v>
      </c>
      <c r="D1425" t="s">
        <v>12</v>
      </c>
      <c r="E1425">
        <v>17895</v>
      </c>
      <c r="F1425">
        <v>1010</v>
      </c>
      <c r="G1425">
        <v>16885</v>
      </c>
      <c r="H1425" t="s">
        <v>38</v>
      </c>
      <c r="I1425" t="s">
        <v>31</v>
      </c>
      <c r="J1425" t="s">
        <v>24</v>
      </c>
    </row>
    <row r="1426" spans="1:10" x14ac:dyDescent="0.25">
      <c r="A1426" t="s">
        <v>1463</v>
      </c>
      <c r="B1426" s="1">
        <v>46170</v>
      </c>
      <c r="C1426" t="s">
        <v>26</v>
      </c>
      <c r="D1426" t="s">
        <v>33</v>
      </c>
      <c r="E1426">
        <v>27864</v>
      </c>
      <c r="F1426">
        <v>23822</v>
      </c>
      <c r="G1426">
        <v>4042</v>
      </c>
      <c r="H1426" t="s">
        <v>38</v>
      </c>
      <c r="I1426" t="s">
        <v>34</v>
      </c>
      <c r="J1426" t="s">
        <v>29</v>
      </c>
    </row>
    <row r="1427" spans="1:10" x14ac:dyDescent="0.25">
      <c r="A1427" t="s">
        <v>1464</v>
      </c>
      <c r="B1427" s="1">
        <v>45424</v>
      </c>
      <c r="C1427" t="s">
        <v>11</v>
      </c>
      <c r="D1427" t="s">
        <v>33</v>
      </c>
      <c r="E1427">
        <v>12575</v>
      </c>
      <c r="F1427">
        <v>797</v>
      </c>
      <c r="G1427">
        <v>11778</v>
      </c>
      <c r="H1427" t="s">
        <v>19</v>
      </c>
      <c r="I1427" t="s">
        <v>20</v>
      </c>
      <c r="J1427" t="s">
        <v>24</v>
      </c>
    </row>
    <row r="1428" spans="1:10" x14ac:dyDescent="0.25">
      <c r="A1428" t="s">
        <v>1465</v>
      </c>
      <c r="B1428" s="1">
        <v>45844</v>
      </c>
      <c r="C1428" t="s">
        <v>11</v>
      </c>
      <c r="D1428" t="s">
        <v>41</v>
      </c>
      <c r="E1428">
        <v>27429</v>
      </c>
      <c r="F1428">
        <v>8895</v>
      </c>
      <c r="G1428">
        <v>18534</v>
      </c>
      <c r="H1428" t="s">
        <v>13</v>
      </c>
      <c r="I1428" t="s">
        <v>31</v>
      </c>
      <c r="J1428" t="s">
        <v>29</v>
      </c>
    </row>
    <row r="1429" spans="1:10" x14ac:dyDescent="0.25">
      <c r="A1429" t="s">
        <v>1466</v>
      </c>
      <c r="B1429" s="1">
        <v>45798</v>
      </c>
      <c r="C1429" t="s">
        <v>17</v>
      </c>
      <c r="D1429" t="s">
        <v>18</v>
      </c>
      <c r="E1429">
        <v>7534</v>
      </c>
      <c r="F1429">
        <v>2757</v>
      </c>
      <c r="G1429">
        <v>4777</v>
      </c>
      <c r="H1429" t="s">
        <v>19</v>
      </c>
      <c r="I1429" t="s">
        <v>34</v>
      </c>
      <c r="J1429" t="s">
        <v>29</v>
      </c>
    </row>
    <row r="1430" spans="1:10" x14ac:dyDescent="0.25">
      <c r="A1430" t="s">
        <v>1467</v>
      </c>
      <c r="B1430" s="1">
        <v>45573</v>
      </c>
      <c r="C1430" t="s">
        <v>44</v>
      </c>
      <c r="D1430" t="s">
        <v>12</v>
      </c>
      <c r="E1430">
        <v>41762</v>
      </c>
      <c r="F1430">
        <v>30876</v>
      </c>
      <c r="G1430">
        <v>10886</v>
      </c>
      <c r="H1430" t="s">
        <v>38</v>
      </c>
      <c r="I1430" t="s">
        <v>28</v>
      </c>
      <c r="J1430" t="s">
        <v>53</v>
      </c>
    </row>
    <row r="1431" spans="1:10" x14ac:dyDescent="0.25">
      <c r="A1431" t="s">
        <v>1468</v>
      </c>
      <c r="B1431" s="1">
        <v>45313</v>
      </c>
      <c r="C1431" t="s">
        <v>11</v>
      </c>
      <c r="D1431" t="s">
        <v>41</v>
      </c>
      <c r="E1431">
        <v>20493</v>
      </c>
      <c r="F1431">
        <v>10100</v>
      </c>
      <c r="G1431">
        <v>10393</v>
      </c>
      <c r="H1431" t="s">
        <v>27</v>
      </c>
      <c r="I1431" t="s">
        <v>34</v>
      </c>
      <c r="J1431" t="s">
        <v>15</v>
      </c>
    </row>
    <row r="1432" spans="1:10" x14ac:dyDescent="0.25">
      <c r="A1432" t="s">
        <v>1469</v>
      </c>
      <c r="B1432" s="1">
        <v>46146</v>
      </c>
      <c r="C1432" t="s">
        <v>22</v>
      </c>
      <c r="D1432" t="s">
        <v>12</v>
      </c>
      <c r="E1432">
        <v>9971</v>
      </c>
      <c r="F1432">
        <v>7843</v>
      </c>
      <c r="G1432">
        <v>2128</v>
      </c>
      <c r="H1432" t="s">
        <v>38</v>
      </c>
      <c r="I1432" t="s">
        <v>14</v>
      </c>
      <c r="J1432" t="s">
        <v>15</v>
      </c>
    </row>
    <row r="1433" spans="1:10" x14ac:dyDescent="0.25">
      <c r="A1433" t="s">
        <v>1470</v>
      </c>
      <c r="B1433" s="1">
        <v>45641</v>
      </c>
      <c r="C1433" t="s">
        <v>17</v>
      </c>
      <c r="D1433" t="s">
        <v>36</v>
      </c>
      <c r="E1433">
        <v>28207</v>
      </c>
      <c r="F1433">
        <v>10177</v>
      </c>
      <c r="G1433">
        <v>18030</v>
      </c>
      <c r="H1433" t="s">
        <v>19</v>
      </c>
      <c r="I1433" t="s">
        <v>20</v>
      </c>
      <c r="J1433" t="s">
        <v>24</v>
      </c>
    </row>
    <row r="1434" spans="1:10" x14ac:dyDescent="0.25">
      <c r="A1434" t="s">
        <v>1471</v>
      </c>
      <c r="B1434" s="1">
        <v>45702</v>
      </c>
      <c r="C1434" t="s">
        <v>17</v>
      </c>
      <c r="D1434" t="s">
        <v>12</v>
      </c>
      <c r="E1434">
        <v>11630</v>
      </c>
      <c r="F1434">
        <v>11115</v>
      </c>
      <c r="G1434">
        <v>515</v>
      </c>
      <c r="H1434" t="s">
        <v>27</v>
      </c>
      <c r="I1434" t="s">
        <v>31</v>
      </c>
      <c r="J1434" t="s">
        <v>53</v>
      </c>
    </row>
    <row r="1435" spans="1:10" x14ac:dyDescent="0.25">
      <c r="A1435" t="s">
        <v>1472</v>
      </c>
      <c r="B1435" s="1">
        <v>45150</v>
      </c>
      <c r="C1435" t="s">
        <v>26</v>
      </c>
      <c r="D1435" t="s">
        <v>33</v>
      </c>
      <c r="E1435">
        <v>35439</v>
      </c>
      <c r="F1435">
        <v>24875</v>
      </c>
      <c r="G1435">
        <v>10564</v>
      </c>
      <c r="H1435" t="s">
        <v>27</v>
      </c>
      <c r="I1435" t="s">
        <v>45</v>
      </c>
      <c r="J1435" t="s">
        <v>42</v>
      </c>
    </row>
    <row r="1436" spans="1:10" x14ac:dyDescent="0.25">
      <c r="A1436" t="s">
        <v>1473</v>
      </c>
      <c r="B1436" s="1">
        <v>45184</v>
      </c>
      <c r="C1436" t="s">
        <v>11</v>
      </c>
      <c r="D1436" t="s">
        <v>41</v>
      </c>
      <c r="E1436">
        <v>35260</v>
      </c>
      <c r="F1436">
        <v>28996</v>
      </c>
      <c r="G1436">
        <v>6264</v>
      </c>
      <c r="H1436" t="s">
        <v>27</v>
      </c>
      <c r="I1436" t="s">
        <v>31</v>
      </c>
      <c r="J1436" t="s">
        <v>29</v>
      </c>
    </row>
    <row r="1437" spans="1:10" x14ac:dyDescent="0.25">
      <c r="A1437" t="s">
        <v>1474</v>
      </c>
      <c r="B1437" s="1">
        <v>46111</v>
      </c>
      <c r="C1437" t="s">
        <v>11</v>
      </c>
      <c r="D1437" t="s">
        <v>12</v>
      </c>
      <c r="E1437">
        <v>15174</v>
      </c>
      <c r="F1437">
        <v>753</v>
      </c>
      <c r="G1437">
        <v>14421</v>
      </c>
      <c r="H1437" t="s">
        <v>19</v>
      </c>
      <c r="I1437" t="s">
        <v>28</v>
      </c>
      <c r="J1437" t="s">
        <v>42</v>
      </c>
    </row>
    <row r="1438" spans="1:10" x14ac:dyDescent="0.25">
      <c r="A1438" t="s">
        <v>1475</v>
      </c>
      <c r="B1438" s="1">
        <v>46054</v>
      </c>
      <c r="C1438" t="s">
        <v>17</v>
      </c>
      <c r="D1438" t="s">
        <v>18</v>
      </c>
      <c r="E1438">
        <v>38541</v>
      </c>
      <c r="F1438">
        <v>36623</v>
      </c>
      <c r="G1438">
        <v>1918</v>
      </c>
      <c r="H1438" t="s">
        <v>19</v>
      </c>
      <c r="I1438" t="s">
        <v>63</v>
      </c>
      <c r="J1438" t="s">
        <v>15</v>
      </c>
    </row>
    <row r="1439" spans="1:10" x14ac:dyDescent="0.25">
      <c r="A1439" t="s">
        <v>1476</v>
      </c>
      <c r="B1439" s="1">
        <v>45670</v>
      </c>
      <c r="C1439" t="s">
        <v>26</v>
      </c>
      <c r="D1439" t="s">
        <v>12</v>
      </c>
      <c r="E1439">
        <v>45731</v>
      </c>
      <c r="F1439">
        <v>29370</v>
      </c>
      <c r="G1439">
        <v>16361</v>
      </c>
      <c r="H1439" t="s">
        <v>38</v>
      </c>
      <c r="I1439" t="s">
        <v>28</v>
      </c>
      <c r="J1439" t="s">
        <v>24</v>
      </c>
    </row>
    <row r="1440" spans="1:10" x14ac:dyDescent="0.25">
      <c r="A1440" t="s">
        <v>1477</v>
      </c>
      <c r="B1440" s="1">
        <v>45248</v>
      </c>
      <c r="C1440" t="s">
        <v>17</v>
      </c>
      <c r="D1440" t="s">
        <v>41</v>
      </c>
      <c r="E1440">
        <v>30864</v>
      </c>
      <c r="F1440">
        <v>20871</v>
      </c>
      <c r="G1440">
        <v>9993</v>
      </c>
      <c r="H1440" t="s">
        <v>38</v>
      </c>
      <c r="I1440" t="s">
        <v>63</v>
      </c>
      <c r="J1440" t="s">
        <v>29</v>
      </c>
    </row>
    <row r="1441" spans="1:10" x14ac:dyDescent="0.25">
      <c r="A1441" t="s">
        <v>1478</v>
      </c>
      <c r="B1441" s="1">
        <v>45851</v>
      </c>
      <c r="C1441" t="s">
        <v>11</v>
      </c>
      <c r="D1441" t="s">
        <v>41</v>
      </c>
      <c r="E1441">
        <v>33972</v>
      </c>
      <c r="F1441">
        <v>15686</v>
      </c>
      <c r="G1441">
        <v>18286</v>
      </c>
      <c r="H1441" t="s">
        <v>19</v>
      </c>
      <c r="I1441" t="s">
        <v>23</v>
      </c>
      <c r="J1441" t="s">
        <v>24</v>
      </c>
    </row>
    <row r="1442" spans="1:10" x14ac:dyDescent="0.25">
      <c r="A1442" t="s">
        <v>1479</v>
      </c>
      <c r="B1442" s="1">
        <v>45401</v>
      </c>
      <c r="C1442" t="s">
        <v>11</v>
      </c>
      <c r="D1442" t="s">
        <v>12</v>
      </c>
      <c r="E1442">
        <v>47178</v>
      </c>
      <c r="F1442">
        <v>40547</v>
      </c>
      <c r="G1442">
        <v>6631</v>
      </c>
      <c r="H1442" t="s">
        <v>19</v>
      </c>
      <c r="I1442" t="s">
        <v>60</v>
      </c>
      <c r="J1442" t="s">
        <v>15</v>
      </c>
    </row>
    <row r="1443" spans="1:10" x14ac:dyDescent="0.25">
      <c r="A1443" t="s">
        <v>1480</v>
      </c>
      <c r="B1443" s="1">
        <v>45805</v>
      </c>
      <c r="C1443" t="s">
        <v>17</v>
      </c>
      <c r="D1443" t="s">
        <v>36</v>
      </c>
      <c r="E1443">
        <v>47138</v>
      </c>
      <c r="F1443">
        <v>44337</v>
      </c>
      <c r="G1443">
        <v>2801</v>
      </c>
      <c r="H1443" t="s">
        <v>27</v>
      </c>
      <c r="I1443" t="s">
        <v>63</v>
      </c>
      <c r="J1443" t="s">
        <v>29</v>
      </c>
    </row>
    <row r="1444" spans="1:10" x14ac:dyDescent="0.25">
      <c r="A1444" t="s">
        <v>1481</v>
      </c>
      <c r="B1444" s="1">
        <v>45875</v>
      </c>
      <c r="C1444" t="s">
        <v>26</v>
      </c>
      <c r="D1444" t="s">
        <v>33</v>
      </c>
      <c r="E1444">
        <v>36674</v>
      </c>
      <c r="F1444">
        <v>33377</v>
      </c>
      <c r="G1444">
        <v>3297</v>
      </c>
      <c r="H1444" t="s">
        <v>19</v>
      </c>
      <c r="I1444" t="s">
        <v>31</v>
      </c>
      <c r="J1444" t="s">
        <v>15</v>
      </c>
    </row>
    <row r="1445" spans="1:10" x14ac:dyDescent="0.25">
      <c r="A1445" t="s">
        <v>1482</v>
      </c>
      <c r="B1445" s="1">
        <v>45653</v>
      </c>
      <c r="C1445" t="s">
        <v>26</v>
      </c>
      <c r="D1445" t="s">
        <v>12</v>
      </c>
      <c r="E1445">
        <v>16561</v>
      </c>
      <c r="F1445">
        <v>6578</v>
      </c>
      <c r="G1445">
        <v>9983</v>
      </c>
      <c r="H1445" t="s">
        <v>19</v>
      </c>
      <c r="I1445" t="s">
        <v>60</v>
      </c>
      <c r="J1445" t="s">
        <v>15</v>
      </c>
    </row>
    <row r="1446" spans="1:10" x14ac:dyDescent="0.25">
      <c r="A1446" t="s">
        <v>1483</v>
      </c>
      <c r="B1446" s="1">
        <v>46065</v>
      </c>
      <c r="C1446" t="s">
        <v>26</v>
      </c>
      <c r="D1446" t="s">
        <v>18</v>
      </c>
      <c r="E1446">
        <v>10801</v>
      </c>
      <c r="F1446">
        <v>4872</v>
      </c>
      <c r="G1446">
        <v>5929</v>
      </c>
      <c r="H1446" t="s">
        <v>13</v>
      </c>
      <c r="I1446" t="s">
        <v>20</v>
      </c>
      <c r="J1446" t="s">
        <v>15</v>
      </c>
    </row>
    <row r="1447" spans="1:10" x14ac:dyDescent="0.25">
      <c r="A1447" t="s">
        <v>1484</v>
      </c>
      <c r="B1447" s="1">
        <v>46003</v>
      </c>
      <c r="C1447" t="s">
        <v>17</v>
      </c>
      <c r="D1447" t="s">
        <v>41</v>
      </c>
      <c r="E1447">
        <v>49786</v>
      </c>
      <c r="F1447">
        <v>38144</v>
      </c>
      <c r="G1447">
        <v>11642</v>
      </c>
      <c r="H1447" t="s">
        <v>38</v>
      </c>
      <c r="I1447" t="s">
        <v>63</v>
      </c>
      <c r="J1447" t="s">
        <v>24</v>
      </c>
    </row>
    <row r="1448" spans="1:10" x14ac:dyDescent="0.25">
      <c r="A1448" t="s">
        <v>1485</v>
      </c>
      <c r="B1448" s="1">
        <v>45290</v>
      </c>
      <c r="C1448" t="s">
        <v>11</v>
      </c>
      <c r="D1448" t="s">
        <v>41</v>
      </c>
      <c r="E1448">
        <v>7498</v>
      </c>
      <c r="F1448">
        <v>2756</v>
      </c>
      <c r="G1448">
        <v>4742</v>
      </c>
      <c r="H1448" t="s">
        <v>27</v>
      </c>
      <c r="I1448" t="s">
        <v>45</v>
      </c>
      <c r="J1448" t="s">
        <v>15</v>
      </c>
    </row>
    <row r="1449" spans="1:10" x14ac:dyDescent="0.25">
      <c r="A1449" t="s">
        <v>1486</v>
      </c>
      <c r="B1449" s="1">
        <v>46198</v>
      </c>
      <c r="C1449" t="s">
        <v>11</v>
      </c>
      <c r="D1449" t="s">
        <v>36</v>
      </c>
      <c r="E1449">
        <v>48991</v>
      </c>
      <c r="F1449">
        <v>38572</v>
      </c>
      <c r="G1449">
        <v>10419</v>
      </c>
      <c r="H1449" t="s">
        <v>27</v>
      </c>
      <c r="I1449" t="s">
        <v>34</v>
      </c>
      <c r="J1449" t="s">
        <v>24</v>
      </c>
    </row>
    <row r="1450" spans="1:10" x14ac:dyDescent="0.25">
      <c r="A1450" t="s">
        <v>1487</v>
      </c>
      <c r="B1450" s="1">
        <v>45563</v>
      </c>
      <c r="C1450" t="s">
        <v>44</v>
      </c>
      <c r="D1450" t="s">
        <v>41</v>
      </c>
      <c r="E1450">
        <v>35000</v>
      </c>
      <c r="F1450">
        <v>30298</v>
      </c>
      <c r="G1450">
        <v>4702</v>
      </c>
      <c r="H1450" t="s">
        <v>13</v>
      </c>
      <c r="I1450" t="s">
        <v>63</v>
      </c>
      <c r="J1450" t="s">
        <v>24</v>
      </c>
    </row>
    <row r="1451" spans="1:10" x14ac:dyDescent="0.25">
      <c r="A1451" t="s">
        <v>1488</v>
      </c>
      <c r="B1451" s="1">
        <v>45967</v>
      </c>
      <c r="C1451" t="s">
        <v>17</v>
      </c>
      <c r="D1451" t="s">
        <v>36</v>
      </c>
      <c r="E1451">
        <v>46235</v>
      </c>
      <c r="F1451">
        <v>42408</v>
      </c>
      <c r="G1451">
        <v>3827</v>
      </c>
      <c r="H1451" t="s">
        <v>13</v>
      </c>
      <c r="I1451" t="s">
        <v>45</v>
      </c>
      <c r="J1451" t="s">
        <v>15</v>
      </c>
    </row>
    <row r="1452" spans="1:10" x14ac:dyDescent="0.25">
      <c r="A1452" t="s">
        <v>1489</v>
      </c>
      <c r="B1452" s="1">
        <v>45666</v>
      </c>
      <c r="C1452" t="s">
        <v>44</v>
      </c>
      <c r="D1452" t="s">
        <v>36</v>
      </c>
      <c r="E1452">
        <v>41960</v>
      </c>
      <c r="F1452">
        <v>24747</v>
      </c>
      <c r="G1452">
        <v>17213</v>
      </c>
      <c r="H1452" t="s">
        <v>13</v>
      </c>
      <c r="I1452" t="s">
        <v>20</v>
      </c>
      <c r="J1452" t="s">
        <v>53</v>
      </c>
    </row>
    <row r="1453" spans="1:10" x14ac:dyDescent="0.25">
      <c r="A1453" t="s">
        <v>1490</v>
      </c>
      <c r="B1453" s="1">
        <v>45312</v>
      </c>
      <c r="C1453" t="s">
        <v>22</v>
      </c>
      <c r="D1453" t="s">
        <v>18</v>
      </c>
      <c r="E1453">
        <v>49910</v>
      </c>
      <c r="F1453">
        <v>44940</v>
      </c>
      <c r="G1453">
        <v>4970</v>
      </c>
      <c r="H1453" t="s">
        <v>13</v>
      </c>
      <c r="I1453" t="s">
        <v>63</v>
      </c>
      <c r="J1453" t="s">
        <v>29</v>
      </c>
    </row>
    <row r="1454" spans="1:10" x14ac:dyDescent="0.25">
      <c r="A1454" t="s">
        <v>1491</v>
      </c>
      <c r="B1454" s="1">
        <v>45287</v>
      </c>
      <c r="C1454" t="s">
        <v>26</v>
      </c>
      <c r="D1454" t="s">
        <v>12</v>
      </c>
      <c r="E1454">
        <v>19044</v>
      </c>
      <c r="F1454">
        <v>2969</v>
      </c>
      <c r="G1454">
        <v>16075</v>
      </c>
      <c r="H1454" t="s">
        <v>38</v>
      </c>
      <c r="I1454" t="s">
        <v>20</v>
      </c>
      <c r="J1454" t="s">
        <v>24</v>
      </c>
    </row>
    <row r="1455" spans="1:10" x14ac:dyDescent="0.25">
      <c r="A1455" t="s">
        <v>1492</v>
      </c>
      <c r="B1455" s="1">
        <v>45721</v>
      </c>
      <c r="C1455" t="s">
        <v>22</v>
      </c>
      <c r="D1455" t="s">
        <v>36</v>
      </c>
      <c r="E1455">
        <v>5691</v>
      </c>
      <c r="F1455">
        <v>3823</v>
      </c>
      <c r="G1455">
        <v>1868</v>
      </c>
      <c r="H1455" t="s">
        <v>19</v>
      </c>
      <c r="I1455" t="s">
        <v>60</v>
      </c>
      <c r="J1455" t="s">
        <v>29</v>
      </c>
    </row>
    <row r="1456" spans="1:10" x14ac:dyDescent="0.25">
      <c r="A1456" t="s">
        <v>1493</v>
      </c>
      <c r="B1456" s="1">
        <v>45257</v>
      </c>
      <c r="C1456" t="s">
        <v>11</v>
      </c>
      <c r="D1456" t="s">
        <v>33</v>
      </c>
      <c r="E1456">
        <v>32443</v>
      </c>
      <c r="F1456">
        <v>24397</v>
      </c>
      <c r="G1456">
        <v>8046</v>
      </c>
      <c r="H1456" t="s">
        <v>38</v>
      </c>
      <c r="I1456" t="s">
        <v>14</v>
      </c>
      <c r="J1456" t="s">
        <v>53</v>
      </c>
    </row>
    <row r="1457" spans="1:10" x14ac:dyDescent="0.25">
      <c r="A1457" t="s">
        <v>1494</v>
      </c>
      <c r="B1457" s="1">
        <v>46140</v>
      </c>
      <c r="C1457" t="s">
        <v>22</v>
      </c>
      <c r="D1457" t="s">
        <v>36</v>
      </c>
      <c r="E1457">
        <v>39449</v>
      </c>
      <c r="F1457">
        <v>27239</v>
      </c>
      <c r="G1457">
        <v>12210</v>
      </c>
      <c r="H1457" t="s">
        <v>13</v>
      </c>
      <c r="I1457" t="s">
        <v>14</v>
      </c>
      <c r="J1457" t="s">
        <v>53</v>
      </c>
    </row>
    <row r="1458" spans="1:10" x14ac:dyDescent="0.25">
      <c r="A1458" t="s">
        <v>1495</v>
      </c>
      <c r="B1458" s="1">
        <v>45745</v>
      </c>
      <c r="C1458" t="s">
        <v>17</v>
      </c>
      <c r="D1458" t="s">
        <v>36</v>
      </c>
      <c r="E1458">
        <v>29015</v>
      </c>
      <c r="F1458">
        <v>13520</v>
      </c>
      <c r="G1458">
        <v>15495</v>
      </c>
      <c r="H1458" t="s">
        <v>27</v>
      </c>
      <c r="I1458" t="s">
        <v>45</v>
      </c>
      <c r="J1458" t="s">
        <v>24</v>
      </c>
    </row>
    <row r="1459" spans="1:10" x14ac:dyDescent="0.25">
      <c r="A1459" t="s">
        <v>1496</v>
      </c>
      <c r="B1459" s="1">
        <v>45705</v>
      </c>
      <c r="C1459" t="s">
        <v>44</v>
      </c>
      <c r="D1459" t="s">
        <v>18</v>
      </c>
      <c r="E1459">
        <v>6129</v>
      </c>
      <c r="F1459">
        <v>4417</v>
      </c>
      <c r="G1459">
        <v>1712</v>
      </c>
      <c r="H1459" t="s">
        <v>38</v>
      </c>
      <c r="I1459" t="s">
        <v>60</v>
      </c>
      <c r="J1459" t="s">
        <v>53</v>
      </c>
    </row>
    <row r="1460" spans="1:10" x14ac:dyDescent="0.25">
      <c r="A1460" t="s">
        <v>1497</v>
      </c>
      <c r="B1460" s="1">
        <v>45202</v>
      </c>
      <c r="C1460" t="s">
        <v>22</v>
      </c>
      <c r="D1460" t="s">
        <v>18</v>
      </c>
      <c r="E1460">
        <v>45950</v>
      </c>
      <c r="F1460">
        <v>27685</v>
      </c>
      <c r="G1460">
        <v>18265</v>
      </c>
      <c r="H1460" t="s">
        <v>27</v>
      </c>
      <c r="I1460" t="s">
        <v>60</v>
      </c>
      <c r="J1460" t="s">
        <v>29</v>
      </c>
    </row>
    <row r="1461" spans="1:10" x14ac:dyDescent="0.25">
      <c r="A1461" t="s">
        <v>1498</v>
      </c>
      <c r="B1461" s="1">
        <v>45750</v>
      </c>
      <c r="C1461" t="s">
        <v>22</v>
      </c>
      <c r="D1461" t="s">
        <v>12</v>
      </c>
      <c r="E1461">
        <v>21031</v>
      </c>
      <c r="F1461">
        <v>13154</v>
      </c>
      <c r="G1461">
        <v>7877</v>
      </c>
      <c r="H1461" t="s">
        <v>19</v>
      </c>
      <c r="I1461" t="s">
        <v>45</v>
      </c>
      <c r="J1461" t="s">
        <v>24</v>
      </c>
    </row>
    <row r="1462" spans="1:10" x14ac:dyDescent="0.25">
      <c r="A1462" t="s">
        <v>1499</v>
      </c>
      <c r="B1462" s="1">
        <v>46091</v>
      </c>
      <c r="C1462" t="s">
        <v>44</v>
      </c>
      <c r="D1462" t="s">
        <v>41</v>
      </c>
      <c r="E1462">
        <v>6352</v>
      </c>
      <c r="F1462">
        <v>5379</v>
      </c>
      <c r="G1462">
        <v>973</v>
      </c>
      <c r="H1462" t="s">
        <v>38</v>
      </c>
      <c r="I1462" t="s">
        <v>60</v>
      </c>
      <c r="J1462" t="s">
        <v>42</v>
      </c>
    </row>
    <row r="1463" spans="1:10" x14ac:dyDescent="0.25">
      <c r="A1463" t="s">
        <v>1500</v>
      </c>
      <c r="B1463" s="1">
        <v>45307</v>
      </c>
      <c r="C1463" t="s">
        <v>26</v>
      </c>
      <c r="D1463" t="s">
        <v>36</v>
      </c>
      <c r="E1463">
        <v>32715</v>
      </c>
      <c r="F1463">
        <v>22711</v>
      </c>
      <c r="G1463">
        <v>10004</v>
      </c>
      <c r="H1463" t="s">
        <v>13</v>
      </c>
      <c r="I1463" t="s">
        <v>23</v>
      </c>
      <c r="J1463" t="s">
        <v>24</v>
      </c>
    </row>
    <row r="1464" spans="1:10" x14ac:dyDescent="0.25">
      <c r="A1464" t="s">
        <v>1501</v>
      </c>
      <c r="B1464" s="1">
        <v>45763</v>
      </c>
      <c r="C1464" t="s">
        <v>26</v>
      </c>
      <c r="D1464" t="s">
        <v>41</v>
      </c>
      <c r="E1464">
        <v>36475</v>
      </c>
      <c r="F1464">
        <v>31941</v>
      </c>
      <c r="G1464">
        <v>4534</v>
      </c>
      <c r="H1464" t="s">
        <v>38</v>
      </c>
      <c r="I1464" t="s">
        <v>34</v>
      </c>
      <c r="J1464" t="s">
        <v>29</v>
      </c>
    </row>
    <row r="1465" spans="1:10" x14ac:dyDescent="0.25">
      <c r="A1465" t="s">
        <v>1502</v>
      </c>
      <c r="B1465" s="1">
        <v>45341</v>
      </c>
      <c r="C1465" t="s">
        <v>44</v>
      </c>
      <c r="D1465" t="s">
        <v>12</v>
      </c>
      <c r="E1465">
        <v>35509</v>
      </c>
      <c r="F1465">
        <v>22150</v>
      </c>
      <c r="G1465">
        <v>13359</v>
      </c>
      <c r="H1465" t="s">
        <v>13</v>
      </c>
      <c r="I1465" t="s">
        <v>78</v>
      </c>
      <c r="J1465" t="s">
        <v>24</v>
      </c>
    </row>
    <row r="1466" spans="1:10" x14ac:dyDescent="0.25">
      <c r="A1466" t="s">
        <v>1503</v>
      </c>
      <c r="B1466" s="1">
        <v>45864</v>
      </c>
      <c r="C1466" t="s">
        <v>11</v>
      </c>
      <c r="D1466" t="s">
        <v>41</v>
      </c>
      <c r="E1466">
        <v>30905</v>
      </c>
      <c r="F1466">
        <v>23041</v>
      </c>
      <c r="G1466">
        <v>7864</v>
      </c>
      <c r="H1466" t="s">
        <v>27</v>
      </c>
      <c r="I1466" t="s">
        <v>45</v>
      </c>
      <c r="J1466" t="s">
        <v>24</v>
      </c>
    </row>
    <row r="1467" spans="1:10" x14ac:dyDescent="0.25">
      <c r="A1467" t="s">
        <v>1504</v>
      </c>
      <c r="B1467" s="1">
        <v>45121</v>
      </c>
      <c r="C1467" t="s">
        <v>11</v>
      </c>
      <c r="D1467" t="s">
        <v>33</v>
      </c>
      <c r="E1467">
        <v>21307</v>
      </c>
      <c r="F1467">
        <v>9518</v>
      </c>
      <c r="G1467">
        <v>11789</v>
      </c>
      <c r="H1467" t="s">
        <v>38</v>
      </c>
      <c r="I1467" t="s">
        <v>34</v>
      </c>
      <c r="J1467" t="s">
        <v>15</v>
      </c>
    </row>
    <row r="1468" spans="1:10" x14ac:dyDescent="0.25">
      <c r="A1468" t="s">
        <v>1505</v>
      </c>
      <c r="B1468" s="1">
        <v>45955</v>
      </c>
      <c r="C1468" t="s">
        <v>26</v>
      </c>
      <c r="D1468" t="s">
        <v>36</v>
      </c>
      <c r="E1468">
        <v>29445</v>
      </c>
      <c r="F1468">
        <v>22430</v>
      </c>
      <c r="G1468">
        <v>7015</v>
      </c>
      <c r="H1468" t="s">
        <v>19</v>
      </c>
      <c r="I1468" t="s">
        <v>28</v>
      </c>
      <c r="J1468" t="s">
        <v>42</v>
      </c>
    </row>
    <row r="1469" spans="1:10" x14ac:dyDescent="0.25">
      <c r="A1469" t="s">
        <v>1506</v>
      </c>
      <c r="B1469" s="1">
        <v>45121</v>
      </c>
      <c r="C1469" t="s">
        <v>26</v>
      </c>
      <c r="D1469" t="s">
        <v>12</v>
      </c>
      <c r="E1469">
        <v>48155</v>
      </c>
      <c r="F1469">
        <v>34747</v>
      </c>
      <c r="G1469">
        <v>13408</v>
      </c>
      <c r="H1469" t="s">
        <v>19</v>
      </c>
      <c r="I1469" t="s">
        <v>60</v>
      </c>
      <c r="J1469" t="s">
        <v>53</v>
      </c>
    </row>
    <row r="1470" spans="1:10" x14ac:dyDescent="0.25">
      <c r="A1470" t="s">
        <v>1507</v>
      </c>
      <c r="B1470" s="1">
        <v>45581</v>
      </c>
      <c r="C1470" t="s">
        <v>44</v>
      </c>
      <c r="D1470" t="s">
        <v>36</v>
      </c>
      <c r="E1470">
        <v>21657</v>
      </c>
      <c r="F1470">
        <v>12165</v>
      </c>
      <c r="G1470">
        <v>9492</v>
      </c>
      <c r="H1470" t="s">
        <v>27</v>
      </c>
      <c r="I1470" t="s">
        <v>45</v>
      </c>
      <c r="J1470" t="s">
        <v>29</v>
      </c>
    </row>
    <row r="1471" spans="1:10" x14ac:dyDescent="0.25">
      <c r="A1471" t="s">
        <v>1508</v>
      </c>
      <c r="B1471" s="1">
        <v>45826</v>
      </c>
      <c r="C1471" t="s">
        <v>17</v>
      </c>
      <c r="D1471" t="s">
        <v>12</v>
      </c>
      <c r="E1471">
        <v>20674</v>
      </c>
      <c r="F1471">
        <v>776</v>
      </c>
      <c r="G1471">
        <v>19898</v>
      </c>
      <c r="H1471" t="s">
        <v>27</v>
      </c>
      <c r="I1471" t="s">
        <v>23</v>
      </c>
      <c r="J1471" t="s">
        <v>53</v>
      </c>
    </row>
    <row r="1472" spans="1:10" x14ac:dyDescent="0.25">
      <c r="A1472" t="s">
        <v>1509</v>
      </c>
      <c r="B1472" s="1">
        <v>45857</v>
      </c>
      <c r="C1472" t="s">
        <v>44</v>
      </c>
      <c r="D1472" t="s">
        <v>12</v>
      </c>
      <c r="E1472">
        <v>38862</v>
      </c>
      <c r="F1472">
        <v>34383</v>
      </c>
      <c r="G1472">
        <v>4479</v>
      </c>
      <c r="H1472" t="s">
        <v>13</v>
      </c>
      <c r="I1472" t="s">
        <v>34</v>
      </c>
      <c r="J1472" t="s">
        <v>29</v>
      </c>
    </row>
    <row r="1473" spans="1:10" x14ac:dyDescent="0.25">
      <c r="A1473" t="s">
        <v>1510</v>
      </c>
      <c r="B1473" s="1">
        <v>45153</v>
      </c>
      <c r="C1473" t="s">
        <v>22</v>
      </c>
      <c r="D1473" t="s">
        <v>33</v>
      </c>
      <c r="E1473">
        <v>32430</v>
      </c>
      <c r="F1473">
        <v>16188</v>
      </c>
      <c r="G1473">
        <v>16242</v>
      </c>
      <c r="H1473" t="s">
        <v>27</v>
      </c>
      <c r="I1473" t="s">
        <v>31</v>
      </c>
      <c r="J1473" t="s">
        <v>15</v>
      </c>
    </row>
    <row r="1474" spans="1:10" x14ac:dyDescent="0.25">
      <c r="A1474" t="s">
        <v>1511</v>
      </c>
      <c r="B1474" s="1">
        <v>46005</v>
      </c>
      <c r="C1474" t="s">
        <v>11</v>
      </c>
      <c r="D1474" t="s">
        <v>36</v>
      </c>
      <c r="E1474">
        <v>27289</v>
      </c>
      <c r="F1474">
        <v>10687</v>
      </c>
      <c r="G1474">
        <v>16602</v>
      </c>
      <c r="H1474" t="s">
        <v>19</v>
      </c>
      <c r="I1474" t="s">
        <v>63</v>
      </c>
      <c r="J1474" t="s">
        <v>15</v>
      </c>
    </row>
    <row r="1475" spans="1:10" x14ac:dyDescent="0.25">
      <c r="A1475" t="s">
        <v>1512</v>
      </c>
      <c r="B1475" s="1">
        <v>45942</v>
      </c>
      <c r="C1475" t="s">
        <v>17</v>
      </c>
      <c r="D1475" t="s">
        <v>33</v>
      </c>
      <c r="E1475">
        <v>23519</v>
      </c>
      <c r="F1475">
        <v>15075</v>
      </c>
      <c r="G1475">
        <v>8444</v>
      </c>
      <c r="H1475" t="s">
        <v>27</v>
      </c>
      <c r="I1475" t="s">
        <v>20</v>
      </c>
      <c r="J1475" t="s">
        <v>24</v>
      </c>
    </row>
    <row r="1476" spans="1:10" x14ac:dyDescent="0.25">
      <c r="A1476" t="s">
        <v>1513</v>
      </c>
      <c r="B1476" s="1">
        <v>45693</v>
      </c>
      <c r="C1476" t="s">
        <v>26</v>
      </c>
      <c r="D1476" t="s">
        <v>12</v>
      </c>
      <c r="E1476">
        <v>16409</v>
      </c>
      <c r="F1476">
        <v>8756</v>
      </c>
      <c r="G1476">
        <v>7653</v>
      </c>
      <c r="H1476" t="s">
        <v>19</v>
      </c>
      <c r="I1476" t="s">
        <v>63</v>
      </c>
      <c r="J1476" t="s">
        <v>15</v>
      </c>
    </row>
    <row r="1477" spans="1:10" x14ac:dyDescent="0.25">
      <c r="A1477" t="s">
        <v>1514</v>
      </c>
      <c r="B1477" s="1">
        <v>45545</v>
      </c>
      <c r="C1477" t="s">
        <v>44</v>
      </c>
      <c r="D1477" t="s">
        <v>18</v>
      </c>
      <c r="E1477">
        <v>21095</v>
      </c>
      <c r="F1477">
        <v>10419</v>
      </c>
      <c r="G1477">
        <v>10676</v>
      </c>
      <c r="H1477" t="s">
        <v>13</v>
      </c>
      <c r="I1477" t="s">
        <v>14</v>
      </c>
      <c r="J1477" t="s">
        <v>24</v>
      </c>
    </row>
    <row r="1478" spans="1:10" x14ac:dyDescent="0.25">
      <c r="A1478" t="s">
        <v>1515</v>
      </c>
      <c r="B1478" s="1">
        <v>45521</v>
      </c>
      <c r="C1478" t="s">
        <v>17</v>
      </c>
      <c r="D1478" t="s">
        <v>41</v>
      </c>
      <c r="E1478">
        <v>8834</v>
      </c>
      <c r="F1478">
        <v>3163</v>
      </c>
      <c r="G1478">
        <v>5671</v>
      </c>
      <c r="H1478" t="s">
        <v>38</v>
      </c>
      <c r="I1478" t="s">
        <v>14</v>
      </c>
      <c r="J1478" t="s">
        <v>53</v>
      </c>
    </row>
    <row r="1479" spans="1:10" x14ac:dyDescent="0.25">
      <c r="A1479" t="s">
        <v>1516</v>
      </c>
      <c r="B1479" s="1">
        <v>45612</v>
      </c>
      <c r="C1479" t="s">
        <v>26</v>
      </c>
      <c r="D1479" t="s">
        <v>41</v>
      </c>
      <c r="E1479">
        <v>6093</v>
      </c>
      <c r="F1479">
        <v>898</v>
      </c>
      <c r="G1479">
        <v>5195</v>
      </c>
      <c r="H1479" t="s">
        <v>27</v>
      </c>
      <c r="I1479" t="s">
        <v>31</v>
      </c>
      <c r="J1479" t="s">
        <v>29</v>
      </c>
    </row>
    <row r="1480" spans="1:10" x14ac:dyDescent="0.25">
      <c r="A1480" t="s">
        <v>1517</v>
      </c>
      <c r="B1480" s="1">
        <v>45562</v>
      </c>
      <c r="C1480" t="s">
        <v>44</v>
      </c>
      <c r="D1480" t="s">
        <v>36</v>
      </c>
      <c r="E1480">
        <v>34366</v>
      </c>
      <c r="F1480">
        <v>27552</v>
      </c>
      <c r="G1480">
        <v>6814</v>
      </c>
      <c r="H1480" t="s">
        <v>27</v>
      </c>
      <c r="I1480" t="s">
        <v>63</v>
      </c>
      <c r="J1480" t="s">
        <v>42</v>
      </c>
    </row>
    <row r="1481" spans="1:10" x14ac:dyDescent="0.25">
      <c r="A1481" t="s">
        <v>1518</v>
      </c>
      <c r="B1481" s="1">
        <v>46076</v>
      </c>
      <c r="C1481" t="s">
        <v>17</v>
      </c>
      <c r="D1481" t="s">
        <v>12</v>
      </c>
      <c r="E1481">
        <v>36176</v>
      </c>
      <c r="F1481">
        <v>22729</v>
      </c>
      <c r="G1481">
        <v>13447</v>
      </c>
      <c r="H1481" t="s">
        <v>38</v>
      </c>
      <c r="I1481" t="s">
        <v>60</v>
      </c>
      <c r="J1481" t="s">
        <v>29</v>
      </c>
    </row>
    <row r="1482" spans="1:10" x14ac:dyDescent="0.25">
      <c r="A1482" t="s">
        <v>1519</v>
      </c>
      <c r="B1482" s="1">
        <v>45789</v>
      </c>
      <c r="C1482" t="s">
        <v>17</v>
      </c>
      <c r="D1482" t="s">
        <v>36</v>
      </c>
      <c r="E1482">
        <v>29275</v>
      </c>
      <c r="F1482">
        <v>12287</v>
      </c>
      <c r="G1482">
        <v>16988</v>
      </c>
      <c r="H1482" t="s">
        <v>27</v>
      </c>
      <c r="I1482" t="s">
        <v>28</v>
      </c>
      <c r="J1482" t="s">
        <v>24</v>
      </c>
    </row>
    <row r="1483" spans="1:10" x14ac:dyDescent="0.25">
      <c r="A1483" t="s">
        <v>1520</v>
      </c>
      <c r="B1483" s="1">
        <v>45265</v>
      </c>
      <c r="C1483" t="s">
        <v>11</v>
      </c>
      <c r="D1483" t="s">
        <v>36</v>
      </c>
      <c r="E1483">
        <v>34126</v>
      </c>
      <c r="F1483">
        <v>22870</v>
      </c>
      <c r="G1483">
        <v>11256</v>
      </c>
      <c r="H1483" t="s">
        <v>13</v>
      </c>
      <c r="I1483" t="s">
        <v>23</v>
      </c>
      <c r="J1483" t="s">
        <v>24</v>
      </c>
    </row>
    <row r="1484" spans="1:10" x14ac:dyDescent="0.25">
      <c r="A1484" t="s">
        <v>1521</v>
      </c>
      <c r="B1484" s="1">
        <v>45179</v>
      </c>
      <c r="C1484" t="s">
        <v>22</v>
      </c>
      <c r="D1484" t="s">
        <v>41</v>
      </c>
      <c r="E1484">
        <v>23461</v>
      </c>
      <c r="F1484">
        <v>14226</v>
      </c>
      <c r="G1484">
        <v>9235</v>
      </c>
      <c r="H1484" t="s">
        <v>13</v>
      </c>
      <c r="I1484" t="s">
        <v>14</v>
      </c>
      <c r="J1484" t="s">
        <v>53</v>
      </c>
    </row>
    <row r="1485" spans="1:10" x14ac:dyDescent="0.25">
      <c r="A1485" t="s">
        <v>1522</v>
      </c>
      <c r="B1485" s="1">
        <v>46121</v>
      </c>
      <c r="C1485" t="s">
        <v>17</v>
      </c>
      <c r="D1485" t="s">
        <v>36</v>
      </c>
      <c r="E1485">
        <v>45329</v>
      </c>
      <c r="F1485">
        <v>35484</v>
      </c>
      <c r="G1485">
        <v>9845</v>
      </c>
      <c r="H1485" t="s">
        <v>19</v>
      </c>
      <c r="I1485" t="s">
        <v>78</v>
      </c>
      <c r="J1485" t="s">
        <v>15</v>
      </c>
    </row>
    <row r="1486" spans="1:10" x14ac:dyDescent="0.25">
      <c r="A1486" t="s">
        <v>1523</v>
      </c>
      <c r="B1486" s="1">
        <v>45772</v>
      </c>
      <c r="C1486" t="s">
        <v>11</v>
      </c>
      <c r="D1486" t="s">
        <v>41</v>
      </c>
      <c r="E1486">
        <v>41209</v>
      </c>
      <c r="F1486">
        <v>31794</v>
      </c>
      <c r="G1486">
        <v>9415</v>
      </c>
      <c r="H1486" t="s">
        <v>13</v>
      </c>
      <c r="I1486" t="s">
        <v>78</v>
      </c>
      <c r="J1486" t="s">
        <v>15</v>
      </c>
    </row>
    <row r="1487" spans="1:10" x14ac:dyDescent="0.25">
      <c r="A1487" t="s">
        <v>1524</v>
      </c>
      <c r="B1487" s="1">
        <v>45618</v>
      </c>
      <c r="C1487" t="s">
        <v>44</v>
      </c>
      <c r="D1487" t="s">
        <v>36</v>
      </c>
      <c r="E1487">
        <v>42673</v>
      </c>
      <c r="F1487">
        <v>25142</v>
      </c>
      <c r="G1487">
        <v>17531</v>
      </c>
      <c r="H1487" t="s">
        <v>38</v>
      </c>
      <c r="I1487" t="s">
        <v>14</v>
      </c>
      <c r="J1487" t="s">
        <v>15</v>
      </c>
    </row>
    <row r="1488" spans="1:10" x14ac:dyDescent="0.25">
      <c r="A1488" t="s">
        <v>1525</v>
      </c>
      <c r="B1488" s="1">
        <v>45317</v>
      </c>
      <c r="C1488" t="s">
        <v>17</v>
      </c>
      <c r="D1488" t="s">
        <v>41</v>
      </c>
      <c r="E1488">
        <v>12696</v>
      </c>
      <c r="F1488">
        <v>9322</v>
      </c>
      <c r="G1488">
        <v>3374</v>
      </c>
      <c r="H1488" t="s">
        <v>13</v>
      </c>
      <c r="I1488" t="s">
        <v>14</v>
      </c>
      <c r="J1488" t="s">
        <v>15</v>
      </c>
    </row>
    <row r="1489" spans="1:10" x14ac:dyDescent="0.25">
      <c r="A1489" t="s">
        <v>1526</v>
      </c>
      <c r="B1489" s="1">
        <v>45269</v>
      </c>
      <c r="C1489" t="s">
        <v>17</v>
      </c>
      <c r="D1489" t="s">
        <v>36</v>
      </c>
      <c r="E1489">
        <v>34964</v>
      </c>
      <c r="F1489">
        <v>16967</v>
      </c>
      <c r="G1489">
        <v>17997</v>
      </c>
      <c r="H1489" t="s">
        <v>13</v>
      </c>
      <c r="I1489" t="s">
        <v>28</v>
      </c>
      <c r="J1489" t="s">
        <v>24</v>
      </c>
    </row>
    <row r="1490" spans="1:10" x14ac:dyDescent="0.25">
      <c r="A1490" t="s">
        <v>1527</v>
      </c>
      <c r="B1490" s="1">
        <v>45873</v>
      </c>
      <c r="C1490" t="s">
        <v>26</v>
      </c>
      <c r="D1490" t="s">
        <v>12</v>
      </c>
      <c r="E1490">
        <v>43058</v>
      </c>
      <c r="F1490">
        <v>33125</v>
      </c>
      <c r="G1490">
        <v>9933</v>
      </c>
      <c r="H1490" t="s">
        <v>27</v>
      </c>
      <c r="I1490" t="s">
        <v>20</v>
      </c>
      <c r="J1490" t="s">
        <v>29</v>
      </c>
    </row>
    <row r="1491" spans="1:10" x14ac:dyDescent="0.25">
      <c r="A1491" t="s">
        <v>1528</v>
      </c>
      <c r="B1491" s="1">
        <v>45411</v>
      </c>
      <c r="C1491" t="s">
        <v>26</v>
      </c>
      <c r="D1491" t="s">
        <v>18</v>
      </c>
      <c r="E1491">
        <v>18526</v>
      </c>
      <c r="F1491">
        <v>12366</v>
      </c>
      <c r="G1491">
        <v>6160</v>
      </c>
      <c r="H1491" t="s">
        <v>38</v>
      </c>
      <c r="I1491" t="s">
        <v>45</v>
      </c>
      <c r="J1491" t="s">
        <v>42</v>
      </c>
    </row>
    <row r="1492" spans="1:10" x14ac:dyDescent="0.25">
      <c r="A1492" t="s">
        <v>1529</v>
      </c>
      <c r="B1492" s="1">
        <v>45211</v>
      </c>
      <c r="C1492" t="s">
        <v>17</v>
      </c>
      <c r="D1492" t="s">
        <v>18</v>
      </c>
      <c r="E1492">
        <v>28557</v>
      </c>
      <c r="F1492">
        <v>27734</v>
      </c>
      <c r="G1492">
        <v>823</v>
      </c>
      <c r="H1492" t="s">
        <v>13</v>
      </c>
      <c r="I1492" t="s">
        <v>60</v>
      </c>
      <c r="J1492" t="s">
        <v>42</v>
      </c>
    </row>
    <row r="1493" spans="1:10" x14ac:dyDescent="0.25">
      <c r="A1493" t="s">
        <v>1530</v>
      </c>
      <c r="B1493" s="1">
        <v>45645</v>
      </c>
      <c r="C1493" t="s">
        <v>22</v>
      </c>
      <c r="D1493" t="s">
        <v>33</v>
      </c>
      <c r="E1493">
        <v>16595</v>
      </c>
      <c r="F1493">
        <v>3825</v>
      </c>
      <c r="G1493">
        <v>12770</v>
      </c>
      <c r="H1493" t="s">
        <v>27</v>
      </c>
      <c r="I1493" t="s">
        <v>34</v>
      </c>
      <c r="J1493" t="s">
        <v>24</v>
      </c>
    </row>
    <row r="1494" spans="1:10" x14ac:dyDescent="0.25">
      <c r="A1494" t="s">
        <v>1531</v>
      </c>
      <c r="B1494" s="1">
        <v>45781</v>
      </c>
      <c r="C1494" t="s">
        <v>22</v>
      </c>
      <c r="D1494" t="s">
        <v>33</v>
      </c>
      <c r="E1494">
        <v>13242</v>
      </c>
      <c r="F1494">
        <v>3315</v>
      </c>
      <c r="G1494">
        <v>9927</v>
      </c>
      <c r="H1494" t="s">
        <v>27</v>
      </c>
      <c r="I1494" t="s">
        <v>20</v>
      </c>
      <c r="J1494" t="s">
        <v>15</v>
      </c>
    </row>
    <row r="1495" spans="1:10" x14ac:dyDescent="0.25">
      <c r="A1495" t="s">
        <v>1532</v>
      </c>
      <c r="B1495" s="1">
        <v>45269</v>
      </c>
      <c r="C1495" t="s">
        <v>22</v>
      </c>
      <c r="D1495" t="s">
        <v>12</v>
      </c>
      <c r="E1495">
        <v>11244</v>
      </c>
      <c r="F1495">
        <v>2839</v>
      </c>
      <c r="G1495">
        <v>8405</v>
      </c>
      <c r="H1495" t="s">
        <v>38</v>
      </c>
      <c r="I1495" t="s">
        <v>34</v>
      </c>
      <c r="J1495" t="s">
        <v>24</v>
      </c>
    </row>
    <row r="1496" spans="1:10" x14ac:dyDescent="0.25">
      <c r="A1496" t="s">
        <v>1533</v>
      </c>
      <c r="B1496" s="1">
        <v>45398</v>
      </c>
      <c r="C1496" t="s">
        <v>11</v>
      </c>
      <c r="D1496" t="s">
        <v>12</v>
      </c>
      <c r="E1496">
        <v>34259</v>
      </c>
      <c r="F1496">
        <v>32370</v>
      </c>
      <c r="G1496">
        <v>1889</v>
      </c>
      <c r="H1496" t="s">
        <v>38</v>
      </c>
      <c r="I1496" t="s">
        <v>63</v>
      </c>
      <c r="J1496" t="s">
        <v>42</v>
      </c>
    </row>
    <row r="1497" spans="1:10" x14ac:dyDescent="0.25">
      <c r="A1497" t="s">
        <v>1534</v>
      </c>
      <c r="B1497" s="1">
        <v>45240</v>
      </c>
      <c r="C1497" t="s">
        <v>22</v>
      </c>
      <c r="D1497" t="s">
        <v>33</v>
      </c>
      <c r="E1497">
        <v>42638</v>
      </c>
      <c r="F1497">
        <v>30331</v>
      </c>
      <c r="G1497">
        <v>12307</v>
      </c>
      <c r="H1497" t="s">
        <v>27</v>
      </c>
      <c r="I1497" t="s">
        <v>45</v>
      </c>
      <c r="J1497" t="s">
        <v>53</v>
      </c>
    </row>
    <row r="1498" spans="1:10" x14ac:dyDescent="0.25">
      <c r="A1498" t="s">
        <v>1535</v>
      </c>
      <c r="B1498" s="1">
        <v>45759</v>
      </c>
      <c r="C1498" t="s">
        <v>17</v>
      </c>
      <c r="D1498" t="s">
        <v>18</v>
      </c>
      <c r="E1498">
        <v>41279</v>
      </c>
      <c r="F1498">
        <v>24323</v>
      </c>
      <c r="G1498">
        <v>16956</v>
      </c>
      <c r="H1498" t="s">
        <v>19</v>
      </c>
      <c r="I1498" t="s">
        <v>63</v>
      </c>
      <c r="J1498" t="s">
        <v>42</v>
      </c>
    </row>
    <row r="1499" spans="1:10" x14ac:dyDescent="0.25">
      <c r="A1499" t="s">
        <v>1536</v>
      </c>
      <c r="B1499" s="1">
        <v>45707</v>
      </c>
      <c r="C1499" t="s">
        <v>26</v>
      </c>
      <c r="D1499" t="s">
        <v>41</v>
      </c>
      <c r="E1499">
        <v>42770</v>
      </c>
      <c r="F1499">
        <v>23648</v>
      </c>
      <c r="G1499">
        <v>19122</v>
      </c>
      <c r="H1499" t="s">
        <v>19</v>
      </c>
      <c r="I1499" t="s">
        <v>34</v>
      </c>
      <c r="J1499" t="s">
        <v>24</v>
      </c>
    </row>
    <row r="1500" spans="1:10" x14ac:dyDescent="0.25">
      <c r="A1500" t="s">
        <v>1537</v>
      </c>
      <c r="B1500" s="1">
        <v>45771</v>
      </c>
      <c r="C1500" t="s">
        <v>11</v>
      </c>
      <c r="D1500" t="s">
        <v>33</v>
      </c>
      <c r="E1500">
        <v>11912</v>
      </c>
      <c r="F1500">
        <v>6406</v>
      </c>
      <c r="G1500">
        <v>5506</v>
      </c>
      <c r="H1500" t="s">
        <v>13</v>
      </c>
      <c r="I1500" t="s">
        <v>14</v>
      </c>
      <c r="J1500" t="s">
        <v>15</v>
      </c>
    </row>
    <row r="1501" spans="1:10" x14ac:dyDescent="0.25">
      <c r="A1501" t="s">
        <v>1538</v>
      </c>
      <c r="B1501" s="1">
        <v>45712</v>
      </c>
      <c r="C1501" t="s">
        <v>22</v>
      </c>
      <c r="D1501" t="s">
        <v>12</v>
      </c>
      <c r="E1501">
        <v>17529</v>
      </c>
      <c r="F1501">
        <v>16540</v>
      </c>
      <c r="G1501">
        <v>989</v>
      </c>
      <c r="H1501" t="s">
        <v>38</v>
      </c>
      <c r="I1501" t="s">
        <v>63</v>
      </c>
      <c r="J1501" t="s">
        <v>53</v>
      </c>
    </row>
    <row r="1502" spans="1:10" x14ac:dyDescent="0.25">
      <c r="A1502" t="s">
        <v>1539</v>
      </c>
      <c r="B1502" s="1">
        <v>45841</v>
      </c>
      <c r="C1502" t="s">
        <v>26</v>
      </c>
      <c r="D1502" t="s">
        <v>36</v>
      </c>
      <c r="E1502">
        <v>11803</v>
      </c>
      <c r="F1502">
        <v>2299</v>
      </c>
      <c r="G1502">
        <v>9504</v>
      </c>
      <c r="H1502" t="s">
        <v>19</v>
      </c>
      <c r="I1502" t="s">
        <v>23</v>
      </c>
      <c r="J1502" t="s">
        <v>15</v>
      </c>
    </row>
    <row r="1503" spans="1:10" x14ac:dyDescent="0.25">
      <c r="A1503" t="s">
        <v>1540</v>
      </c>
      <c r="B1503" s="1">
        <v>45910</v>
      </c>
      <c r="C1503" t="s">
        <v>26</v>
      </c>
      <c r="D1503" t="s">
        <v>12</v>
      </c>
      <c r="E1503">
        <v>44778</v>
      </c>
      <c r="F1503">
        <v>29312</v>
      </c>
      <c r="G1503">
        <v>15466</v>
      </c>
      <c r="H1503" t="s">
        <v>13</v>
      </c>
      <c r="I1503" t="s">
        <v>78</v>
      </c>
      <c r="J1503" t="s">
        <v>42</v>
      </c>
    </row>
    <row r="1504" spans="1:10" x14ac:dyDescent="0.25">
      <c r="A1504" t="s">
        <v>1541</v>
      </c>
      <c r="B1504" s="1">
        <v>45347</v>
      </c>
      <c r="C1504" t="s">
        <v>22</v>
      </c>
      <c r="D1504" t="s">
        <v>33</v>
      </c>
      <c r="E1504">
        <v>5804</v>
      </c>
      <c r="F1504">
        <v>4257</v>
      </c>
      <c r="G1504">
        <v>1547</v>
      </c>
      <c r="H1504" t="s">
        <v>19</v>
      </c>
      <c r="I1504" t="s">
        <v>63</v>
      </c>
      <c r="J1504" t="s">
        <v>29</v>
      </c>
    </row>
    <row r="1505" spans="1:10" x14ac:dyDescent="0.25">
      <c r="A1505" t="s">
        <v>1542</v>
      </c>
      <c r="B1505" s="1">
        <v>45126</v>
      </c>
      <c r="C1505" t="s">
        <v>22</v>
      </c>
      <c r="D1505" t="s">
        <v>33</v>
      </c>
      <c r="E1505">
        <v>20378</v>
      </c>
      <c r="F1505">
        <v>13855</v>
      </c>
      <c r="G1505">
        <v>6523</v>
      </c>
      <c r="H1505" t="s">
        <v>38</v>
      </c>
      <c r="I1505" t="s">
        <v>78</v>
      </c>
      <c r="J1505" t="s">
        <v>24</v>
      </c>
    </row>
    <row r="1506" spans="1:10" x14ac:dyDescent="0.25">
      <c r="A1506" t="s">
        <v>1543</v>
      </c>
      <c r="B1506" s="1">
        <v>45141</v>
      </c>
      <c r="C1506" t="s">
        <v>44</v>
      </c>
      <c r="D1506" t="s">
        <v>41</v>
      </c>
      <c r="E1506">
        <v>19403</v>
      </c>
      <c r="F1506">
        <v>14848</v>
      </c>
      <c r="G1506">
        <v>4555</v>
      </c>
      <c r="H1506" t="s">
        <v>13</v>
      </c>
      <c r="I1506" t="s">
        <v>14</v>
      </c>
      <c r="J1506" t="s">
        <v>53</v>
      </c>
    </row>
    <row r="1507" spans="1:10" x14ac:dyDescent="0.25">
      <c r="A1507" t="s">
        <v>1544</v>
      </c>
      <c r="B1507" s="1">
        <v>46178</v>
      </c>
      <c r="C1507" t="s">
        <v>17</v>
      </c>
      <c r="D1507" t="s">
        <v>18</v>
      </c>
      <c r="E1507">
        <v>29202</v>
      </c>
      <c r="F1507">
        <v>27591</v>
      </c>
      <c r="G1507">
        <v>1611</v>
      </c>
      <c r="H1507" t="s">
        <v>19</v>
      </c>
      <c r="I1507" t="s">
        <v>63</v>
      </c>
      <c r="J1507" t="s">
        <v>53</v>
      </c>
    </row>
    <row r="1508" spans="1:10" x14ac:dyDescent="0.25">
      <c r="A1508" t="s">
        <v>1545</v>
      </c>
      <c r="B1508" s="1">
        <v>46006</v>
      </c>
      <c r="C1508" t="s">
        <v>17</v>
      </c>
      <c r="D1508" t="s">
        <v>36</v>
      </c>
      <c r="E1508">
        <v>8245</v>
      </c>
      <c r="F1508">
        <v>4041</v>
      </c>
      <c r="G1508">
        <v>4204</v>
      </c>
      <c r="H1508" t="s">
        <v>38</v>
      </c>
      <c r="I1508" t="s">
        <v>78</v>
      </c>
      <c r="J1508" t="s">
        <v>53</v>
      </c>
    </row>
    <row r="1509" spans="1:10" x14ac:dyDescent="0.25">
      <c r="A1509" t="s">
        <v>1546</v>
      </c>
      <c r="B1509" s="1">
        <v>45916</v>
      </c>
      <c r="C1509" t="s">
        <v>11</v>
      </c>
      <c r="D1509" t="s">
        <v>33</v>
      </c>
      <c r="E1509">
        <v>46342</v>
      </c>
      <c r="F1509">
        <v>39951</v>
      </c>
      <c r="G1509">
        <v>6391</v>
      </c>
      <c r="H1509" t="s">
        <v>19</v>
      </c>
      <c r="I1509" t="s">
        <v>23</v>
      </c>
      <c r="J1509" t="s">
        <v>15</v>
      </c>
    </row>
    <row r="1510" spans="1:10" x14ac:dyDescent="0.25">
      <c r="A1510" t="s">
        <v>1547</v>
      </c>
      <c r="B1510" s="1">
        <v>45317</v>
      </c>
      <c r="C1510" t="s">
        <v>11</v>
      </c>
      <c r="D1510" t="s">
        <v>12</v>
      </c>
      <c r="E1510">
        <v>18032</v>
      </c>
      <c r="F1510">
        <v>9201</v>
      </c>
      <c r="G1510">
        <v>8831</v>
      </c>
      <c r="H1510" t="s">
        <v>19</v>
      </c>
      <c r="I1510" t="s">
        <v>23</v>
      </c>
      <c r="J1510" t="s">
        <v>24</v>
      </c>
    </row>
    <row r="1511" spans="1:10" x14ac:dyDescent="0.25">
      <c r="A1511" t="s">
        <v>1548</v>
      </c>
      <c r="B1511" s="1">
        <v>45258</v>
      </c>
      <c r="C1511" t="s">
        <v>26</v>
      </c>
      <c r="D1511" t="s">
        <v>33</v>
      </c>
      <c r="E1511">
        <v>9706</v>
      </c>
      <c r="F1511">
        <v>5852</v>
      </c>
      <c r="G1511">
        <v>3854</v>
      </c>
      <c r="H1511" t="s">
        <v>38</v>
      </c>
      <c r="I1511" t="s">
        <v>14</v>
      </c>
      <c r="J1511" t="s">
        <v>24</v>
      </c>
    </row>
    <row r="1512" spans="1:10" x14ac:dyDescent="0.25">
      <c r="A1512" t="s">
        <v>1549</v>
      </c>
      <c r="B1512" s="1">
        <v>46185</v>
      </c>
      <c r="C1512" t="s">
        <v>17</v>
      </c>
      <c r="D1512" t="s">
        <v>36</v>
      </c>
      <c r="E1512">
        <v>33987</v>
      </c>
      <c r="F1512">
        <v>19276</v>
      </c>
      <c r="G1512">
        <v>14711</v>
      </c>
      <c r="H1512" t="s">
        <v>38</v>
      </c>
      <c r="I1512" t="s">
        <v>34</v>
      </c>
      <c r="J1512" t="s">
        <v>29</v>
      </c>
    </row>
    <row r="1513" spans="1:10" x14ac:dyDescent="0.25">
      <c r="A1513" t="s">
        <v>1550</v>
      </c>
      <c r="B1513" s="1">
        <v>45264</v>
      </c>
      <c r="C1513" t="s">
        <v>17</v>
      </c>
      <c r="D1513" t="s">
        <v>41</v>
      </c>
      <c r="E1513">
        <v>33402</v>
      </c>
      <c r="F1513">
        <v>17427</v>
      </c>
      <c r="G1513">
        <v>15975</v>
      </c>
      <c r="H1513" t="s">
        <v>13</v>
      </c>
      <c r="I1513" t="s">
        <v>45</v>
      </c>
      <c r="J1513" t="s">
        <v>29</v>
      </c>
    </row>
    <row r="1514" spans="1:10" x14ac:dyDescent="0.25">
      <c r="A1514" t="s">
        <v>1551</v>
      </c>
      <c r="B1514" s="1">
        <v>45959</v>
      </c>
      <c r="C1514" t="s">
        <v>11</v>
      </c>
      <c r="D1514" t="s">
        <v>41</v>
      </c>
      <c r="E1514">
        <v>42034</v>
      </c>
      <c r="F1514">
        <v>37343</v>
      </c>
      <c r="G1514">
        <v>4691</v>
      </c>
      <c r="H1514" t="s">
        <v>13</v>
      </c>
      <c r="I1514" t="s">
        <v>45</v>
      </c>
      <c r="J1514" t="s">
        <v>15</v>
      </c>
    </row>
    <row r="1515" spans="1:10" x14ac:dyDescent="0.25">
      <c r="A1515" t="s">
        <v>1552</v>
      </c>
      <c r="B1515" s="1">
        <v>45617</v>
      </c>
      <c r="C1515" t="s">
        <v>17</v>
      </c>
      <c r="D1515" t="s">
        <v>33</v>
      </c>
      <c r="E1515">
        <v>8835</v>
      </c>
      <c r="F1515">
        <v>3203</v>
      </c>
      <c r="G1515">
        <v>5632</v>
      </c>
      <c r="H1515" t="s">
        <v>38</v>
      </c>
      <c r="I1515" t="s">
        <v>23</v>
      </c>
      <c r="J1515" t="s">
        <v>42</v>
      </c>
    </row>
    <row r="1516" spans="1:10" x14ac:dyDescent="0.25">
      <c r="A1516" t="s">
        <v>1553</v>
      </c>
      <c r="B1516" s="1">
        <v>45217</v>
      </c>
      <c r="C1516" t="s">
        <v>17</v>
      </c>
      <c r="D1516" t="s">
        <v>36</v>
      </c>
      <c r="E1516">
        <v>47806</v>
      </c>
      <c r="F1516">
        <v>37022</v>
      </c>
      <c r="G1516">
        <v>10784</v>
      </c>
      <c r="H1516" t="s">
        <v>19</v>
      </c>
      <c r="I1516" t="s">
        <v>60</v>
      </c>
      <c r="J1516" t="s">
        <v>42</v>
      </c>
    </row>
    <row r="1517" spans="1:10" x14ac:dyDescent="0.25">
      <c r="A1517" t="s">
        <v>1554</v>
      </c>
      <c r="B1517" s="1">
        <v>45990</v>
      </c>
      <c r="C1517" t="s">
        <v>11</v>
      </c>
      <c r="D1517" t="s">
        <v>12</v>
      </c>
      <c r="E1517">
        <v>49072</v>
      </c>
      <c r="F1517">
        <v>35454</v>
      </c>
      <c r="G1517">
        <v>13618</v>
      </c>
      <c r="H1517" t="s">
        <v>27</v>
      </c>
      <c r="I1517" t="s">
        <v>14</v>
      </c>
      <c r="J1517" t="s">
        <v>15</v>
      </c>
    </row>
    <row r="1518" spans="1:10" x14ac:dyDescent="0.25">
      <c r="A1518" t="s">
        <v>1555</v>
      </c>
      <c r="B1518" s="1">
        <v>46197</v>
      </c>
      <c r="C1518" t="s">
        <v>44</v>
      </c>
      <c r="D1518" t="s">
        <v>36</v>
      </c>
      <c r="E1518">
        <v>44933</v>
      </c>
      <c r="F1518">
        <v>41930</v>
      </c>
      <c r="G1518">
        <v>3003</v>
      </c>
      <c r="H1518" t="s">
        <v>27</v>
      </c>
      <c r="I1518" t="s">
        <v>63</v>
      </c>
      <c r="J1518" t="s">
        <v>24</v>
      </c>
    </row>
    <row r="1519" spans="1:10" x14ac:dyDescent="0.25">
      <c r="A1519" t="s">
        <v>1556</v>
      </c>
      <c r="B1519" s="1">
        <v>46096</v>
      </c>
      <c r="C1519" t="s">
        <v>22</v>
      </c>
      <c r="D1519" t="s">
        <v>33</v>
      </c>
      <c r="E1519">
        <v>29656</v>
      </c>
      <c r="F1519">
        <v>13425</v>
      </c>
      <c r="G1519">
        <v>16231</v>
      </c>
      <c r="H1519" t="s">
        <v>27</v>
      </c>
      <c r="I1519" t="s">
        <v>20</v>
      </c>
      <c r="J1519" t="s">
        <v>53</v>
      </c>
    </row>
    <row r="1520" spans="1:10" x14ac:dyDescent="0.25">
      <c r="A1520" t="s">
        <v>1557</v>
      </c>
      <c r="B1520" s="1">
        <v>45566</v>
      </c>
      <c r="C1520" t="s">
        <v>26</v>
      </c>
      <c r="D1520" t="s">
        <v>18</v>
      </c>
      <c r="E1520">
        <v>7884</v>
      </c>
      <c r="F1520">
        <v>5874</v>
      </c>
      <c r="G1520">
        <v>2010</v>
      </c>
      <c r="H1520" t="s">
        <v>38</v>
      </c>
      <c r="I1520" t="s">
        <v>28</v>
      </c>
      <c r="J1520" t="s">
        <v>53</v>
      </c>
    </row>
    <row r="1521" spans="1:10" x14ac:dyDescent="0.25">
      <c r="A1521" t="s">
        <v>1558</v>
      </c>
      <c r="B1521" s="1">
        <v>45960</v>
      </c>
      <c r="C1521" t="s">
        <v>26</v>
      </c>
      <c r="D1521" t="s">
        <v>41</v>
      </c>
      <c r="E1521">
        <v>47909</v>
      </c>
      <c r="F1521">
        <v>42989</v>
      </c>
      <c r="G1521">
        <v>4920</v>
      </c>
      <c r="H1521" t="s">
        <v>13</v>
      </c>
      <c r="I1521" t="s">
        <v>20</v>
      </c>
      <c r="J1521" t="s">
        <v>24</v>
      </c>
    </row>
    <row r="1522" spans="1:10" x14ac:dyDescent="0.25">
      <c r="A1522" t="s">
        <v>1559</v>
      </c>
      <c r="B1522" s="1">
        <v>45622</v>
      </c>
      <c r="C1522" t="s">
        <v>17</v>
      </c>
      <c r="D1522" t="s">
        <v>41</v>
      </c>
      <c r="E1522">
        <v>49655</v>
      </c>
      <c r="F1522">
        <v>35935</v>
      </c>
      <c r="G1522">
        <v>13720</v>
      </c>
      <c r="H1522" t="s">
        <v>19</v>
      </c>
      <c r="I1522" t="s">
        <v>23</v>
      </c>
      <c r="J1522" t="s">
        <v>53</v>
      </c>
    </row>
    <row r="1523" spans="1:10" x14ac:dyDescent="0.25">
      <c r="A1523" t="s">
        <v>1560</v>
      </c>
      <c r="B1523" s="1">
        <v>45852</v>
      </c>
      <c r="C1523" t="s">
        <v>11</v>
      </c>
      <c r="D1523" t="s">
        <v>41</v>
      </c>
      <c r="E1523">
        <v>10327</v>
      </c>
      <c r="F1523">
        <v>3629</v>
      </c>
      <c r="G1523">
        <v>6698</v>
      </c>
      <c r="H1523" t="s">
        <v>19</v>
      </c>
      <c r="I1523" t="s">
        <v>34</v>
      </c>
      <c r="J1523" t="s">
        <v>15</v>
      </c>
    </row>
    <row r="1524" spans="1:10" x14ac:dyDescent="0.25">
      <c r="A1524" t="s">
        <v>1561</v>
      </c>
      <c r="B1524" s="1">
        <v>45313</v>
      </c>
      <c r="C1524" t="s">
        <v>11</v>
      </c>
      <c r="D1524" t="s">
        <v>12</v>
      </c>
      <c r="E1524">
        <v>30914</v>
      </c>
      <c r="F1524">
        <v>19025</v>
      </c>
      <c r="G1524">
        <v>11889</v>
      </c>
      <c r="H1524" t="s">
        <v>38</v>
      </c>
      <c r="I1524" t="s">
        <v>31</v>
      </c>
      <c r="J1524" t="s">
        <v>42</v>
      </c>
    </row>
    <row r="1525" spans="1:10" x14ac:dyDescent="0.25">
      <c r="A1525" t="s">
        <v>1562</v>
      </c>
      <c r="B1525" s="1">
        <v>46025</v>
      </c>
      <c r="C1525" t="s">
        <v>17</v>
      </c>
      <c r="D1525" t="s">
        <v>41</v>
      </c>
      <c r="E1525">
        <v>48676</v>
      </c>
      <c r="F1525">
        <v>32283</v>
      </c>
      <c r="G1525">
        <v>16393</v>
      </c>
      <c r="H1525" t="s">
        <v>19</v>
      </c>
      <c r="I1525" t="s">
        <v>31</v>
      </c>
      <c r="J1525" t="s">
        <v>42</v>
      </c>
    </row>
    <row r="1526" spans="1:10" x14ac:dyDescent="0.25">
      <c r="A1526" t="s">
        <v>1563</v>
      </c>
      <c r="B1526" s="1">
        <v>46019</v>
      </c>
      <c r="C1526" t="s">
        <v>26</v>
      </c>
      <c r="D1526" t="s">
        <v>18</v>
      </c>
      <c r="E1526">
        <v>49907</v>
      </c>
      <c r="F1526">
        <v>35870</v>
      </c>
      <c r="G1526">
        <v>14037</v>
      </c>
      <c r="H1526" t="s">
        <v>27</v>
      </c>
      <c r="I1526" t="s">
        <v>78</v>
      </c>
      <c r="J1526" t="s">
        <v>29</v>
      </c>
    </row>
    <row r="1527" spans="1:10" x14ac:dyDescent="0.25">
      <c r="A1527" t="s">
        <v>1564</v>
      </c>
      <c r="B1527" s="1">
        <v>45146</v>
      </c>
      <c r="C1527" t="s">
        <v>44</v>
      </c>
      <c r="D1527" t="s">
        <v>18</v>
      </c>
      <c r="E1527">
        <v>34102</v>
      </c>
      <c r="F1527">
        <v>15624</v>
      </c>
      <c r="G1527">
        <v>18478</v>
      </c>
      <c r="H1527" t="s">
        <v>38</v>
      </c>
      <c r="I1527" t="s">
        <v>20</v>
      </c>
      <c r="J1527" t="s">
        <v>15</v>
      </c>
    </row>
    <row r="1528" spans="1:10" x14ac:dyDescent="0.25">
      <c r="A1528" t="s">
        <v>1565</v>
      </c>
      <c r="B1528" s="1">
        <v>45189</v>
      </c>
      <c r="C1528" t="s">
        <v>11</v>
      </c>
      <c r="D1528" t="s">
        <v>18</v>
      </c>
      <c r="E1528">
        <v>27946</v>
      </c>
      <c r="F1528">
        <v>15923</v>
      </c>
      <c r="G1528">
        <v>12023</v>
      </c>
      <c r="H1528" t="s">
        <v>19</v>
      </c>
      <c r="I1528" t="s">
        <v>60</v>
      </c>
      <c r="J1528" t="s">
        <v>42</v>
      </c>
    </row>
    <row r="1529" spans="1:10" x14ac:dyDescent="0.25">
      <c r="A1529" t="s">
        <v>1566</v>
      </c>
      <c r="B1529" s="1">
        <v>45326</v>
      </c>
      <c r="C1529" t="s">
        <v>11</v>
      </c>
      <c r="D1529" t="s">
        <v>33</v>
      </c>
      <c r="E1529">
        <v>20124</v>
      </c>
      <c r="F1529">
        <v>19105</v>
      </c>
      <c r="G1529">
        <v>1019</v>
      </c>
      <c r="H1529" t="s">
        <v>13</v>
      </c>
      <c r="I1529" t="s">
        <v>78</v>
      </c>
      <c r="J1529" t="s">
        <v>53</v>
      </c>
    </row>
    <row r="1530" spans="1:10" x14ac:dyDescent="0.25">
      <c r="A1530" t="s">
        <v>1567</v>
      </c>
      <c r="B1530" s="1">
        <v>45405</v>
      </c>
      <c r="C1530" t="s">
        <v>17</v>
      </c>
      <c r="D1530" t="s">
        <v>41</v>
      </c>
      <c r="E1530">
        <v>21678</v>
      </c>
      <c r="F1530">
        <v>9719</v>
      </c>
      <c r="G1530">
        <v>11959</v>
      </c>
      <c r="H1530" t="s">
        <v>13</v>
      </c>
      <c r="I1530" t="s">
        <v>78</v>
      </c>
      <c r="J1530" t="s">
        <v>24</v>
      </c>
    </row>
    <row r="1531" spans="1:10" x14ac:dyDescent="0.25">
      <c r="A1531" t="s">
        <v>1568</v>
      </c>
      <c r="B1531" s="1">
        <v>45297</v>
      </c>
      <c r="C1531" t="s">
        <v>22</v>
      </c>
      <c r="D1531" t="s">
        <v>36</v>
      </c>
      <c r="E1531">
        <v>23023</v>
      </c>
      <c r="F1531">
        <v>19341</v>
      </c>
      <c r="G1531">
        <v>3682</v>
      </c>
      <c r="H1531" t="s">
        <v>13</v>
      </c>
      <c r="I1531" t="s">
        <v>45</v>
      </c>
      <c r="J1531" t="s">
        <v>53</v>
      </c>
    </row>
    <row r="1532" spans="1:10" x14ac:dyDescent="0.25">
      <c r="A1532" t="s">
        <v>1569</v>
      </c>
      <c r="B1532" s="1">
        <v>45547</v>
      </c>
      <c r="C1532" t="s">
        <v>17</v>
      </c>
      <c r="D1532" t="s">
        <v>18</v>
      </c>
      <c r="E1532">
        <v>44407</v>
      </c>
      <c r="F1532">
        <v>41174</v>
      </c>
      <c r="G1532">
        <v>3233</v>
      </c>
      <c r="H1532" t="s">
        <v>38</v>
      </c>
      <c r="I1532" t="s">
        <v>31</v>
      </c>
      <c r="J1532" t="s">
        <v>53</v>
      </c>
    </row>
    <row r="1533" spans="1:10" x14ac:dyDescent="0.25">
      <c r="A1533" t="s">
        <v>1570</v>
      </c>
      <c r="B1533" s="1">
        <v>45119</v>
      </c>
      <c r="C1533" t="s">
        <v>44</v>
      </c>
      <c r="D1533" t="s">
        <v>18</v>
      </c>
      <c r="E1533">
        <v>32266</v>
      </c>
      <c r="F1533">
        <v>31303</v>
      </c>
      <c r="G1533">
        <v>963</v>
      </c>
      <c r="H1533" t="s">
        <v>27</v>
      </c>
      <c r="I1533" t="s">
        <v>60</v>
      </c>
      <c r="J1533" t="s">
        <v>24</v>
      </c>
    </row>
    <row r="1534" spans="1:10" x14ac:dyDescent="0.25">
      <c r="A1534" t="s">
        <v>1571</v>
      </c>
      <c r="B1534" s="1">
        <v>45332</v>
      </c>
      <c r="C1534" t="s">
        <v>11</v>
      </c>
      <c r="D1534" t="s">
        <v>12</v>
      </c>
      <c r="E1534">
        <v>21428</v>
      </c>
      <c r="F1534">
        <v>5242</v>
      </c>
      <c r="G1534">
        <v>16186</v>
      </c>
      <c r="H1534" t="s">
        <v>19</v>
      </c>
      <c r="I1534" t="s">
        <v>23</v>
      </c>
      <c r="J1534" t="s">
        <v>15</v>
      </c>
    </row>
    <row r="1535" spans="1:10" x14ac:dyDescent="0.25">
      <c r="A1535" t="s">
        <v>1572</v>
      </c>
      <c r="B1535" s="1">
        <v>45133</v>
      </c>
      <c r="C1535" t="s">
        <v>22</v>
      </c>
      <c r="D1535" t="s">
        <v>41</v>
      </c>
      <c r="E1535">
        <v>40779</v>
      </c>
      <c r="F1535">
        <v>26738</v>
      </c>
      <c r="G1535">
        <v>14041</v>
      </c>
      <c r="H1535" t="s">
        <v>19</v>
      </c>
      <c r="I1535" t="s">
        <v>14</v>
      </c>
      <c r="J1535" t="s">
        <v>24</v>
      </c>
    </row>
    <row r="1536" spans="1:10" x14ac:dyDescent="0.25">
      <c r="A1536" t="s">
        <v>1573</v>
      </c>
      <c r="B1536" s="1">
        <v>45127</v>
      </c>
      <c r="C1536" t="s">
        <v>22</v>
      </c>
      <c r="D1536" t="s">
        <v>12</v>
      </c>
      <c r="E1536">
        <v>36651</v>
      </c>
      <c r="F1536">
        <v>27480</v>
      </c>
      <c r="G1536">
        <v>9171</v>
      </c>
      <c r="H1536" t="s">
        <v>13</v>
      </c>
      <c r="I1536" t="s">
        <v>78</v>
      </c>
      <c r="J1536" t="s">
        <v>42</v>
      </c>
    </row>
    <row r="1537" spans="1:10" x14ac:dyDescent="0.25">
      <c r="A1537" t="s">
        <v>1574</v>
      </c>
      <c r="B1537" s="1">
        <v>46208</v>
      </c>
      <c r="C1537" t="s">
        <v>26</v>
      </c>
      <c r="D1537" t="s">
        <v>41</v>
      </c>
      <c r="E1537">
        <v>28034</v>
      </c>
      <c r="F1537">
        <v>12063</v>
      </c>
      <c r="G1537">
        <v>15971</v>
      </c>
      <c r="H1537" t="s">
        <v>38</v>
      </c>
      <c r="I1537" t="s">
        <v>31</v>
      </c>
      <c r="J1537" t="s">
        <v>42</v>
      </c>
    </row>
    <row r="1538" spans="1:10" x14ac:dyDescent="0.25">
      <c r="A1538" t="s">
        <v>1575</v>
      </c>
      <c r="B1538" s="1">
        <v>45987</v>
      </c>
      <c r="C1538" t="s">
        <v>22</v>
      </c>
      <c r="D1538" t="s">
        <v>18</v>
      </c>
      <c r="E1538">
        <v>16038</v>
      </c>
      <c r="F1538">
        <v>11948</v>
      </c>
      <c r="G1538">
        <v>4090</v>
      </c>
      <c r="H1538" t="s">
        <v>13</v>
      </c>
      <c r="I1538" t="s">
        <v>60</v>
      </c>
      <c r="J1538" t="s">
        <v>15</v>
      </c>
    </row>
    <row r="1539" spans="1:10" x14ac:dyDescent="0.25">
      <c r="A1539" t="s">
        <v>1576</v>
      </c>
      <c r="B1539" s="1">
        <v>45431</v>
      </c>
      <c r="C1539" t="s">
        <v>44</v>
      </c>
      <c r="D1539" t="s">
        <v>41</v>
      </c>
      <c r="E1539">
        <v>16606</v>
      </c>
      <c r="F1539">
        <v>4816</v>
      </c>
      <c r="G1539">
        <v>11790</v>
      </c>
      <c r="H1539" t="s">
        <v>38</v>
      </c>
      <c r="I1539" t="s">
        <v>31</v>
      </c>
      <c r="J1539" t="s">
        <v>15</v>
      </c>
    </row>
    <row r="1540" spans="1:10" x14ac:dyDescent="0.25">
      <c r="A1540" t="s">
        <v>1577</v>
      </c>
      <c r="B1540" s="1">
        <v>45275</v>
      </c>
      <c r="C1540" t="s">
        <v>44</v>
      </c>
      <c r="D1540" t="s">
        <v>36</v>
      </c>
      <c r="E1540">
        <v>11826</v>
      </c>
      <c r="F1540">
        <v>3029</v>
      </c>
      <c r="G1540">
        <v>8797</v>
      </c>
      <c r="H1540" t="s">
        <v>38</v>
      </c>
      <c r="I1540" t="s">
        <v>34</v>
      </c>
      <c r="J1540" t="s">
        <v>29</v>
      </c>
    </row>
    <row r="1541" spans="1:10" x14ac:dyDescent="0.25">
      <c r="A1541" t="s">
        <v>1578</v>
      </c>
      <c r="B1541" s="1">
        <v>45733</v>
      </c>
      <c r="C1541" t="s">
        <v>22</v>
      </c>
      <c r="D1541" t="s">
        <v>41</v>
      </c>
      <c r="E1541">
        <v>37568</v>
      </c>
      <c r="F1541">
        <v>35087</v>
      </c>
      <c r="G1541">
        <v>2481</v>
      </c>
      <c r="H1541" t="s">
        <v>19</v>
      </c>
      <c r="I1541" t="s">
        <v>14</v>
      </c>
      <c r="J1541" t="s">
        <v>53</v>
      </c>
    </row>
    <row r="1542" spans="1:10" x14ac:dyDescent="0.25">
      <c r="A1542" t="s">
        <v>1579</v>
      </c>
      <c r="B1542" s="1">
        <v>45470</v>
      </c>
      <c r="C1542" t="s">
        <v>26</v>
      </c>
      <c r="D1542" t="s">
        <v>18</v>
      </c>
      <c r="E1542">
        <v>16064</v>
      </c>
      <c r="F1542">
        <v>10130</v>
      </c>
      <c r="G1542">
        <v>5934</v>
      </c>
      <c r="H1542" t="s">
        <v>27</v>
      </c>
      <c r="I1542" t="s">
        <v>31</v>
      </c>
      <c r="J1542" t="s">
        <v>42</v>
      </c>
    </row>
    <row r="1543" spans="1:10" x14ac:dyDescent="0.25">
      <c r="A1543" t="s">
        <v>1580</v>
      </c>
      <c r="B1543" s="1">
        <v>45830</v>
      </c>
      <c r="C1543" t="s">
        <v>17</v>
      </c>
      <c r="D1543" t="s">
        <v>36</v>
      </c>
      <c r="E1543">
        <v>39212</v>
      </c>
      <c r="F1543">
        <v>27509</v>
      </c>
      <c r="G1543">
        <v>11703</v>
      </c>
      <c r="H1543" t="s">
        <v>19</v>
      </c>
      <c r="I1543" t="s">
        <v>78</v>
      </c>
      <c r="J1543" t="s">
        <v>53</v>
      </c>
    </row>
    <row r="1544" spans="1:10" x14ac:dyDescent="0.25">
      <c r="A1544" t="s">
        <v>1581</v>
      </c>
      <c r="B1544" s="1">
        <v>45781</v>
      </c>
      <c r="C1544" t="s">
        <v>22</v>
      </c>
      <c r="D1544" t="s">
        <v>18</v>
      </c>
      <c r="E1544">
        <v>41988</v>
      </c>
      <c r="F1544">
        <v>22356</v>
      </c>
      <c r="G1544">
        <v>19632</v>
      </c>
      <c r="H1544" t="s">
        <v>27</v>
      </c>
      <c r="I1544" t="s">
        <v>78</v>
      </c>
      <c r="J1544" t="s">
        <v>29</v>
      </c>
    </row>
    <row r="1545" spans="1:10" x14ac:dyDescent="0.25">
      <c r="A1545" t="s">
        <v>1582</v>
      </c>
      <c r="B1545" s="1">
        <v>45972</v>
      </c>
      <c r="C1545" t="s">
        <v>44</v>
      </c>
      <c r="D1545" t="s">
        <v>41</v>
      </c>
      <c r="E1545">
        <v>7001</v>
      </c>
      <c r="F1545">
        <v>4334</v>
      </c>
      <c r="G1545">
        <v>2667</v>
      </c>
      <c r="H1545" t="s">
        <v>27</v>
      </c>
      <c r="I1545" t="s">
        <v>28</v>
      </c>
      <c r="J1545" t="s">
        <v>15</v>
      </c>
    </row>
    <row r="1546" spans="1:10" x14ac:dyDescent="0.25">
      <c r="A1546" t="s">
        <v>1583</v>
      </c>
      <c r="B1546" s="1">
        <v>45271</v>
      </c>
      <c r="C1546" t="s">
        <v>22</v>
      </c>
      <c r="D1546" t="s">
        <v>12</v>
      </c>
      <c r="E1546">
        <v>21991</v>
      </c>
      <c r="F1546">
        <v>21055</v>
      </c>
      <c r="G1546">
        <v>936</v>
      </c>
      <c r="H1546" t="s">
        <v>27</v>
      </c>
      <c r="I1546" t="s">
        <v>28</v>
      </c>
      <c r="J1546" t="s">
        <v>24</v>
      </c>
    </row>
    <row r="1547" spans="1:10" x14ac:dyDescent="0.25">
      <c r="A1547" t="s">
        <v>1584</v>
      </c>
      <c r="B1547" s="1">
        <v>45725</v>
      </c>
      <c r="C1547" t="s">
        <v>26</v>
      </c>
      <c r="D1547" t="s">
        <v>41</v>
      </c>
      <c r="E1547">
        <v>14896</v>
      </c>
      <c r="F1547">
        <v>404</v>
      </c>
      <c r="G1547">
        <v>14492</v>
      </c>
      <c r="H1547" t="s">
        <v>38</v>
      </c>
      <c r="I1547" t="s">
        <v>23</v>
      </c>
      <c r="J1547" t="s">
        <v>42</v>
      </c>
    </row>
    <row r="1548" spans="1:10" x14ac:dyDescent="0.25">
      <c r="A1548" t="s">
        <v>1585</v>
      </c>
      <c r="B1548" s="1">
        <v>45675</v>
      </c>
      <c r="C1548" t="s">
        <v>26</v>
      </c>
      <c r="D1548" t="s">
        <v>18</v>
      </c>
      <c r="E1548">
        <v>14693</v>
      </c>
      <c r="F1548">
        <v>7042</v>
      </c>
      <c r="G1548">
        <v>7651</v>
      </c>
      <c r="H1548" t="s">
        <v>27</v>
      </c>
      <c r="I1548" t="s">
        <v>14</v>
      </c>
      <c r="J1548" t="s">
        <v>24</v>
      </c>
    </row>
    <row r="1549" spans="1:10" x14ac:dyDescent="0.25">
      <c r="A1549" t="s">
        <v>1586</v>
      </c>
      <c r="B1549" s="1">
        <v>45817</v>
      </c>
      <c r="C1549" t="s">
        <v>26</v>
      </c>
      <c r="D1549" t="s">
        <v>33</v>
      </c>
      <c r="E1549">
        <v>5398</v>
      </c>
      <c r="F1549">
        <v>1518</v>
      </c>
      <c r="G1549">
        <v>3880</v>
      </c>
      <c r="H1549" t="s">
        <v>19</v>
      </c>
      <c r="I1549" t="s">
        <v>28</v>
      </c>
      <c r="J1549" t="s">
        <v>53</v>
      </c>
    </row>
    <row r="1550" spans="1:10" x14ac:dyDescent="0.25">
      <c r="A1550" t="s">
        <v>1587</v>
      </c>
      <c r="B1550" s="1">
        <v>45213</v>
      </c>
      <c r="C1550" t="s">
        <v>26</v>
      </c>
      <c r="D1550" t="s">
        <v>41</v>
      </c>
      <c r="E1550">
        <v>33767</v>
      </c>
      <c r="F1550">
        <v>22001</v>
      </c>
      <c r="G1550">
        <v>11766</v>
      </c>
      <c r="H1550" t="s">
        <v>38</v>
      </c>
      <c r="I1550" t="s">
        <v>60</v>
      </c>
      <c r="J1550" t="s">
        <v>15</v>
      </c>
    </row>
    <row r="1551" spans="1:10" x14ac:dyDescent="0.25">
      <c r="A1551" t="s">
        <v>1588</v>
      </c>
      <c r="B1551" s="1">
        <v>45864</v>
      </c>
      <c r="C1551" t="s">
        <v>26</v>
      </c>
      <c r="D1551" t="s">
        <v>33</v>
      </c>
      <c r="E1551">
        <v>17045</v>
      </c>
      <c r="F1551">
        <v>12450</v>
      </c>
      <c r="G1551">
        <v>4595</v>
      </c>
      <c r="H1551" t="s">
        <v>19</v>
      </c>
      <c r="I1551" t="s">
        <v>78</v>
      </c>
      <c r="J1551" t="s">
        <v>29</v>
      </c>
    </row>
    <row r="1552" spans="1:10" x14ac:dyDescent="0.25">
      <c r="A1552" t="s">
        <v>1589</v>
      </c>
      <c r="B1552" s="1">
        <v>45223</v>
      </c>
      <c r="C1552" t="s">
        <v>44</v>
      </c>
      <c r="D1552" t="s">
        <v>36</v>
      </c>
      <c r="E1552">
        <v>33502</v>
      </c>
      <c r="F1552">
        <v>25940</v>
      </c>
      <c r="G1552">
        <v>7562</v>
      </c>
      <c r="H1552" t="s">
        <v>27</v>
      </c>
      <c r="I1552" t="s">
        <v>31</v>
      </c>
      <c r="J1552" t="s">
        <v>29</v>
      </c>
    </row>
    <row r="1553" spans="1:10" x14ac:dyDescent="0.25">
      <c r="A1553" t="s">
        <v>1590</v>
      </c>
      <c r="B1553" s="1">
        <v>46149</v>
      </c>
      <c r="C1553" t="s">
        <v>17</v>
      </c>
      <c r="D1553" t="s">
        <v>12</v>
      </c>
      <c r="E1553">
        <v>42933</v>
      </c>
      <c r="F1553">
        <v>30760</v>
      </c>
      <c r="G1553">
        <v>12173</v>
      </c>
      <c r="H1553" t="s">
        <v>13</v>
      </c>
      <c r="I1553" t="s">
        <v>63</v>
      </c>
      <c r="J1553" t="s">
        <v>24</v>
      </c>
    </row>
    <row r="1554" spans="1:10" x14ac:dyDescent="0.25">
      <c r="A1554" t="s">
        <v>1591</v>
      </c>
      <c r="B1554" s="1">
        <v>46001</v>
      </c>
      <c r="C1554" t="s">
        <v>44</v>
      </c>
      <c r="D1554" t="s">
        <v>41</v>
      </c>
      <c r="E1554">
        <v>49359</v>
      </c>
      <c r="F1554">
        <v>45488</v>
      </c>
      <c r="G1554">
        <v>3871</v>
      </c>
      <c r="H1554" t="s">
        <v>38</v>
      </c>
      <c r="I1554" t="s">
        <v>28</v>
      </c>
      <c r="J1554" t="s">
        <v>15</v>
      </c>
    </row>
    <row r="1555" spans="1:10" x14ac:dyDescent="0.25">
      <c r="A1555" t="s">
        <v>1592</v>
      </c>
      <c r="B1555" s="1">
        <v>45828</v>
      </c>
      <c r="C1555" t="s">
        <v>44</v>
      </c>
      <c r="D1555" t="s">
        <v>18</v>
      </c>
      <c r="E1555">
        <v>9263</v>
      </c>
      <c r="F1555">
        <v>4937</v>
      </c>
      <c r="G1555">
        <v>4326</v>
      </c>
      <c r="H1555" t="s">
        <v>13</v>
      </c>
      <c r="I1555" t="s">
        <v>63</v>
      </c>
      <c r="J1555" t="s">
        <v>24</v>
      </c>
    </row>
    <row r="1556" spans="1:10" x14ac:dyDescent="0.25">
      <c r="A1556" t="s">
        <v>1593</v>
      </c>
      <c r="B1556" s="1">
        <v>45327</v>
      </c>
      <c r="C1556" t="s">
        <v>22</v>
      </c>
      <c r="D1556" t="s">
        <v>18</v>
      </c>
      <c r="E1556">
        <v>12765</v>
      </c>
      <c r="F1556">
        <v>6001</v>
      </c>
      <c r="G1556">
        <v>6764</v>
      </c>
      <c r="H1556" t="s">
        <v>13</v>
      </c>
      <c r="I1556" t="s">
        <v>20</v>
      </c>
      <c r="J1556" t="s">
        <v>24</v>
      </c>
    </row>
    <row r="1557" spans="1:10" x14ac:dyDescent="0.25">
      <c r="A1557" t="s">
        <v>1594</v>
      </c>
      <c r="B1557" s="1">
        <v>45676</v>
      </c>
      <c r="C1557" t="s">
        <v>11</v>
      </c>
      <c r="D1557" t="s">
        <v>36</v>
      </c>
      <c r="E1557">
        <v>6590</v>
      </c>
      <c r="F1557">
        <v>6072</v>
      </c>
      <c r="G1557">
        <v>518</v>
      </c>
      <c r="H1557" t="s">
        <v>13</v>
      </c>
      <c r="I1557" t="s">
        <v>31</v>
      </c>
      <c r="J1557" t="s">
        <v>42</v>
      </c>
    </row>
    <row r="1558" spans="1:10" x14ac:dyDescent="0.25">
      <c r="A1558" t="s">
        <v>1595</v>
      </c>
      <c r="B1558" s="1">
        <v>45797</v>
      </c>
      <c r="C1558" t="s">
        <v>11</v>
      </c>
      <c r="D1558" t="s">
        <v>41</v>
      </c>
      <c r="E1558">
        <v>12382</v>
      </c>
      <c r="F1558">
        <v>6004</v>
      </c>
      <c r="G1558">
        <v>6378</v>
      </c>
      <c r="H1558" t="s">
        <v>27</v>
      </c>
      <c r="I1558" t="s">
        <v>31</v>
      </c>
      <c r="J1558" t="s">
        <v>15</v>
      </c>
    </row>
    <row r="1559" spans="1:10" x14ac:dyDescent="0.25">
      <c r="A1559" t="s">
        <v>1596</v>
      </c>
      <c r="B1559" s="1">
        <v>45819</v>
      </c>
      <c r="C1559" t="s">
        <v>44</v>
      </c>
      <c r="D1559" t="s">
        <v>36</v>
      </c>
      <c r="E1559">
        <v>9896</v>
      </c>
      <c r="F1559">
        <v>5462</v>
      </c>
      <c r="G1559">
        <v>4434</v>
      </c>
      <c r="H1559" t="s">
        <v>27</v>
      </c>
      <c r="I1559" t="s">
        <v>60</v>
      </c>
      <c r="J1559" t="s">
        <v>24</v>
      </c>
    </row>
    <row r="1560" spans="1:10" x14ac:dyDescent="0.25">
      <c r="A1560" t="s">
        <v>1597</v>
      </c>
      <c r="B1560" s="1">
        <v>45801</v>
      </c>
      <c r="C1560" t="s">
        <v>11</v>
      </c>
      <c r="D1560" t="s">
        <v>33</v>
      </c>
      <c r="E1560">
        <v>17961</v>
      </c>
      <c r="F1560">
        <v>4209</v>
      </c>
      <c r="G1560">
        <v>13752</v>
      </c>
      <c r="H1560" t="s">
        <v>19</v>
      </c>
      <c r="I1560" t="s">
        <v>14</v>
      </c>
      <c r="J1560" t="s">
        <v>42</v>
      </c>
    </row>
    <row r="1561" spans="1:10" x14ac:dyDescent="0.25">
      <c r="A1561" t="s">
        <v>1598</v>
      </c>
      <c r="B1561" s="1">
        <v>45240</v>
      </c>
      <c r="C1561" t="s">
        <v>17</v>
      </c>
      <c r="D1561" t="s">
        <v>36</v>
      </c>
      <c r="E1561">
        <v>24834</v>
      </c>
      <c r="F1561">
        <v>8914</v>
      </c>
      <c r="G1561">
        <v>15920</v>
      </c>
      <c r="H1561" t="s">
        <v>27</v>
      </c>
      <c r="I1561" t="s">
        <v>14</v>
      </c>
      <c r="J1561" t="s">
        <v>42</v>
      </c>
    </row>
    <row r="1562" spans="1:10" x14ac:dyDescent="0.25">
      <c r="A1562" t="s">
        <v>1599</v>
      </c>
      <c r="B1562" s="1">
        <v>46030</v>
      </c>
      <c r="C1562" t="s">
        <v>11</v>
      </c>
      <c r="D1562" t="s">
        <v>33</v>
      </c>
      <c r="E1562">
        <v>26839</v>
      </c>
      <c r="F1562">
        <v>17727</v>
      </c>
      <c r="G1562">
        <v>9112</v>
      </c>
      <c r="H1562" t="s">
        <v>27</v>
      </c>
      <c r="I1562" t="s">
        <v>20</v>
      </c>
      <c r="J1562" t="s">
        <v>53</v>
      </c>
    </row>
    <row r="1563" spans="1:10" x14ac:dyDescent="0.25">
      <c r="A1563" t="s">
        <v>1600</v>
      </c>
      <c r="B1563" s="1">
        <v>46160</v>
      </c>
      <c r="C1563" t="s">
        <v>26</v>
      </c>
      <c r="D1563" t="s">
        <v>41</v>
      </c>
      <c r="E1563">
        <v>34193</v>
      </c>
      <c r="F1563">
        <v>22331</v>
      </c>
      <c r="G1563">
        <v>11862</v>
      </c>
      <c r="H1563" t="s">
        <v>13</v>
      </c>
      <c r="I1563" t="s">
        <v>63</v>
      </c>
      <c r="J1563" t="s">
        <v>15</v>
      </c>
    </row>
    <row r="1564" spans="1:10" x14ac:dyDescent="0.25">
      <c r="A1564" t="s">
        <v>1601</v>
      </c>
      <c r="B1564" s="1">
        <v>45989</v>
      </c>
      <c r="C1564" t="s">
        <v>17</v>
      </c>
      <c r="D1564" t="s">
        <v>18</v>
      </c>
      <c r="E1564">
        <v>17728</v>
      </c>
      <c r="F1564">
        <v>8262</v>
      </c>
      <c r="G1564">
        <v>9466</v>
      </c>
      <c r="H1564" t="s">
        <v>38</v>
      </c>
      <c r="I1564" t="s">
        <v>20</v>
      </c>
      <c r="J1564" t="s">
        <v>42</v>
      </c>
    </row>
    <row r="1565" spans="1:10" x14ac:dyDescent="0.25">
      <c r="A1565" t="s">
        <v>1602</v>
      </c>
      <c r="B1565" s="1">
        <v>45588</v>
      </c>
      <c r="C1565" t="s">
        <v>22</v>
      </c>
      <c r="D1565" t="s">
        <v>33</v>
      </c>
      <c r="E1565">
        <v>14244</v>
      </c>
      <c r="F1565">
        <v>999</v>
      </c>
      <c r="G1565">
        <v>13245</v>
      </c>
      <c r="H1565" t="s">
        <v>27</v>
      </c>
      <c r="I1565" t="s">
        <v>31</v>
      </c>
      <c r="J1565" t="s">
        <v>42</v>
      </c>
    </row>
    <row r="1566" spans="1:10" x14ac:dyDescent="0.25">
      <c r="A1566" t="s">
        <v>1603</v>
      </c>
      <c r="B1566" s="1">
        <v>45157</v>
      </c>
      <c r="C1566" t="s">
        <v>11</v>
      </c>
      <c r="D1566" t="s">
        <v>33</v>
      </c>
      <c r="E1566">
        <v>20928</v>
      </c>
      <c r="F1566">
        <v>10527</v>
      </c>
      <c r="G1566">
        <v>10401</v>
      </c>
      <c r="H1566" t="s">
        <v>19</v>
      </c>
      <c r="I1566" t="s">
        <v>60</v>
      </c>
      <c r="J1566" t="s">
        <v>24</v>
      </c>
    </row>
    <row r="1567" spans="1:10" x14ac:dyDescent="0.25">
      <c r="A1567" t="s">
        <v>1604</v>
      </c>
      <c r="B1567" s="1">
        <v>45415</v>
      </c>
      <c r="C1567" t="s">
        <v>11</v>
      </c>
      <c r="D1567" t="s">
        <v>12</v>
      </c>
      <c r="E1567">
        <v>12766</v>
      </c>
      <c r="F1567">
        <v>1155</v>
      </c>
      <c r="G1567">
        <v>11611</v>
      </c>
      <c r="H1567" t="s">
        <v>13</v>
      </c>
      <c r="I1567" t="s">
        <v>78</v>
      </c>
      <c r="J1567" t="s">
        <v>53</v>
      </c>
    </row>
    <row r="1568" spans="1:10" x14ac:dyDescent="0.25">
      <c r="A1568" t="s">
        <v>1605</v>
      </c>
      <c r="B1568" s="1">
        <v>46010</v>
      </c>
      <c r="C1568" t="s">
        <v>22</v>
      </c>
      <c r="D1568" t="s">
        <v>36</v>
      </c>
      <c r="E1568">
        <v>21926</v>
      </c>
      <c r="F1568">
        <v>14354</v>
      </c>
      <c r="G1568">
        <v>7572</v>
      </c>
      <c r="H1568" t="s">
        <v>13</v>
      </c>
      <c r="I1568" t="s">
        <v>78</v>
      </c>
      <c r="J1568" t="s">
        <v>15</v>
      </c>
    </row>
    <row r="1569" spans="1:10" x14ac:dyDescent="0.25">
      <c r="A1569" t="s">
        <v>1606</v>
      </c>
      <c r="B1569" s="1">
        <v>45658</v>
      </c>
      <c r="C1569" t="s">
        <v>22</v>
      </c>
      <c r="D1569" t="s">
        <v>18</v>
      </c>
      <c r="E1569">
        <v>41740</v>
      </c>
      <c r="F1569">
        <v>35095</v>
      </c>
      <c r="G1569">
        <v>6645</v>
      </c>
      <c r="H1569" t="s">
        <v>27</v>
      </c>
      <c r="I1569" t="s">
        <v>28</v>
      </c>
      <c r="J1569" t="s">
        <v>42</v>
      </c>
    </row>
    <row r="1570" spans="1:10" x14ac:dyDescent="0.25">
      <c r="A1570" t="s">
        <v>1607</v>
      </c>
      <c r="B1570" s="1">
        <v>45812</v>
      </c>
      <c r="C1570" t="s">
        <v>11</v>
      </c>
      <c r="D1570" t="s">
        <v>36</v>
      </c>
      <c r="E1570">
        <v>23290</v>
      </c>
      <c r="F1570">
        <v>10385</v>
      </c>
      <c r="G1570">
        <v>12905</v>
      </c>
      <c r="H1570" t="s">
        <v>27</v>
      </c>
      <c r="I1570" t="s">
        <v>28</v>
      </c>
      <c r="J1570" t="s">
        <v>15</v>
      </c>
    </row>
    <row r="1571" spans="1:10" x14ac:dyDescent="0.25">
      <c r="A1571" t="s">
        <v>1608</v>
      </c>
      <c r="B1571" s="1">
        <v>45888</v>
      </c>
      <c r="C1571" t="s">
        <v>22</v>
      </c>
      <c r="D1571" t="s">
        <v>36</v>
      </c>
      <c r="E1571">
        <v>48778</v>
      </c>
      <c r="F1571">
        <v>45629</v>
      </c>
      <c r="G1571">
        <v>3149</v>
      </c>
      <c r="H1571" t="s">
        <v>19</v>
      </c>
      <c r="I1571" t="s">
        <v>34</v>
      </c>
      <c r="J1571" t="s">
        <v>24</v>
      </c>
    </row>
    <row r="1572" spans="1:10" x14ac:dyDescent="0.25">
      <c r="A1572" t="s">
        <v>1609</v>
      </c>
      <c r="B1572" s="1">
        <v>45577</v>
      </c>
      <c r="C1572" t="s">
        <v>44</v>
      </c>
      <c r="D1572" t="s">
        <v>12</v>
      </c>
      <c r="E1572">
        <v>20588</v>
      </c>
      <c r="F1572">
        <v>6600</v>
      </c>
      <c r="G1572">
        <v>13988</v>
      </c>
      <c r="H1572" t="s">
        <v>38</v>
      </c>
      <c r="I1572" t="s">
        <v>45</v>
      </c>
      <c r="J1572" t="s">
        <v>42</v>
      </c>
    </row>
    <row r="1573" spans="1:10" x14ac:dyDescent="0.25">
      <c r="A1573" t="s">
        <v>1610</v>
      </c>
      <c r="B1573" s="1">
        <v>45400</v>
      </c>
      <c r="C1573" t="s">
        <v>11</v>
      </c>
      <c r="D1573" t="s">
        <v>12</v>
      </c>
      <c r="E1573">
        <v>46567</v>
      </c>
      <c r="F1573">
        <v>31273</v>
      </c>
      <c r="G1573">
        <v>15294</v>
      </c>
      <c r="H1573" t="s">
        <v>27</v>
      </c>
      <c r="I1573" t="s">
        <v>31</v>
      </c>
      <c r="J1573" t="s">
        <v>29</v>
      </c>
    </row>
    <row r="1574" spans="1:10" x14ac:dyDescent="0.25">
      <c r="A1574" t="s">
        <v>1611</v>
      </c>
      <c r="B1574" s="1">
        <v>45226</v>
      </c>
      <c r="C1574" t="s">
        <v>44</v>
      </c>
      <c r="D1574" t="s">
        <v>18</v>
      </c>
      <c r="E1574">
        <v>32248</v>
      </c>
      <c r="F1574">
        <v>31446</v>
      </c>
      <c r="G1574">
        <v>802</v>
      </c>
      <c r="H1574" t="s">
        <v>38</v>
      </c>
      <c r="I1574" t="s">
        <v>23</v>
      </c>
      <c r="J1574" t="s">
        <v>29</v>
      </c>
    </row>
    <row r="1575" spans="1:10" x14ac:dyDescent="0.25">
      <c r="A1575" t="s">
        <v>1612</v>
      </c>
      <c r="B1575" s="1">
        <v>45420</v>
      </c>
      <c r="C1575" t="s">
        <v>11</v>
      </c>
      <c r="D1575" t="s">
        <v>12</v>
      </c>
      <c r="E1575">
        <v>41890</v>
      </c>
      <c r="F1575">
        <v>28946</v>
      </c>
      <c r="G1575">
        <v>12944</v>
      </c>
      <c r="H1575" t="s">
        <v>19</v>
      </c>
      <c r="I1575" t="s">
        <v>28</v>
      </c>
      <c r="J1575" t="s">
        <v>24</v>
      </c>
    </row>
    <row r="1576" spans="1:10" x14ac:dyDescent="0.25">
      <c r="A1576" t="s">
        <v>1613</v>
      </c>
      <c r="B1576" s="1">
        <v>45422</v>
      </c>
      <c r="C1576" t="s">
        <v>22</v>
      </c>
      <c r="D1576" t="s">
        <v>33</v>
      </c>
      <c r="E1576">
        <v>46583</v>
      </c>
      <c r="F1576">
        <v>45637</v>
      </c>
      <c r="G1576">
        <v>946</v>
      </c>
      <c r="H1576" t="s">
        <v>19</v>
      </c>
      <c r="I1576" t="s">
        <v>34</v>
      </c>
      <c r="J1576" t="s">
        <v>15</v>
      </c>
    </row>
    <row r="1577" spans="1:10" x14ac:dyDescent="0.25">
      <c r="A1577" t="s">
        <v>1614</v>
      </c>
      <c r="B1577" s="1">
        <v>45796</v>
      </c>
      <c r="C1577" t="s">
        <v>22</v>
      </c>
      <c r="D1577" t="s">
        <v>12</v>
      </c>
      <c r="E1577">
        <v>28846</v>
      </c>
      <c r="F1577">
        <v>18759</v>
      </c>
      <c r="G1577">
        <v>10087</v>
      </c>
      <c r="H1577" t="s">
        <v>38</v>
      </c>
      <c r="I1577" t="s">
        <v>20</v>
      </c>
      <c r="J1577" t="s">
        <v>29</v>
      </c>
    </row>
    <row r="1578" spans="1:10" x14ac:dyDescent="0.25">
      <c r="A1578" t="s">
        <v>1615</v>
      </c>
      <c r="B1578" s="1">
        <v>45358</v>
      </c>
      <c r="C1578" t="s">
        <v>11</v>
      </c>
      <c r="D1578" t="s">
        <v>12</v>
      </c>
      <c r="E1578">
        <v>22403</v>
      </c>
      <c r="F1578">
        <v>12560</v>
      </c>
      <c r="G1578">
        <v>9843</v>
      </c>
      <c r="H1578" t="s">
        <v>13</v>
      </c>
      <c r="I1578" t="s">
        <v>45</v>
      </c>
      <c r="J1578" t="s">
        <v>24</v>
      </c>
    </row>
    <row r="1579" spans="1:10" x14ac:dyDescent="0.25">
      <c r="A1579" t="s">
        <v>1616</v>
      </c>
      <c r="B1579" s="1">
        <v>45618</v>
      </c>
      <c r="C1579" t="s">
        <v>17</v>
      </c>
      <c r="D1579" t="s">
        <v>18</v>
      </c>
      <c r="E1579">
        <v>15465</v>
      </c>
      <c r="F1579">
        <v>5547</v>
      </c>
      <c r="G1579">
        <v>9918</v>
      </c>
      <c r="H1579" t="s">
        <v>38</v>
      </c>
      <c r="I1579" t="s">
        <v>78</v>
      </c>
      <c r="J1579" t="s">
        <v>42</v>
      </c>
    </row>
    <row r="1580" spans="1:10" x14ac:dyDescent="0.25">
      <c r="A1580" t="s">
        <v>1617</v>
      </c>
      <c r="B1580" s="1">
        <v>45962</v>
      </c>
      <c r="C1580" t="s">
        <v>22</v>
      </c>
      <c r="D1580" t="s">
        <v>36</v>
      </c>
      <c r="E1580">
        <v>47030</v>
      </c>
      <c r="F1580">
        <v>43786</v>
      </c>
      <c r="G1580">
        <v>3244</v>
      </c>
      <c r="H1580" t="s">
        <v>13</v>
      </c>
      <c r="I1580" t="s">
        <v>45</v>
      </c>
      <c r="J1580" t="s">
        <v>42</v>
      </c>
    </row>
    <row r="1581" spans="1:10" x14ac:dyDescent="0.25">
      <c r="A1581" t="s">
        <v>1618</v>
      </c>
      <c r="B1581" s="1">
        <v>45377</v>
      </c>
      <c r="C1581" t="s">
        <v>26</v>
      </c>
      <c r="D1581" t="s">
        <v>12</v>
      </c>
      <c r="E1581">
        <v>29266</v>
      </c>
      <c r="F1581">
        <v>23101</v>
      </c>
      <c r="G1581">
        <v>6165</v>
      </c>
      <c r="H1581" t="s">
        <v>27</v>
      </c>
      <c r="I1581" t="s">
        <v>28</v>
      </c>
      <c r="J1581" t="s">
        <v>29</v>
      </c>
    </row>
    <row r="1582" spans="1:10" x14ac:dyDescent="0.25">
      <c r="A1582" t="s">
        <v>1619</v>
      </c>
      <c r="B1582" s="1">
        <v>45994</v>
      </c>
      <c r="C1582" t="s">
        <v>17</v>
      </c>
      <c r="D1582" t="s">
        <v>18</v>
      </c>
      <c r="E1582">
        <v>7073</v>
      </c>
      <c r="F1582">
        <v>5761</v>
      </c>
      <c r="G1582">
        <v>1312</v>
      </c>
      <c r="H1582" t="s">
        <v>38</v>
      </c>
      <c r="I1582" t="s">
        <v>23</v>
      </c>
      <c r="J1582" t="s">
        <v>53</v>
      </c>
    </row>
    <row r="1583" spans="1:10" x14ac:dyDescent="0.25">
      <c r="A1583" t="s">
        <v>1620</v>
      </c>
      <c r="B1583" s="1">
        <v>45173</v>
      </c>
      <c r="C1583" t="s">
        <v>11</v>
      </c>
      <c r="D1583" t="s">
        <v>36</v>
      </c>
      <c r="E1583">
        <v>23265</v>
      </c>
      <c r="F1583">
        <v>13912</v>
      </c>
      <c r="G1583">
        <v>9353</v>
      </c>
      <c r="H1583" t="s">
        <v>19</v>
      </c>
      <c r="I1583" t="s">
        <v>31</v>
      </c>
      <c r="J1583" t="s">
        <v>53</v>
      </c>
    </row>
    <row r="1584" spans="1:10" x14ac:dyDescent="0.25">
      <c r="A1584" t="s">
        <v>1621</v>
      </c>
      <c r="B1584" s="1">
        <v>45440</v>
      </c>
      <c r="C1584" t="s">
        <v>17</v>
      </c>
      <c r="D1584" t="s">
        <v>36</v>
      </c>
      <c r="E1584">
        <v>37283</v>
      </c>
      <c r="F1584">
        <v>28208</v>
      </c>
      <c r="G1584">
        <v>9075</v>
      </c>
      <c r="H1584" t="s">
        <v>27</v>
      </c>
      <c r="I1584" t="s">
        <v>63</v>
      </c>
      <c r="J1584" t="s">
        <v>24</v>
      </c>
    </row>
    <row r="1585" spans="1:10" x14ac:dyDescent="0.25">
      <c r="A1585" t="s">
        <v>1622</v>
      </c>
      <c r="B1585" s="1">
        <v>45264</v>
      </c>
      <c r="C1585" t="s">
        <v>11</v>
      </c>
      <c r="D1585" t="s">
        <v>33</v>
      </c>
      <c r="E1585">
        <v>17738</v>
      </c>
      <c r="F1585">
        <v>4295</v>
      </c>
      <c r="G1585">
        <v>13443</v>
      </c>
      <c r="H1585" t="s">
        <v>13</v>
      </c>
      <c r="I1585" t="s">
        <v>28</v>
      </c>
      <c r="J1585" t="s">
        <v>42</v>
      </c>
    </row>
    <row r="1586" spans="1:10" x14ac:dyDescent="0.25">
      <c r="A1586" t="s">
        <v>1623</v>
      </c>
      <c r="B1586" s="1">
        <v>45599</v>
      </c>
      <c r="C1586" t="s">
        <v>26</v>
      </c>
      <c r="D1586" t="s">
        <v>18</v>
      </c>
      <c r="E1586">
        <v>12263</v>
      </c>
      <c r="F1586">
        <v>1881</v>
      </c>
      <c r="G1586">
        <v>10382</v>
      </c>
      <c r="H1586" t="s">
        <v>19</v>
      </c>
      <c r="I1586" t="s">
        <v>78</v>
      </c>
      <c r="J1586" t="s">
        <v>29</v>
      </c>
    </row>
    <row r="1587" spans="1:10" x14ac:dyDescent="0.25">
      <c r="A1587" t="s">
        <v>1624</v>
      </c>
      <c r="B1587" s="1">
        <v>46018</v>
      </c>
      <c r="C1587" t="s">
        <v>11</v>
      </c>
      <c r="D1587" t="s">
        <v>33</v>
      </c>
      <c r="E1587">
        <v>45704</v>
      </c>
      <c r="F1587">
        <v>44406</v>
      </c>
      <c r="G1587">
        <v>1298</v>
      </c>
      <c r="H1587" t="s">
        <v>38</v>
      </c>
      <c r="I1587" t="s">
        <v>14</v>
      </c>
      <c r="J1587" t="s">
        <v>24</v>
      </c>
    </row>
    <row r="1588" spans="1:10" x14ac:dyDescent="0.25">
      <c r="A1588" t="s">
        <v>1625</v>
      </c>
      <c r="B1588" s="1">
        <v>45748</v>
      </c>
      <c r="C1588" t="s">
        <v>26</v>
      </c>
      <c r="D1588" t="s">
        <v>33</v>
      </c>
      <c r="E1588">
        <v>41927</v>
      </c>
      <c r="F1588">
        <v>24552</v>
      </c>
      <c r="G1588">
        <v>17375</v>
      </c>
      <c r="H1588" t="s">
        <v>19</v>
      </c>
      <c r="I1588" t="s">
        <v>78</v>
      </c>
      <c r="J1588" t="s">
        <v>24</v>
      </c>
    </row>
    <row r="1589" spans="1:10" x14ac:dyDescent="0.25">
      <c r="A1589" t="s">
        <v>1626</v>
      </c>
      <c r="B1589" s="1">
        <v>45418</v>
      </c>
      <c r="C1589" t="s">
        <v>26</v>
      </c>
      <c r="D1589" t="s">
        <v>18</v>
      </c>
      <c r="E1589">
        <v>22321</v>
      </c>
      <c r="F1589">
        <v>6143</v>
      </c>
      <c r="G1589">
        <v>16178</v>
      </c>
      <c r="H1589" t="s">
        <v>27</v>
      </c>
      <c r="I1589" t="s">
        <v>78</v>
      </c>
      <c r="J1589" t="s">
        <v>15</v>
      </c>
    </row>
    <row r="1590" spans="1:10" x14ac:dyDescent="0.25">
      <c r="A1590" t="s">
        <v>1627</v>
      </c>
      <c r="B1590" s="1">
        <v>45773</v>
      </c>
      <c r="C1590" t="s">
        <v>44</v>
      </c>
      <c r="D1590" t="s">
        <v>18</v>
      </c>
      <c r="E1590">
        <v>42501</v>
      </c>
      <c r="F1590">
        <v>38619</v>
      </c>
      <c r="G1590">
        <v>3882</v>
      </c>
      <c r="H1590" t="s">
        <v>19</v>
      </c>
      <c r="I1590" t="s">
        <v>23</v>
      </c>
      <c r="J1590" t="s">
        <v>42</v>
      </c>
    </row>
    <row r="1591" spans="1:10" x14ac:dyDescent="0.25">
      <c r="A1591" t="s">
        <v>1628</v>
      </c>
      <c r="B1591" s="1">
        <v>45861</v>
      </c>
      <c r="C1591" t="s">
        <v>17</v>
      </c>
      <c r="D1591" t="s">
        <v>41</v>
      </c>
      <c r="E1591">
        <v>19755</v>
      </c>
      <c r="F1591">
        <v>6229</v>
      </c>
      <c r="G1591">
        <v>13526</v>
      </c>
      <c r="H1591" t="s">
        <v>38</v>
      </c>
      <c r="I1591" t="s">
        <v>28</v>
      </c>
      <c r="J1591" t="s">
        <v>15</v>
      </c>
    </row>
    <row r="1592" spans="1:10" x14ac:dyDescent="0.25">
      <c r="A1592" t="s">
        <v>1629</v>
      </c>
      <c r="B1592" s="1">
        <v>45641</v>
      </c>
      <c r="C1592" t="s">
        <v>17</v>
      </c>
      <c r="D1592" t="s">
        <v>18</v>
      </c>
      <c r="E1592">
        <v>13910</v>
      </c>
      <c r="F1592">
        <v>43</v>
      </c>
      <c r="G1592">
        <v>13867</v>
      </c>
      <c r="H1592" t="s">
        <v>13</v>
      </c>
      <c r="I1592" t="s">
        <v>31</v>
      </c>
      <c r="J1592" t="s">
        <v>15</v>
      </c>
    </row>
    <row r="1593" spans="1:10" x14ac:dyDescent="0.25">
      <c r="A1593" t="s">
        <v>1630</v>
      </c>
      <c r="B1593" s="1">
        <v>45674</v>
      </c>
      <c r="C1593" t="s">
        <v>22</v>
      </c>
      <c r="D1593" t="s">
        <v>36</v>
      </c>
      <c r="E1593">
        <v>45074</v>
      </c>
      <c r="F1593">
        <v>33747</v>
      </c>
      <c r="G1593">
        <v>11327</v>
      </c>
      <c r="H1593" t="s">
        <v>19</v>
      </c>
      <c r="I1593" t="s">
        <v>20</v>
      </c>
      <c r="J1593" t="s">
        <v>53</v>
      </c>
    </row>
    <row r="1594" spans="1:10" x14ac:dyDescent="0.25">
      <c r="A1594" t="s">
        <v>1631</v>
      </c>
      <c r="B1594" s="1">
        <v>45836</v>
      </c>
      <c r="C1594" t="s">
        <v>44</v>
      </c>
      <c r="D1594" t="s">
        <v>36</v>
      </c>
      <c r="E1594">
        <v>23455</v>
      </c>
      <c r="F1594">
        <v>18934</v>
      </c>
      <c r="G1594">
        <v>4521</v>
      </c>
      <c r="H1594" t="s">
        <v>19</v>
      </c>
      <c r="I1594" t="s">
        <v>78</v>
      </c>
      <c r="J1594" t="s">
        <v>15</v>
      </c>
    </row>
    <row r="1595" spans="1:10" x14ac:dyDescent="0.25">
      <c r="A1595" t="s">
        <v>1632</v>
      </c>
      <c r="B1595" s="1">
        <v>45982</v>
      </c>
      <c r="C1595" t="s">
        <v>22</v>
      </c>
      <c r="D1595" t="s">
        <v>41</v>
      </c>
      <c r="E1595">
        <v>18579</v>
      </c>
      <c r="F1595">
        <v>17548</v>
      </c>
      <c r="G1595">
        <v>1031</v>
      </c>
      <c r="H1595" t="s">
        <v>27</v>
      </c>
      <c r="I1595" t="s">
        <v>60</v>
      </c>
      <c r="J1595" t="s">
        <v>15</v>
      </c>
    </row>
    <row r="1596" spans="1:10" x14ac:dyDescent="0.25">
      <c r="A1596" t="s">
        <v>1633</v>
      </c>
      <c r="B1596" s="1">
        <v>45200</v>
      </c>
      <c r="C1596" t="s">
        <v>11</v>
      </c>
      <c r="D1596" t="s">
        <v>12</v>
      </c>
      <c r="E1596">
        <v>7065</v>
      </c>
      <c r="F1596">
        <v>5562</v>
      </c>
      <c r="G1596">
        <v>1503</v>
      </c>
      <c r="H1596" t="s">
        <v>19</v>
      </c>
      <c r="I1596" t="s">
        <v>60</v>
      </c>
      <c r="J1596" t="s">
        <v>29</v>
      </c>
    </row>
    <row r="1597" spans="1:10" x14ac:dyDescent="0.25">
      <c r="A1597" t="s">
        <v>1634</v>
      </c>
      <c r="B1597" s="1">
        <v>46111</v>
      </c>
      <c r="C1597" t="s">
        <v>17</v>
      </c>
      <c r="D1597" t="s">
        <v>18</v>
      </c>
      <c r="E1597">
        <v>16296</v>
      </c>
      <c r="F1597">
        <v>6710</v>
      </c>
      <c r="G1597">
        <v>9586</v>
      </c>
      <c r="H1597" t="s">
        <v>13</v>
      </c>
      <c r="I1597" t="s">
        <v>14</v>
      </c>
      <c r="J1597" t="s">
        <v>24</v>
      </c>
    </row>
    <row r="1598" spans="1:10" x14ac:dyDescent="0.25">
      <c r="A1598" t="s">
        <v>1635</v>
      </c>
      <c r="B1598" s="1">
        <v>45365</v>
      </c>
      <c r="C1598" t="s">
        <v>22</v>
      </c>
      <c r="D1598" t="s">
        <v>36</v>
      </c>
      <c r="E1598">
        <v>45443</v>
      </c>
      <c r="F1598">
        <v>33141</v>
      </c>
      <c r="G1598">
        <v>12302</v>
      </c>
      <c r="H1598" t="s">
        <v>19</v>
      </c>
      <c r="I1598" t="s">
        <v>45</v>
      </c>
      <c r="J1598" t="s">
        <v>24</v>
      </c>
    </row>
    <row r="1599" spans="1:10" x14ac:dyDescent="0.25">
      <c r="A1599" t="s">
        <v>1636</v>
      </c>
      <c r="B1599" s="1">
        <v>45704</v>
      </c>
      <c r="C1599" t="s">
        <v>26</v>
      </c>
      <c r="D1599" t="s">
        <v>36</v>
      </c>
      <c r="E1599">
        <v>28806</v>
      </c>
      <c r="F1599">
        <v>16468</v>
      </c>
      <c r="G1599">
        <v>12338</v>
      </c>
      <c r="H1599" t="s">
        <v>38</v>
      </c>
      <c r="I1599" t="s">
        <v>14</v>
      </c>
      <c r="J1599" t="s">
        <v>53</v>
      </c>
    </row>
    <row r="1600" spans="1:10" x14ac:dyDescent="0.25">
      <c r="A1600" t="s">
        <v>1637</v>
      </c>
      <c r="B1600" s="1">
        <v>45441</v>
      </c>
      <c r="C1600" t="s">
        <v>22</v>
      </c>
      <c r="D1600" t="s">
        <v>18</v>
      </c>
      <c r="E1600">
        <v>15374</v>
      </c>
      <c r="F1600">
        <v>13079</v>
      </c>
      <c r="G1600">
        <v>2295</v>
      </c>
      <c r="H1600" t="s">
        <v>19</v>
      </c>
      <c r="I1600" t="s">
        <v>14</v>
      </c>
      <c r="J1600" t="s">
        <v>29</v>
      </c>
    </row>
    <row r="1601" spans="1:10" x14ac:dyDescent="0.25">
      <c r="A1601" t="s">
        <v>1638</v>
      </c>
      <c r="B1601" s="1">
        <v>45328</v>
      </c>
      <c r="C1601" t="s">
        <v>17</v>
      </c>
      <c r="D1601" t="s">
        <v>18</v>
      </c>
      <c r="E1601">
        <v>33995</v>
      </c>
      <c r="F1601">
        <v>23632</v>
      </c>
      <c r="G1601">
        <v>10363</v>
      </c>
      <c r="H1601" t="s">
        <v>13</v>
      </c>
      <c r="I1601" t="s">
        <v>31</v>
      </c>
      <c r="J1601" t="s">
        <v>24</v>
      </c>
    </row>
    <row r="1602" spans="1:10" x14ac:dyDescent="0.25">
      <c r="A1602" t="s">
        <v>1639</v>
      </c>
      <c r="B1602" s="1">
        <v>45913</v>
      </c>
      <c r="C1602" t="s">
        <v>11</v>
      </c>
      <c r="D1602" t="s">
        <v>36</v>
      </c>
      <c r="E1602">
        <v>43125</v>
      </c>
      <c r="F1602">
        <v>27578</v>
      </c>
      <c r="G1602">
        <v>15547</v>
      </c>
      <c r="H1602" t="s">
        <v>27</v>
      </c>
      <c r="I1602" t="s">
        <v>14</v>
      </c>
      <c r="J1602" t="s">
        <v>29</v>
      </c>
    </row>
    <row r="1603" spans="1:10" x14ac:dyDescent="0.25">
      <c r="A1603" t="s">
        <v>1640</v>
      </c>
      <c r="B1603" s="1">
        <v>46175</v>
      </c>
      <c r="C1603" t="s">
        <v>22</v>
      </c>
      <c r="D1603" t="s">
        <v>12</v>
      </c>
      <c r="E1603">
        <v>23204</v>
      </c>
      <c r="F1603">
        <v>9056</v>
      </c>
      <c r="G1603">
        <v>14148</v>
      </c>
      <c r="H1603" t="s">
        <v>38</v>
      </c>
      <c r="I1603" t="s">
        <v>20</v>
      </c>
      <c r="J1603" t="s">
        <v>29</v>
      </c>
    </row>
    <row r="1604" spans="1:10" x14ac:dyDescent="0.25">
      <c r="A1604" t="s">
        <v>1641</v>
      </c>
      <c r="B1604" s="1">
        <v>46175</v>
      </c>
      <c r="C1604" t="s">
        <v>17</v>
      </c>
      <c r="D1604" t="s">
        <v>18</v>
      </c>
      <c r="E1604">
        <v>38037</v>
      </c>
      <c r="F1604">
        <v>28830</v>
      </c>
      <c r="G1604">
        <v>9207</v>
      </c>
      <c r="H1604" t="s">
        <v>19</v>
      </c>
      <c r="I1604" t="s">
        <v>14</v>
      </c>
      <c r="J1604" t="s">
        <v>29</v>
      </c>
    </row>
    <row r="1605" spans="1:10" x14ac:dyDescent="0.25">
      <c r="A1605" t="s">
        <v>1642</v>
      </c>
      <c r="B1605" s="1">
        <v>45663</v>
      </c>
      <c r="C1605" t="s">
        <v>44</v>
      </c>
      <c r="D1605" t="s">
        <v>41</v>
      </c>
      <c r="E1605">
        <v>37913</v>
      </c>
      <c r="F1605">
        <v>26801</v>
      </c>
      <c r="G1605">
        <v>11112</v>
      </c>
      <c r="H1605" t="s">
        <v>27</v>
      </c>
      <c r="I1605" t="s">
        <v>78</v>
      </c>
      <c r="J1605" t="s">
        <v>53</v>
      </c>
    </row>
    <row r="1606" spans="1:10" x14ac:dyDescent="0.25">
      <c r="A1606" t="s">
        <v>1643</v>
      </c>
      <c r="B1606" s="1">
        <v>45804</v>
      </c>
      <c r="C1606" t="s">
        <v>26</v>
      </c>
      <c r="D1606" t="s">
        <v>12</v>
      </c>
      <c r="E1606">
        <v>48217</v>
      </c>
      <c r="F1606">
        <v>42114</v>
      </c>
      <c r="G1606">
        <v>6103</v>
      </c>
      <c r="H1606" t="s">
        <v>19</v>
      </c>
      <c r="I1606" t="s">
        <v>28</v>
      </c>
      <c r="J1606" t="s">
        <v>42</v>
      </c>
    </row>
    <row r="1607" spans="1:10" x14ac:dyDescent="0.25">
      <c r="A1607" t="s">
        <v>1644</v>
      </c>
      <c r="B1607" s="1">
        <v>46040</v>
      </c>
      <c r="C1607" t="s">
        <v>44</v>
      </c>
      <c r="D1607" t="s">
        <v>18</v>
      </c>
      <c r="E1607">
        <v>37486</v>
      </c>
      <c r="F1607">
        <v>34606</v>
      </c>
      <c r="G1607">
        <v>2880</v>
      </c>
      <c r="H1607" t="s">
        <v>19</v>
      </c>
      <c r="I1607" t="s">
        <v>23</v>
      </c>
      <c r="J1607" t="s">
        <v>29</v>
      </c>
    </row>
    <row r="1608" spans="1:10" x14ac:dyDescent="0.25">
      <c r="A1608" t="s">
        <v>1645</v>
      </c>
      <c r="B1608" s="1">
        <v>45588</v>
      </c>
      <c r="C1608" t="s">
        <v>17</v>
      </c>
      <c r="D1608" t="s">
        <v>18</v>
      </c>
      <c r="E1608">
        <v>11384</v>
      </c>
      <c r="F1608">
        <v>10195</v>
      </c>
      <c r="G1608">
        <v>1189</v>
      </c>
      <c r="H1608" t="s">
        <v>38</v>
      </c>
      <c r="I1608" t="s">
        <v>20</v>
      </c>
      <c r="J1608" t="s">
        <v>24</v>
      </c>
    </row>
    <row r="1609" spans="1:10" x14ac:dyDescent="0.25">
      <c r="A1609" t="s">
        <v>1646</v>
      </c>
      <c r="B1609" s="1">
        <v>46118</v>
      </c>
      <c r="C1609" t="s">
        <v>11</v>
      </c>
      <c r="D1609" t="s">
        <v>41</v>
      </c>
      <c r="E1609">
        <v>11181</v>
      </c>
      <c r="F1609">
        <v>6224</v>
      </c>
      <c r="G1609">
        <v>4957</v>
      </c>
      <c r="H1609" t="s">
        <v>19</v>
      </c>
      <c r="I1609" t="s">
        <v>78</v>
      </c>
      <c r="J1609" t="s">
        <v>53</v>
      </c>
    </row>
    <row r="1610" spans="1:10" x14ac:dyDescent="0.25">
      <c r="A1610" t="s">
        <v>1647</v>
      </c>
      <c r="B1610" s="1">
        <v>46205</v>
      </c>
      <c r="C1610" t="s">
        <v>44</v>
      </c>
      <c r="D1610" t="s">
        <v>41</v>
      </c>
      <c r="E1610">
        <v>28294</v>
      </c>
      <c r="F1610">
        <v>15922</v>
      </c>
      <c r="G1610">
        <v>12372</v>
      </c>
      <c r="H1610" t="s">
        <v>27</v>
      </c>
      <c r="I1610" t="s">
        <v>28</v>
      </c>
      <c r="J1610" t="s">
        <v>24</v>
      </c>
    </row>
    <row r="1611" spans="1:10" x14ac:dyDescent="0.25">
      <c r="A1611" t="s">
        <v>1648</v>
      </c>
      <c r="B1611" s="1">
        <v>46048</v>
      </c>
      <c r="C1611" t="s">
        <v>11</v>
      </c>
      <c r="D1611" t="s">
        <v>18</v>
      </c>
      <c r="E1611">
        <v>39750</v>
      </c>
      <c r="F1611">
        <v>38483</v>
      </c>
      <c r="G1611">
        <v>1267</v>
      </c>
      <c r="H1611" t="s">
        <v>19</v>
      </c>
      <c r="I1611" t="s">
        <v>45</v>
      </c>
      <c r="J1611" t="s">
        <v>53</v>
      </c>
    </row>
    <row r="1612" spans="1:10" x14ac:dyDescent="0.25">
      <c r="A1612" t="s">
        <v>1649</v>
      </c>
      <c r="B1612" s="1">
        <v>45408</v>
      </c>
      <c r="C1612" t="s">
        <v>22</v>
      </c>
      <c r="D1612" t="s">
        <v>18</v>
      </c>
      <c r="E1612">
        <v>34888</v>
      </c>
      <c r="F1612">
        <v>30672</v>
      </c>
      <c r="G1612">
        <v>4216</v>
      </c>
      <c r="H1612" t="s">
        <v>13</v>
      </c>
      <c r="I1612" t="s">
        <v>14</v>
      </c>
      <c r="J1612" t="s">
        <v>53</v>
      </c>
    </row>
    <row r="1613" spans="1:10" x14ac:dyDescent="0.25">
      <c r="A1613" t="s">
        <v>1650</v>
      </c>
      <c r="B1613" s="1">
        <v>45319</v>
      </c>
      <c r="C1613" t="s">
        <v>22</v>
      </c>
      <c r="D1613" t="s">
        <v>41</v>
      </c>
      <c r="E1613">
        <v>45155</v>
      </c>
      <c r="F1613">
        <v>34580</v>
      </c>
      <c r="G1613">
        <v>10575</v>
      </c>
      <c r="H1613" t="s">
        <v>38</v>
      </c>
      <c r="I1613" t="s">
        <v>20</v>
      </c>
      <c r="J1613" t="s">
        <v>53</v>
      </c>
    </row>
    <row r="1614" spans="1:10" x14ac:dyDescent="0.25">
      <c r="A1614" t="s">
        <v>1651</v>
      </c>
      <c r="B1614" s="1">
        <v>45783</v>
      </c>
      <c r="C1614" t="s">
        <v>26</v>
      </c>
      <c r="D1614" t="s">
        <v>41</v>
      </c>
      <c r="E1614">
        <v>43342</v>
      </c>
      <c r="F1614">
        <v>28017</v>
      </c>
      <c r="G1614">
        <v>15325</v>
      </c>
      <c r="H1614" t="s">
        <v>27</v>
      </c>
      <c r="I1614" t="s">
        <v>45</v>
      </c>
      <c r="J1614" t="s">
        <v>15</v>
      </c>
    </row>
    <row r="1615" spans="1:10" x14ac:dyDescent="0.25">
      <c r="A1615" t="s">
        <v>1652</v>
      </c>
      <c r="B1615" s="1">
        <v>45683</v>
      </c>
      <c r="C1615" t="s">
        <v>22</v>
      </c>
      <c r="D1615" t="s">
        <v>12</v>
      </c>
      <c r="E1615">
        <v>48952</v>
      </c>
      <c r="F1615">
        <v>41341</v>
      </c>
      <c r="G1615">
        <v>7611</v>
      </c>
      <c r="H1615" t="s">
        <v>19</v>
      </c>
      <c r="I1615" t="s">
        <v>14</v>
      </c>
      <c r="J1615" t="s">
        <v>42</v>
      </c>
    </row>
    <row r="1616" spans="1:10" x14ac:dyDescent="0.25">
      <c r="A1616" t="s">
        <v>1653</v>
      </c>
      <c r="B1616" s="1">
        <v>46181</v>
      </c>
      <c r="C1616" t="s">
        <v>17</v>
      </c>
      <c r="D1616" t="s">
        <v>36</v>
      </c>
      <c r="E1616">
        <v>35875</v>
      </c>
      <c r="F1616">
        <v>21306</v>
      </c>
      <c r="G1616">
        <v>14569</v>
      </c>
      <c r="H1616" t="s">
        <v>27</v>
      </c>
      <c r="I1616" t="s">
        <v>78</v>
      </c>
      <c r="J1616" t="s">
        <v>24</v>
      </c>
    </row>
    <row r="1617" spans="1:10" x14ac:dyDescent="0.25">
      <c r="A1617" t="s">
        <v>1654</v>
      </c>
      <c r="B1617" s="1">
        <v>45179</v>
      </c>
      <c r="C1617" t="s">
        <v>11</v>
      </c>
      <c r="D1617" t="s">
        <v>12</v>
      </c>
      <c r="E1617">
        <v>5977</v>
      </c>
      <c r="F1617">
        <v>5033</v>
      </c>
      <c r="G1617">
        <v>944</v>
      </c>
      <c r="H1617" t="s">
        <v>27</v>
      </c>
      <c r="I1617" t="s">
        <v>45</v>
      </c>
      <c r="J1617" t="s">
        <v>15</v>
      </c>
    </row>
    <row r="1618" spans="1:10" x14ac:dyDescent="0.25">
      <c r="A1618" t="s">
        <v>1655</v>
      </c>
      <c r="B1618" s="1">
        <v>46002</v>
      </c>
      <c r="C1618" t="s">
        <v>22</v>
      </c>
      <c r="D1618" t="s">
        <v>18</v>
      </c>
      <c r="E1618">
        <v>24425</v>
      </c>
      <c r="F1618">
        <v>12253</v>
      </c>
      <c r="G1618">
        <v>12172</v>
      </c>
      <c r="H1618" t="s">
        <v>13</v>
      </c>
      <c r="I1618" t="s">
        <v>14</v>
      </c>
      <c r="J1618" t="s">
        <v>42</v>
      </c>
    </row>
    <row r="1619" spans="1:10" x14ac:dyDescent="0.25">
      <c r="A1619" t="s">
        <v>1656</v>
      </c>
      <c r="B1619" s="1">
        <v>46126</v>
      </c>
      <c r="C1619" t="s">
        <v>22</v>
      </c>
      <c r="D1619" t="s">
        <v>18</v>
      </c>
      <c r="E1619">
        <v>8852</v>
      </c>
      <c r="F1619">
        <v>330</v>
      </c>
      <c r="G1619">
        <v>8522</v>
      </c>
      <c r="H1619" t="s">
        <v>19</v>
      </c>
      <c r="I1619" t="s">
        <v>34</v>
      </c>
      <c r="J1619" t="s">
        <v>42</v>
      </c>
    </row>
    <row r="1620" spans="1:10" x14ac:dyDescent="0.25">
      <c r="A1620" t="s">
        <v>1657</v>
      </c>
      <c r="B1620" s="1">
        <v>45389</v>
      </c>
      <c r="C1620" t="s">
        <v>11</v>
      </c>
      <c r="D1620" t="s">
        <v>41</v>
      </c>
      <c r="E1620">
        <v>24947</v>
      </c>
      <c r="F1620">
        <v>16553</v>
      </c>
      <c r="G1620">
        <v>8394</v>
      </c>
      <c r="H1620" t="s">
        <v>38</v>
      </c>
      <c r="I1620" t="s">
        <v>20</v>
      </c>
      <c r="J1620" t="s">
        <v>24</v>
      </c>
    </row>
    <row r="1621" spans="1:10" x14ac:dyDescent="0.25">
      <c r="A1621" t="s">
        <v>1658</v>
      </c>
      <c r="B1621" s="1">
        <v>45285</v>
      </c>
      <c r="C1621" t="s">
        <v>22</v>
      </c>
      <c r="D1621" t="s">
        <v>33</v>
      </c>
      <c r="E1621">
        <v>40347</v>
      </c>
      <c r="F1621">
        <v>34490</v>
      </c>
      <c r="G1621">
        <v>5857</v>
      </c>
      <c r="H1621" t="s">
        <v>27</v>
      </c>
      <c r="I1621" t="s">
        <v>28</v>
      </c>
      <c r="J1621" t="s">
        <v>15</v>
      </c>
    </row>
    <row r="1622" spans="1:10" x14ac:dyDescent="0.25">
      <c r="A1622" t="s">
        <v>1659</v>
      </c>
      <c r="B1622" s="1">
        <v>45222</v>
      </c>
      <c r="C1622" t="s">
        <v>11</v>
      </c>
      <c r="D1622" t="s">
        <v>12</v>
      </c>
      <c r="E1622">
        <v>37937</v>
      </c>
      <c r="F1622">
        <v>31853</v>
      </c>
      <c r="G1622">
        <v>6084</v>
      </c>
      <c r="H1622" t="s">
        <v>13</v>
      </c>
      <c r="I1622" t="s">
        <v>23</v>
      </c>
      <c r="J1622" t="s">
        <v>24</v>
      </c>
    </row>
    <row r="1623" spans="1:10" x14ac:dyDescent="0.25">
      <c r="A1623" t="s">
        <v>1660</v>
      </c>
      <c r="B1623" s="1">
        <v>45605</v>
      </c>
      <c r="C1623" t="s">
        <v>17</v>
      </c>
      <c r="D1623" t="s">
        <v>12</v>
      </c>
      <c r="E1623">
        <v>12146</v>
      </c>
      <c r="F1623">
        <v>1166</v>
      </c>
      <c r="G1623">
        <v>10980</v>
      </c>
      <c r="H1623" t="s">
        <v>19</v>
      </c>
      <c r="I1623" t="s">
        <v>28</v>
      </c>
      <c r="J1623" t="s">
        <v>42</v>
      </c>
    </row>
    <row r="1624" spans="1:10" x14ac:dyDescent="0.25">
      <c r="A1624" t="s">
        <v>1661</v>
      </c>
      <c r="B1624" s="1">
        <v>45605</v>
      </c>
      <c r="C1624" t="s">
        <v>11</v>
      </c>
      <c r="D1624" t="s">
        <v>18</v>
      </c>
      <c r="E1624">
        <v>18415</v>
      </c>
      <c r="F1624">
        <v>12478</v>
      </c>
      <c r="G1624">
        <v>5937</v>
      </c>
      <c r="H1624" t="s">
        <v>38</v>
      </c>
      <c r="I1624" t="s">
        <v>78</v>
      </c>
      <c r="J1624" t="s">
        <v>42</v>
      </c>
    </row>
    <row r="1625" spans="1:10" x14ac:dyDescent="0.25">
      <c r="A1625" t="s">
        <v>1662</v>
      </c>
      <c r="B1625" s="1">
        <v>46015</v>
      </c>
      <c r="C1625" t="s">
        <v>17</v>
      </c>
      <c r="D1625" t="s">
        <v>36</v>
      </c>
      <c r="E1625">
        <v>48377</v>
      </c>
      <c r="F1625">
        <v>33089</v>
      </c>
      <c r="G1625">
        <v>15288</v>
      </c>
      <c r="H1625" t="s">
        <v>27</v>
      </c>
      <c r="I1625" t="s">
        <v>45</v>
      </c>
      <c r="J1625" t="s">
        <v>15</v>
      </c>
    </row>
    <row r="1626" spans="1:10" x14ac:dyDescent="0.25">
      <c r="A1626" t="s">
        <v>1663</v>
      </c>
      <c r="B1626" s="1">
        <v>45730</v>
      </c>
      <c r="C1626" t="s">
        <v>17</v>
      </c>
      <c r="D1626" t="s">
        <v>36</v>
      </c>
      <c r="E1626">
        <v>36226</v>
      </c>
      <c r="F1626">
        <v>19182</v>
      </c>
      <c r="G1626">
        <v>17044</v>
      </c>
      <c r="H1626" t="s">
        <v>38</v>
      </c>
      <c r="I1626" t="s">
        <v>60</v>
      </c>
      <c r="J1626" t="s">
        <v>29</v>
      </c>
    </row>
    <row r="1627" spans="1:10" x14ac:dyDescent="0.25">
      <c r="A1627" t="s">
        <v>1664</v>
      </c>
      <c r="B1627" s="1">
        <v>45114</v>
      </c>
      <c r="C1627" t="s">
        <v>22</v>
      </c>
      <c r="D1627" t="s">
        <v>36</v>
      </c>
      <c r="E1627">
        <v>39005</v>
      </c>
      <c r="F1627">
        <v>34464</v>
      </c>
      <c r="G1627">
        <v>4541</v>
      </c>
      <c r="H1627" t="s">
        <v>27</v>
      </c>
      <c r="I1627" t="s">
        <v>45</v>
      </c>
      <c r="J1627" t="s">
        <v>15</v>
      </c>
    </row>
    <row r="1628" spans="1:10" x14ac:dyDescent="0.25">
      <c r="A1628" t="s">
        <v>1665</v>
      </c>
      <c r="B1628" s="1">
        <v>45354</v>
      </c>
      <c r="C1628" t="s">
        <v>17</v>
      </c>
      <c r="D1628" t="s">
        <v>41</v>
      </c>
      <c r="E1628">
        <v>42590</v>
      </c>
      <c r="F1628">
        <v>25023</v>
      </c>
      <c r="G1628">
        <v>17567</v>
      </c>
      <c r="H1628" t="s">
        <v>13</v>
      </c>
      <c r="I1628" t="s">
        <v>78</v>
      </c>
      <c r="J1628" t="s">
        <v>29</v>
      </c>
    </row>
    <row r="1629" spans="1:10" x14ac:dyDescent="0.25">
      <c r="A1629" t="s">
        <v>1666</v>
      </c>
      <c r="B1629" s="1">
        <v>45747</v>
      </c>
      <c r="C1629" t="s">
        <v>22</v>
      </c>
      <c r="D1629" t="s">
        <v>12</v>
      </c>
      <c r="E1629">
        <v>42594</v>
      </c>
      <c r="F1629">
        <v>36712</v>
      </c>
      <c r="G1629">
        <v>5882</v>
      </c>
      <c r="H1629" t="s">
        <v>27</v>
      </c>
      <c r="I1629" t="s">
        <v>14</v>
      </c>
      <c r="J1629" t="s">
        <v>15</v>
      </c>
    </row>
    <row r="1630" spans="1:10" x14ac:dyDescent="0.25">
      <c r="A1630" t="s">
        <v>1667</v>
      </c>
      <c r="B1630" s="1">
        <v>45441</v>
      </c>
      <c r="C1630" t="s">
        <v>44</v>
      </c>
      <c r="D1630" t="s">
        <v>18</v>
      </c>
      <c r="E1630">
        <v>28144</v>
      </c>
      <c r="F1630">
        <v>9358</v>
      </c>
      <c r="G1630">
        <v>18786</v>
      </c>
      <c r="H1630" t="s">
        <v>38</v>
      </c>
      <c r="I1630" t="s">
        <v>78</v>
      </c>
      <c r="J1630" t="s">
        <v>15</v>
      </c>
    </row>
    <row r="1631" spans="1:10" x14ac:dyDescent="0.25">
      <c r="A1631" t="s">
        <v>1668</v>
      </c>
      <c r="B1631" s="1">
        <v>45790</v>
      </c>
      <c r="C1631" t="s">
        <v>26</v>
      </c>
      <c r="D1631" t="s">
        <v>41</v>
      </c>
      <c r="E1631">
        <v>44967</v>
      </c>
      <c r="F1631">
        <v>43104</v>
      </c>
      <c r="G1631">
        <v>1863</v>
      </c>
      <c r="H1631" t="s">
        <v>19</v>
      </c>
      <c r="I1631" t="s">
        <v>31</v>
      </c>
      <c r="J1631" t="s">
        <v>53</v>
      </c>
    </row>
    <row r="1632" spans="1:10" x14ac:dyDescent="0.25">
      <c r="A1632" t="s">
        <v>1669</v>
      </c>
      <c r="B1632" s="1">
        <v>46039</v>
      </c>
      <c r="C1632" t="s">
        <v>26</v>
      </c>
      <c r="D1632" t="s">
        <v>41</v>
      </c>
      <c r="E1632">
        <v>17689</v>
      </c>
      <c r="F1632">
        <v>3445</v>
      </c>
      <c r="G1632">
        <v>14244</v>
      </c>
      <c r="H1632" t="s">
        <v>38</v>
      </c>
      <c r="I1632" t="s">
        <v>14</v>
      </c>
      <c r="J1632" t="s">
        <v>53</v>
      </c>
    </row>
    <row r="1633" spans="1:10" x14ac:dyDescent="0.25">
      <c r="A1633" t="s">
        <v>1670</v>
      </c>
      <c r="B1633" s="1">
        <v>45940</v>
      </c>
      <c r="C1633" t="s">
        <v>26</v>
      </c>
      <c r="D1633" t="s">
        <v>33</v>
      </c>
      <c r="E1633">
        <v>16253</v>
      </c>
      <c r="F1633">
        <v>11038</v>
      </c>
      <c r="G1633">
        <v>5215</v>
      </c>
      <c r="H1633" t="s">
        <v>38</v>
      </c>
      <c r="I1633" t="s">
        <v>14</v>
      </c>
      <c r="J1633" t="s">
        <v>24</v>
      </c>
    </row>
    <row r="1634" spans="1:10" x14ac:dyDescent="0.25">
      <c r="A1634" t="s">
        <v>1671</v>
      </c>
      <c r="B1634" s="1">
        <v>46054</v>
      </c>
      <c r="C1634" t="s">
        <v>17</v>
      </c>
      <c r="D1634" t="s">
        <v>12</v>
      </c>
      <c r="E1634">
        <v>35713</v>
      </c>
      <c r="F1634">
        <v>20040</v>
      </c>
      <c r="G1634">
        <v>15673</v>
      </c>
      <c r="H1634" t="s">
        <v>38</v>
      </c>
      <c r="I1634" t="s">
        <v>14</v>
      </c>
      <c r="J1634" t="s">
        <v>29</v>
      </c>
    </row>
    <row r="1635" spans="1:10" x14ac:dyDescent="0.25">
      <c r="A1635" t="s">
        <v>1672</v>
      </c>
      <c r="B1635" s="1">
        <v>45927</v>
      </c>
      <c r="C1635" t="s">
        <v>11</v>
      </c>
      <c r="D1635" t="s">
        <v>41</v>
      </c>
      <c r="E1635">
        <v>40783</v>
      </c>
      <c r="F1635">
        <v>25907</v>
      </c>
      <c r="G1635">
        <v>14876</v>
      </c>
      <c r="H1635" t="s">
        <v>13</v>
      </c>
      <c r="I1635" t="s">
        <v>63</v>
      </c>
      <c r="J1635" t="s">
        <v>53</v>
      </c>
    </row>
    <row r="1636" spans="1:10" x14ac:dyDescent="0.25">
      <c r="A1636" t="s">
        <v>1673</v>
      </c>
      <c r="B1636" s="1">
        <v>45973</v>
      </c>
      <c r="C1636" t="s">
        <v>44</v>
      </c>
      <c r="D1636" t="s">
        <v>12</v>
      </c>
      <c r="E1636">
        <v>26712</v>
      </c>
      <c r="F1636">
        <v>25335</v>
      </c>
      <c r="G1636">
        <v>1377</v>
      </c>
      <c r="H1636" t="s">
        <v>19</v>
      </c>
      <c r="I1636" t="s">
        <v>34</v>
      </c>
      <c r="J1636" t="s">
        <v>29</v>
      </c>
    </row>
    <row r="1637" spans="1:10" x14ac:dyDescent="0.25">
      <c r="A1637" t="s">
        <v>1674</v>
      </c>
      <c r="B1637" s="1">
        <v>45932</v>
      </c>
      <c r="C1637" t="s">
        <v>17</v>
      </c>
      <c r="D1637" t="s">
        <v>36</v>
      </c>
      <c r="E1637">
        <v>15036</v>
      </c>
      <c r="F1637">
        <v>2149</v>
      </c>
      <c r="G1637">
        <v>12887</v>
      </c>
      <c r="H1637" t="s">
        <v>38</v>
      </c>
      <c r="I1637" t="s">
        <v>14</v>
      </c>
      <c r="J1637" t="s">
        <v>24</v>
      </c>
    </row>
    <row r="1638" spans="1:10" x14ac:dyDescent="0.25">
      <c r="A1638" t="s">
        <v>1675</v>
      </c>
      <c r="B1638" s="1">
        <v>45767</v>
      </c>
      <c r="C1638" t="s">
        <v>26</v>
      </c>
      <c r="D1638" t="s">
        <v>41</v>
      </c>
      <c r="E1638">
        <v>28741</v>
      </c>
      <c r="F1638">
        <v>12010</v>
      </c>
      <c r="G1638">
        <v>16731</v>
      </c>
      <c r="H1638" t="s">
        <v>19</v>
      </c>
      <c r="I1638" t="s">
        <v>23</v>
      </c>
      <c r="J1638" t="s">
        <v>29</v>
      </c>
    </row>
    <row r="1639" spans="1:10" x14ac:dyDescent="0.25">
      <c r="A1639" t="s">
        <v>1676</v>
      </c>
      <c r="B1639" s="1">
        <v>45926</v>
      </c>
      <c r="C1639" t="s">
        <v>11</v>
      </c>
      <c r="D1639" t="s">
        <v>36</v>
      </c>
      <c r="E1639">
        <v>24638</v>
      </c>
      <c r="F1639">
        <v>22281</v>
      </c>
      <c r="G1639">
        <v>2357</v>
      </c>
      <c r="H1639" t="s">
        <v>13</v>
      </c>
      <c r="I1639" t="s">
        <v>60</v>
      </c>
      <c r="J1639" t="s">
        <v>42</v>
      </c>
    </row>
    <row r="1640" spans="1:10" x14ac:dyDescent="0.25">
      <c r="A1640" t="s">
        <v>1677</v>
      </c>
      <c r="B1640" s="1">
        <v>45442</v>
      </c>
      <c r="C1640" t="s">
        <v>17</v>
      </c>
      <c r="D1640" t="s">
        <v>41</v>
      </c>
      <c r="E1640">
        <v>45532</v>
      </c>
      <c r="F1640">
        <v>33338</v>
      </c>
      <c r="G1640">
        <v>12194</v>
      </c>
      <c r="H1640" t="s">
        <v>19</v>
      </c>
      <c r="I1640" t="s">
        <v>23</v>
      </c>
      <c r="J1640" t="s">
        <v>53</v>
      </c>
    </row>
    <row r="1641" spans="1:10" x14ac:dyDescent="0.25">
      <c r="A1641" t="s">
        <v>1678</v>
      </c>
      <c r="B1641" s="1">
        <v>45447</v>
      </c>
      <c r="C1641" t="s">
        <v>17</v>
      </c>
      <c r="D1641" t="s">
        <v>36</v>
      </c>
      <c r="E1641">
        <v>38250</v>
      </c>
      <c r="F1641">
        <v>29019</v>
      </c>
      <c r="G1641">
        <v>9231</v>
      </c>
      <c r="H1641" t="s">
        <v>38</v>
      </c>
      <c r="I1641" t="s">
        <v>28</v>
      </c>
      <c r="J1641" t="s">
        <v>29</v>
      </c>
    </row>
    <row r="1642" spans="1:10" x14ac:dyDescent="0.25">
      <c r="A1642" t="s">
        <v>1679</v>
      </c>
      <c r="B1642" s="1">
        <v>45178</v>
      </c>
      <c r="C1642" t="s">
        <v>44</v>
      </c>
      <c r="D1642" t="s">
        <v>36</v>
      </c>
      <c r="E1642">
        <v>31005</v>
      </c>
      <c r="F1642">
        <v>24390</v>
      </c>
      <c r="G1642">
        <v>6615</v>
      </c>
      <c r="H1642" t="s">
        <v>19</v>
      </c>
      <c r="I1642" t="s">
        <v>45</v>
      </c>
      <c r="J1642" t="s">
        <v>15</v>
      </c>
    </row>
    <row r="1643" spans="1:10" x14ac:dyDescent="0.25">
      <c r="A1643" t="s">
        <v>1680</v>
      </c>
      <c r="B1643" s="1">
        <v>45530</v>
      </c>
      <c r="C1643" t="s">
        <v>44</v>
      </c>
      <c r="D1643" t="s">
        <v>36</v>
      </c>
      <c r="E1643">
        <v>6409</v>
      </c>
      <c r="F1643">
        <v>3077</v>
      </c>
      <c r="G1643">
        <v>3332</v>
      </c>
      <c r="H1643" t="s">
        <v>27</v>
      </c>
      <c r="I1643" t="s">
        <v>78</v>
      </c>
      <c r="J1643" t="s">
        <v>15</v>
      </c>
    </row>
    <row r="1644" spans="1:10" x14ac:dyDescent="0.25">
      <c r="A1644" t="s">
        <v>1681</v>
      </c>
      <c r="B1644" s="1">
        <v>45286</v>
      </c>
      <c r="C1644" t="s">
        <v>22</v>
      </c>
      <c r="D1644" t="s">
        <v>18</v>
      </c>
      <c r="E1644">
        <v>32804</v>
      </c>
      <c r="F1644">
        <v>31965</v>
      </c>
      <c r="G1644">
        <v>839</v>
      </c>
      <c r="H1644" t="s">
        <v>38</v>
      </c>
      <c r="I1644" t="s">
        <v>78</v>
      </c>
      <c r="J1644" t="s">
        <v>29</v>
      </c>
    </row>
    <row r="1645" spans="1:10" x14ac:dyDescent="0.25">
      <c r="A1645" t="s">
        <v>1682</v>
      </c>
      <c r="B1645" s="1">
        <v>45496</v>
      </c>
      <c r="C1645" t="s">
        <v>26</v>
      </c>
      <c r="D1645" t="s">
        <v>33</v>
      </c>
      <c r="E1645">
        <v>14407</v>
      </c>
      <c r="F1645">
        <v>13285</v>
      </c>
      <c r="G1645">
        <v>1122</v>
      </c>
      <c r="H1645" t="s">
        <v>27</v>
      </c>
      <c r="I1645" t="s">
        <v>34</v>
      </c>
      <c r="J1645" t="s">
        <v>24</v>
      </c>
    </row>
    <row r="1646" spans="1:10" x14ac:dyDescent="0.25">
      <c r="A1646" t="s">
        <v>1683</v>
      </c>
      <c r="B1646" s="1">
        <v>45742</v>
      </c>
      <c r="C1646" t="s">
        <v>22</v>
      </c>
      <c r="D1646" t="s">
        <v>33</v>
      </c>
      <c r="E1646">
        <v>39816</v>
      </c>
      <c r="F1646">
        <v>21978</v>
      </c>
      <c r="G1646">
        <v>17838</v>
      </c>
      <c r="H1646" t="s">
        <v>27</v>
      </c>
      <c r="I1646" t="s">
        <v>60</v>
      </c>
      <c r="J1646" t="s">
        <v>24</v>
      </c>
    </row>
    <row r="1647" spans="1:10" x14ac:dyDescent="0.25">
      <c r="A1647" t="s">
        <v>1684</v>
      </c>
      <c r="B1647" s="1">
        <v>46191</v>
      </c>
      <c r="C1647" t="s">
        <v>26</v>
      </c>
      <c r="D1647" t="s">
        <v>12</v>
      </c>
      <c r="E1647">
        <v>17926</v>
      </c>
      <c r="F1647">
        <v>1814</v>
      </c>
      <c r="G1647">
        <v>16112</v>
      </c>
      <c r="H1647" t="s">
        <v>38</v>
      </c>
      <c r="I1647" t="s">
        <v>34</v>
      </c>
      <c r="J1647" t="s">
        <v>24</v>
      </c>
    </row>
    <row r="1648" spans="1:10" x14ac:dyDescent="0.25">
      <c r="A1648" t="s">
        <v>1685</v>
      </c>
      <c r="B1648" s="1">
        <v>45331</v>
      </c>
      <c r="C1648" t="s">
        <v>26</v>
      </c>
      <c r="D1648" t="s">
        <v>12</v>
      </c>
      <c r="E1648">
        <v>21935</v>
      </c>
      <c r="F1648">
        <v>14437</v>
      </c>
      <c r="G1648">
        <v>7498</v>
      </c>
      <c r="H1648" t="s">
        <v>19</v>
      </c>
      <c r="I1648" t="s">
        <v>34</v>
      </c>
      <c r="J1648" t="s">
        <v>29</v>
      </c>
    </row>
    <row r="1649" spans="1:10" x14ac:dyDescent="0.25">
      <c r="A1649" t="s">
        <v>1686</v>
      </c>
      <c r="B1649" s="1">
        <v>45360</v>
      </c>
      <c r="C1649" t="s">
        <v>22</v>
      </c>
      <c r="D1649" t="s">
        <v>12</v>
      </c>
      <c r="E1649">
        <v>5800</v>
      </c>
      <c r="F1649">
        <v>935</v>
      </c>
      <c r="G1649">
        <v>4865</v>
      </c>
      <c r="H1649" t="s">
        <v>27</v>
      </c>
      <c r="I1649" t="s">
        <v>60</v>
      </c>
      <c r="J1649" t="s">
        <v>29</v>
      </c>
    </row>
    <row r="1650" spans="1:10" x14ac:dyDescent="0.25">
      <c r="A1650" t="s">
        <v>1687</v>
      </c>
      <c r="B1650" s="1">
        <v>45309</v>
      </c>
      <c r="C1650" t="s">
        <v>11</v>
      </c>
      <c r="D1650" t="s">
        <v>18</v>
      </c>
      <c r="E1650">
        <v>41325</v>
      </c>
      <c r="F1650">
        <v>34796</v>
      </c>
      <c r="G1650">
        <v>6529</v>
      </c>
      <c r="H1650" t="s">
        <v>19</v>
      </c>
      <c r="I1650" t="s">
        <v>31</v>
      </c>
      <c r="J1650" t="s">
        <v>29</v>
      </c>
    </row>
    <row r="1651" spans="1:10" x14ac:dyDescent="0.25">
      <c r="A1651" t="s">
        <v>1688</v>
      </c>
      <c r="B1651" s="1">
        <v>45334</v>
      </c>
      <c r="C1651" t="s">
        <v>11</v>
      </c>
      <c r="D1651" t="s">
        <v>33</v>
      </c>
      <c r="E1651">
        <v>33061</v>
      </c>
      <c r="F1651">
        <v>28797</v>
      </c>
      <c r="G1651">
        <v>4264</v>
      </c>
      <c r="H1651" t="s">
        <v>13</v>
      </c>
      <c r="I1651" t="s">
        <v>23</v>
      </c>
      <c r="J1651" t="s">
        <v>29</v>
      </c>
    </row>
    <row r="1652" spans="1:10" x14ac:dyDescent="0.25">
      <c r="A1652" t="s">
        <v>1689</v>
      </c>
      <c r="B1652" s="1">
        <v>45759</v>
      </c>
      <c r="C1652" t="s">
        <v>17</v>
      </c>
      <c r="D1652" t="s">
        <v>18</v>
      </c>
      <c r="E1652">
        <v>31620</v>
      </c>
      <c r="F1652">
        <v>27711</v>
      </c>
      <c r="G1652">
        <v>3909</v>
      </c>
      <c r="H1652" t="s">
        <v>13</v>
      </c>
      <c r="I1652" t="s">
        <v>63</v>
      </c>
      <c r="J1652" t="s">
        <v>42</v>
      </c>
    </row>
    <row r="1653" spans="1:10" x14ac:dyDescent="0.25">
      <c r="A1653" t="s">
        <v>1690</v>
      </c>
      <c r="B1653" s="1">
        <v>45845</v>
      </c>
      <c r="C1653" t="s">
        <v>11</v>
      </c>
      <c r="D1653" t="s">
        <v>36</v>
      </c>
      <c r="E1653">
        <v>18071</v>
      </c>
      <c r="F1653">
        <v>1139</v>
      </c>
      <c r="G1653">
        <v>16932</v>
      </c>
      <c r="H1653" t="s">
        <v>13</v>
      </c>
      <c r="I1653" t="s">
        <v>60</v>
      </c>
      <c r="J1653" t="s">
        <v>29</v>
      </c>
    </row>
    <row r="1654" spans="1:10" x14ac:dyDescent="0.25">
      <c r="A1654" t="s">
        <v>1691</v>
      </c>
      <c r="B1654" s="1">
        <v>45334</v>
      </c>
      <c r="C1654" t="s">
        <v>26</v>
      </c>
      <c r="D1654" t="s">
        <v>33</v>
      </c>
      <c r="E1654">
        <v>9501</v>
      </c>
      <c r="F1654">
        <v>8425</v>
      </c>
      <c r="G1654">
        <v>1076</v>
      </c>
      <c r="H1654" t="s">
        <v>27</v>
      </c>
      <c r="I1654" t="s">
        <v>45</v>
      </c>
      <c r="J1654" t="s">
        <v>29</v>
      </c>
    </row>
    <row r="1655" spans="1:10" x14ac:dyDescent="0.25">
      <c r="A1655" t="s">
        <v>1692</v>
      </c>
      <c r="B1655" s="1">
        <v>45578</v>
      </c>
      <c r="C1655" t="s">
        <v>17</v>
      </c>
      <c r="D1655" t="s">
        <v>18</v>
      </c>
      <c r="E1655">
        <v>31113</v>
      </c>
      <c r="F1655">
        <v>16462</v>
      </c>
      <c r="G1655">
        <v>14651</v>
      </c>
      <c r="H1655" t="s">
        <v>38</v>
      </c>
      <c r="I1655" t="s">
        <v>23</v>
      </c>
      <c r="J1655" t="s">
        <v>42</v>
      </c>
    </row>
    <row r="1656" spans="1:10" x14ac:dyDescent="0.25">
      <c r="A1656" t="s">
        <v>1693</v>
      </c>
      <c r="B1656" s="1">
        <v>45141</v>
      </c>
      <c r="C1656" t="s">
        <v>11</v>
      </c>
      <c r="D1656" t="s">
        <v>33</v>
      </c>
      <c r="E1656">
        <v>40977</v>
      </c>
      <c r="F1656">
        <v>29033</v>
      </c>
      <c r="G1656">
        <v>11944</v>
      </c>
      <c r="H1656" t="s">
        <v>27</v>
      </c>
      <c r="I1656" t="s">
        <v>31</v>
      </c>
      <c r="J1656" t="s">
        <v>53</v>
      </c>
    </row>
    <row r="1657" spans="1:10" x14ac:dyDescent="0.25">
      <c r="A1657" t="s">
        <v>1694</v>
      </c>
      <c r="B1657" s="1">
        <v>45685</v>
      </c>
      <c r="C1657" t="s">
        <v>11</v>
      </c>
      <c r="D1657" t="s">
        <v>36</v>
      </c>
      <c r="E1657">
        <v>29547</v>
      </c>
      <c r="F1657">
        <v>15710</v>
      </c>
      <c r="G1657">
        <v>13837</v>
      </c>
      <c r="H1657" t="s">
        <v>19</v>
      </c>
      <c r="I1657" t="s">
        <v>63</v>
      </c>
      <c r="J1657" t="s">
        <v>42</v>
      </c>
    </row>
    <row r="1658" spans="1:10" x14ac:dyDescent="0.25">
      <c r="A1658" t="s">
        <v>1695</v>
      </c>
      <c r="B1658" s="1">
        <v>45679</v>
      </c>
      <c r="C1658" t="s">
        <v>22</v>
      </c>
      <c r="D1658" t="s">
        <v>41</v>
      </c>
      <c r="E1658">
        <v>23076</v>
      </c>
      <c r="F1658">
        <v>15100</v>
      </c>
      <c r="G1658">
        <v>7976</v>
      </c>
      <c r="H1658" t="s">
        <v>19</v>
      </c>
      <c r="I1658" t="s">
        <v>23</v>
      </c>
      <c r="J1658" t="s">
        <v>15</v>
      </c>
    </row>
    <row r="1659" spans="1:10" x14ac:dyDescent="0.25">
      <c r="A1659" t="s">
        <v>1696</v>
      </c>
      <c r="B1659" s="1">
        <v>45934</v>
      </c>
      <c r="C1659" t="s">
        <v>11</v>
      </c>
      <c r="D1659" t="s">
        <v>18</v>
      </c>
      <c r="E1659">
        <v>44971</v>
      </c>
      <c r="F1659">
        <v>44128</v>
      </c>
      <c r="G1659">
        <v>843</v>
      </c>
      <c r="H1659" t="s">
        <v>13</v>
      </c>
      <c r="I1659" t="s">
        <v>28</v>
      </c>
      <c r="J1659" t="s">
        <v>15</v>
      </c>
    </row>
    <row r="1660" spans="1:10" x14ac:dyDescent="0.25">
      <c r="A1660" t="s">
        <v>1697</v>
      </c>
      <c r="B1660" s="1">
        <v>45473</v>
      </c>
      <c r="C1660" t="s">
        <v>26</v>
      </c>
      <c r="D1660" t="s">
        <v>18</v>
      </c>
      <c r="E1660">
        <v>31728</v>
      </c>
      <c r="F1660">
        <v>28427</v>
      </c>
      <c r="G1660">
        <v>3301</v>
      </c>
      <c r="H1660" t="s">
        <v>38</v>
      </c>
      <c r="I1660" t="s">
        <v>14</v>
      </c>
      <c r="J1660" t="s">
        <v>15</v>
      </c>
    </row>
    <row r="1661" spans="1:10" x14ac:dyDescent="0.25">
      <c r="A1661" t="s">
        <v>1698</v>
      </c>
      <c r="B1661" s="1">
        <v>45215</v>
      </c>
      <c r="C1661" t="s">
        <v>44</v>
      </c>
      <c r="D1661" t="s">
        <v>18</v>
      </c>
      <c r="E1661">
        <v>13766</v>
      </c>
      <c r="F1661">
        <v>6185</v>
      </c>
      <c r="G1661">
        <v>7581</v>
      </c>
      <c r="H1661" t="s">
        <v>38</v>
      </c>
      <c r="I1661" t="s">
        <v>60</v>
      </c>
      <c r="J1661" t="s">
        <v>29</v>
      </c>
    </row>
    <row r="1662" spans="1:10" x14ac:dyDescent="0.25">
      <c r="A1662" t="s">
        <v>1699</v>
      </c>
      <c r="B1662" s="1">
        <v>45560</v>
      </c>
      <c r="C1662" t="s">
        <v>17</v>
      </c>
      <c r="D1662" t="s">
        <v>18</v>
      </c>
      <c r="E1662">
        <v>32519</v>
      </c>
      <c r="F1662">
        <v>24055</v>
      </c>
      <c r="G1662">
        <v>8464</v>
      </c>
      <c r="H1662" t="s">
        <v>27</v>
      </c>
      <c r="I1662" t="s">
        <v>63</v>
      </c>
      <c r="J1662" t="s">
        <v>53</v>
      </c>
    </row>
    <row r="1663" spans="1:10" x14ac:dyDescent="0.25">
      <c r="A1663" t="s">
        <v>1700</v>
      </c>
      <c r="B1663" s="1">
        <v>45130</v>
      </c>
      <c r="C1663" t="s">
        <v>11</v>
      </c>
      <c r="D1663" t="s">
        <v>33</v>
      </c>
      <c r="E1663">
        <v>47542</v>
      </c>
      <c r="F1663">
        <v>39720</v>
      </c>
      <c r="G1663">
        <v>7822</v>
      </c>
      <c r="H1663" t="s">
        <v>19</v>
      </c>
      <c r="I1663" t="s">
        <v>63</v>
      </c>
      <c r="J1663" t="s">
        <v>24</v>
      </c>
    </row>
    <row r="1664" spans="1:10" x14ac:dyDescent="0.25">
      <c r="A1664" t="s">
        <v>1701</v>
      </c>
      <c r="B1664" s="1">
        <v>46140</v>
      </c>
      <c r="C1664" t="s">
        <v>17</v>
      </c>
      <c r="D1664" t="s">
        <v>41</v>
      </c>
      <c r="E1664">
        <v>30827</v>
      </c>
      <c r="F1664">
        <v>18359</v>
      </c>
      <c r="G1664">
        <v>12468</v>
      </c>
      <c r="H1664" t="s">
        <v>38</v>
      </c>
      <c r="I1664" t="s">
        <v>63</v>
      </c>
      <c r="J1664" t="s">
        <v>15</v>
      </c>
    </row>
    <row r="1665" spans="1:10" x14ac:dyDescent="0.25">
      <c r="A1665" t="s">
        <v>1702</v>
      </c>
      <c r="B1665" s="1">
        <v>45844</v>
      </c>
      <c r="C1665" t="s">
        <v>17</v>
      </c>
      <c r="D1665" t="s">
        <v>41</v>
      </c>
      <c r="E1665">
        <v>41893</v>
      </c>
      <c r="F1665">
        <v>26081</v>
      </c>
      <c r="G1665">
        <v>15812</v>
      </c>
      <c r="H1665" t="s">
        <v>38</v>
      </c>
      <c r="I1665" t="s">
        <v>20</v>
      </c>
      <c r="J1665" t="s">
        <v>42</v>
      </c>
    </row>
    <row r="1666" spans="1:10" x14ac:dyDescent="0.25">
      <c r="A1666" t="s">
        <v>1703</v>
      </c>
      <c r="B1666" s="1">
        <v>46207</v>
      </c>
      <c r="C1666" t="s">
        <v>22</v>
      </c>
      <c r="D1666" t="s">
        <v>12</v>
      </c>
      <c r="E1666">
        <v>44968</v>
      </c>
      <c r="F1666">
        <v>34203</v>
      </c>
      <c r="G1666">
        <v>10765</v>
      </c>
      <c r="H1666" t="s">
        <v>19</v>
      </c>
      <c r="I1666" t="s">
        <v>45</v>
      </c>
      <c r="J1666" t="s">
        <v>24</v>
      </c>
    </row>
    <row r="1667" spans="1:10" x14ac:dyDescent="0.25">
      <c r="A1667" t="s">
        <v>1704</v>
      </c>
      <c r="B1667" s="1">
        <v>45293</v>
      </c>
      <c r="C1667" t="s">
        <v>11</v>
      </c>
      <c r="D1667" t="s">
        <v>41</v>
      </c>
      <c r="E1667">
        <v>40405</v>
      </c>
      <c r="F1667">
        <v>36998</v>
      </c>
      <c r="G1667">
        <v>3407</v>
      </c>
      <c r="H1667" t="s">
        <v>27</v>
      </c>
      <c r="I1667" t="s">
        <v>45</v>
      </c>
      <c r="J1667" t="s">
        <v>24</v>
      </c>
    </row>
    <row r="1668" spans="1:10" x14ac:dyDescent="0.25">
      <c r="A1668" t="s">
        <v>1705</v>
      </c>
      <c r="B1668" s="1">
        <v>45892</v>
      </c>
      <c r="C1668" t="s">
        <v>22</v>
      </c>
      <c r="D1668" t="s">
        <v>36</v>
      </c>
      <c r="E1668">
        <v>14394</v>
      </c>
      <c r="F1668">
        <v>13314</v>
      </c>
      <c r="G1668">
        <v>1080</v>
      </c>
      <c r="H1668" t="s">
        <v>19</v>
      </c>
      <c r="I1668" t="s">
        <v>28</v>
      </c>
      <c r="J1668" t="s">
        <v>15</v>
      </c>
    </row>
    <row r="1669" spans="1:10" x14ac:dyDescent="0.25">
      <c r="A1669" t="s">
        <v>1706</v>
      </c>
      <c r="B1669" s="1">
        <v>45412</v>
      </c>
      <c r="C1669" t="s">
        <v>26</v>
      </c>
      <c r="D1669" t="s">
        <v>33</v>
      </c>
      <c r="E1669">
        <v>8740</v>
      </c>
      <c r="F1669">
        <v>7909</v>
      </c>
      <c r="G1669">
        <v>831</v>
      </c>
      <c r="H1669" t="s">
        <v>13</v>
      </c>
      <c r="I1669" t="s">
        <v>60</v>
      </c>
      <c r="J1669" t="s">
        <v>29</v>
      </c>
    </row>
    <row r="1670" spans="1:10" x14ac:dyDescent="0.25">
      <c r="A1670" t="s">
        <v>1707</v>
      </c>
      <c r="B1670" s="1">
        <v>45582</v>
      </c>
      <c r="C1670" t="s">
        <v>22</v>
      </c>
      <c r="D1670" t="s">
        <v>18</v>
      </c>
      <c r="E1670">
        <v>25322</v>
      </c>
      <c r="F1670">
        <v>17164</v>
      </c>
      <c r="G1670">
        <v>8158</v>
      </c>
      <c r="H1670" t="s">
        <v>27</v>
      </c>
      <c r="I1670" t="s">
        <v>28</v>
      </c>
      <c r="J1670" t="s">
        <v>24</v>
      </c>
    </row>
    <row r="1671" spans="1:10" x14ac:dyDescent="0.25">
      <c r="A1671" t="s">
        <v>1708</v>
      </c>
      <c r="B1671" s="1">
        <v>45710</v>
      </c>
      <c r="C1671" t="s">
        <v>22</v>
      </c>
      <c r="D1671" t="s">
        <v>33</v>
      </c>
      <c r="E1671">
        <v>45674</v>
      </c>
      <c r="F1671">
        <v>44106</v>
      </c>
      <c r="G1671">
        <v>1568</v>
      </c>
      <c r="H1671" t="s">
        <v>13</v>
      </c>
      <c r="I1671" t="s">
        <v>14</v>
      </c>
      <c r="J1671" t="s">
        <v>15</v>
      </c>
    </row>
    <row r="1672" spans="1:10" x14ac:dyDescent="0.25">
      <c r="A1672" t="s">
        <v>1709</v>
      </c>
      <c r="B1672" s="1">
        <v>45178</v>
      </c>
      <c r="C1672" t="s">
        <v>26</v>
      </c>
      <c r="D1672" t="s">
        <v>12</v>
      </c>
      <c r="E1672">
        <v>43462</v>
      </c>
      <c r="F1672">
        <v>42165</v>
      </c>
      <c r="G1672">
        <v>1297</v>
      </c>
      <c r="H1672" t="s">
        <v>19</v>
      </c>
      <c r="I1672" t="s">
        <v>78</v>
      </c>
      <c r="J1672" t="s">
        <v>15</v>
      </c>
    </row>
    <row r="1673" spans="1:10" x14ac:dyDescent="0.25">
      <c r="A1673" t="s">
        <v>1710</v>
      </c>
      <c r="B1673" s="1">
        <v>45824</v>
      </c>
      <c r="C1673" t="s">
        <v>17</v>
      </c>
      <c r="D1673" t="s">
        <v>18</v>
      </c>
      <c r="E1673">
        <v>9878</v>
      </c>
      <c r="F1673">
        <v>5752</v>
      </c>
      <c r="G1673">
        <v>4126</v>
      </c>
      <c r="H1673" t="s">
        <v>13</v>
      </c>
      <c r="I1673" t="s">
        <v>34</v>
      </c>
      <c r="J1673" t="s">
        <v>29</v>
      </c>
    </row>
    <row r="1674" spans="1:10" x14ac:dyDescent="0.25">
      <c r="A1674" t="s">
        <v>1711</v>
      </c>
      <c r="B1674" s="1">
        <v>45963</v>
      </c>
      <c r="C1674" t="s">
        <v>44</v>
      </c>
      <c r="D1674" t="s">
        <v>41</v>
      </c>
      <c r="E1674">
        <v>22698</v>
      </c>
      <c r="F1674">
        <v>3083</v>
      </c>
      <c r="G1674">
        <v>19615</v>
      </c>
      <c r="H1674" t="s">
        <v>27</v>
      </c>
      <c r="I1674" t="s">
        <v>14</v>
      </c>
      <c r="J1674" t="s">
        <v>24</v>
      </c>
    </row>
    <row r="1675" spans="1:10" x14ac:dyDescent="0.25">
      <c r="A1675" t="s">
        <v>1712</v>
      </c>
      <c r="B1675" s="1">
        <v>46062</v>
      </c>
      <c r="C1675" t="s">
        <v>26</v>
      </c>
      <c r="D1675" t="s">
        <v>12</v>
      </c>
      <c r="E1675">
        <v>10251</v>
      </c>
      <c r="F1675">
        <v>3552</v>
      </c>
      <c r="G1675">
        <v>6699</v>
      </c>
      <c r="H1675" t="s">
        <v>38</v>
      </c>
      <c r="I1675" t="s">
        <v>34</v>
      </c>
      <c r="J1675" t="s">
        <v>15</v>
      </c>
    </row>
    <row r="1676" spans="1:10" x14ac:dyDescent="0.25">
      <c r="A1676" t="s">
        <v>1713</v>
      </c>
      <c r="B1676" s="1">
        <v>45980</v>
      </c>
      <c r="C1676" t="s">
        <v>11</v>
      </c>
      <c r="D1676" t="s">
        <v>33</v>
      </c>
      <c r="E1676">
        <v>47800</v>
      </c>
      <c r="F1676">
        <v>40763</v>
      </c>
      <c r="G1676">
        <v>7037</v>
      </c>
      <c r="H1676" t="s">
        <v>38</v>
      </c>
      <c r="I1676" t="s">
        <v>23</v>
      </c>
      <c r="J1676" t="s">
        <v>42</v>
      </c>
    </row>
    <row r="1677" spans="1:10" x14ac:dyDescent="0.25">
      <c r="A1677" t="s">
        <v>1714</v>
      </c>
      <c r="B1677" s="1">
        <v>46122</v>
      </c>
      <c r="C1677" t="s">
        <v>17</v>
      </c>
      <c r="D1677" t="s">
        <v>12</v>
      </c>
      <c r="E1677">
        <v>36554</v>
      </c>
      <c r="F1677">
        <v>16625</v>
      </c>
      <c r="G1677">
        <v>19929</v>
      </c>
      <c r="H1677" t="s">
        <v>38</v>
      </c>
      <c r="I1677" t="s">
        <v>45</v>
      </c>
      <c r="J1677" t="s">
        <v>29</v>
      </c>
    </row>
    <row r="1678" spans="1:10" x14ac:dyDescent="0.25">
      <c r="A1678" t="s">
        <v>1715</v>
      </c>
      <c r="B1678" s="1">
        <v>45362</v>
      </c>
      <c r="C1678" t="s">
        <v>11</v>
      </c>
      <c r="D1678" t="s">
        <v>33</v>
      </c>
      <c r="E1678">
        <v>11116</v>
      </c>
      <c r="F1678">
        <v>9365</v>
      </c>
      <c r="G1678">
        <v>1751</v>
      </c>
      <c r="H1678" t="s">
        <v>19</v>
      </c>
      <c r="I1678" t="s">
        <v>34</v>
      </c>
      <c r="J1678" t="s">
        <v>42</v>
      </c>
    </row>
    <row r="1679" spans="1:10" x14ac:dyDescent="0.25">
      <c r="A1679" t="s">
        <v>1716</v>
      </c>
      <c r="B1679" s="1">
        <v>45159</v>
      </c>
      <c r="C1679" t="s">
        <v>26</v>
      </c>
      <c r="D1679" t="s">
        <v>36</v>
      </c>
      <c r="E1679">
        <v>42796</v>
      </c>
      <c r="F1679">
        <v>42188</v>
      </c>
      <c r="G1679">
        <v>608</v>
      </c>
      <c r="H1679" t="s">
        <v>13</v>
      </c>
      <c r="I1679" t="s">
        <v>23</v>
      </c>
      <c r="J1679" t="s">
        <v>24</v>
      </c>
    </row>
    <row r="1680" spans="1:10" x14ac:dyDescent="0.25">
      <c r="A1680" t="s">
        <v>1717</v>
      </c>
      <c r="B1680" s="1">
        <v>45741</v>
      </c>
      <c r="C1680" t="s">
        <v>22</v>
      </c>
      <c r="D1680" t="s">
        <v>18</v>
      </c>
      <c r="E1680">
        <v>22590</v>
      </c>
      <c r="F1680">
        <v>13167</v>
      </c>
      <c r="G1680">
        <v>9423</v>
      </c>
      <c r="H1680" t="s">
        <v>13</v>
      </c>
      <c r="I1680" t="s">
        <v>78</v>
      </c>
      <c r="J1680" t="s">
        <v>29</v>
      </c>
    </row>
    <row r="1681" spans="1:10" x14ac:dyDescent="0.25">
      <c r="A1681" t="s">
        <v>1718</v>
      </c>
      <c r="B1681" s="1">
        <v>46056</v>
      </c>
      <c r="C1681" t="s">
        <v>44</v>
      </c>
      <c r="D1681" t="s">
        <v>36</v>
      </c>
      <c r="E1681">
        <v>6411</v>
      </c>
      <c r="F1681">
        <v>4922</v>
      </c>
      <c r="G1681">
        <v>1489</v>
      </c>
      <c r="H1681" t="s">
        <v>19</v>
      </c>
      <c r="I1681" t="s">
        <v>23</v>
      </c>
      <c r="J1681" t="s">
        <v>15</v>
      </c>
    </row>
    <row r="1682" spans="1:10" x14ac:dyDescent="0.25">
      <c r="A1682" t="s">
        <v>1719</v>
      </c>
      <c r="B1682" s="1">
        <v>45386</v>
      </c>
      <c r="C1682" t="s">
        <v>17</v>
      </c>
      <c r="D1682" t="s">
        <v>33</v>
      </c>
      <c r="E1682">
        <v>31994</v>
      </c>
      <c r="F1682">
        <v>30564</v>
      </c>
      <c r="G1682">
        <v>1430</v>
      </c>
      <c r="H1682" t="s">
        <v>27</v>
      </c>
      <c r="I1682" t="s">
        <v>14</v>
      </c>
      <c r="J1682" t="s">
        <v>15</v>
      </c>
    </row>
    <row r="1683" spans="1:10" x14ac:dyDescent="0.25">
      <c r="A1683" t="s">
        <v>1720</v>
      </c>
      <c r="B1683" s="1">
        <v>45212</v>
      </c>
      <c r="C1683" t="s">
        <v>11</v>
      </c>
      <c r="D1683" t="s">
        <v>12</v>
      </c>
      <c r="E1683">
        <v>37388</v>
      </c>
      <c r="F1683">
        <v>31118</v>
      </c>
      <c r="G1683">
        <v>6270</v>
      </c>
      <c r="H1683" t="s">
        <v>19</v>
      </c>
      <c r="I1683" t="s">
        <v>60</v>
      </c>
      <c r="J1683" t="s">
        <v>53</v>
      </c>
    </row>
    <row r="1684" spans="1:10" x14ac:dyDescent="0.25">
      <c r="A1684" t="s">
        <v>1721</v>
      </c>
      <c r="B1684" s="1">
        <v>45875</v>
      </c>
      <c r="C1684" t="s">
        <v>17</v>
      </c>
      <c r="D1684" t="s">
        <v>33</v>
      </c>
      <c r="E1684">
        <v>14271</v>
      </c>
      <c r="F1684">
        <v>6685</v>
      </c>
      <c r="G1684">
        <v>7586</v>
      </c>
      <c r="H1684" t="s">
        <v>19</v>
      </c>
      <c r="I1684" t="s">
        <v>28</v>
      </c>
      <c r="J1684" t="s">
        <v>53</v>
      </c>
    </row>
    <row r="1685" spans="1:10" x14ac:dyDescent="0.25">
      <c r="A1685" t="s">
        <v>1722</v>
      </c>
      <c r="B1685" s="1">
        <v>45336</v>
      </c>
      <c r="C1685" t="s">
        <v>17</v>
      </c>
      <c r="D1685" t="s">
        <v>18</v>
      </c>
      <c r="E1685">
        <v>35257</v>
      </c>
      <c r="F1685">
        <v>34196</v>
      </c>
      <c r="G1685">
        <v>1061</v>
      </c>
      <c r="H1685" t="s">
        <v>13</v>
      </c>
      <c r="I1685" t="s">
        <v>34</v>
      </c>
      <c r="J1685" t="s">
        <v>15</v>
      </c>
    </row>
    <row r="1686" spans="1:10" x14ac:dyDescent="0.25">
      <c r="A1686" t="s">
        <v>1723</v>
      </c>
      <c r="B1686" s="1">
        <v>45643</v>
      </c>
      <c r="C1686" t="s">
        <v>22</v>
      </c>
      <c r="D1686" t="s">
        <v>12</v>
      </c>
      <c r="E1686">
        <v>29978</v>
      </c>
      <c r="F1686">
        <v>26233</v>
      </c>
      <c r="G1686">
        <v>3745</v>
      </c>
      <c r="H1686" t="s">
        <v>13</v>
      </c>
      <c r="I1686" t="s">
        <v>34</v>
      </c>
      <c r="J1686" t="s">
        <v>29</v>
      </c>
    </row>
    <row r="1687" spans="1:10" x14ac:dyDescent="0.25">
      <c r="A1687" t="s">
        <v>1724</v>
      </c>
      <c r="B1687" s="1">
        <v>45712</v>
      </c>
      <c r="C1687" t="s">
        <v>17</v>
      </c>
      <c r="D1687" t="s">
        <v>18</v>
      </c>
      <c r="E1687">
        <v>39155</v>
      </c>
      <c r="F1687">
        <v>29402</v>
      </c>
      <c r="G1687">
        <v>9753</v>
      </c>
      <c r="H1687" t="s">
        <v>27</v>
      </c>
      <c r="I1687" t="s">
        <v>20</v>
      </c>
      <c r="J1687" t="s">
        <v>24</v>
      </c>
    </row>
    <row r="1688" spans="1:10" x14ac:dyDescent="0.25">
      <c r="A1688" t="s">
        <v>1725</v>
      </c>
      <c r="B1688" s="1">
        <v>46189</v>
      </c>
      <c r="C1688" t="s">
        <v>26</v>
      </c>
      <c r="D1688" t="s">
        <v>12</v>
      </c>
      <c r="E1688">
        <v>8772</v>
      </c>
      <c r="F1688">
        <v>1362</v>
      </c>
      <c r="G1688">
        <v>7410</v>
      </c>
      <c r="H1688" t="s">
        <v>38</v>
      </c>
      <c r="I1688" t="s">
        <v>60</v>
      </c>
      <c r="J1688" t="s">
        <v>42</v>
      </c>
    </row>
    <row r="1689" spans="1:10" x14ac:dyDescent="0.25">
      <c r="A1689" t="s">
        <v>1726</v>
      </c>
      <c r="B1689" s="1">
        <v>45724</v>
      </c>
      <c r="C1689" t="s">
        <v>44</v>
      </c>
      <c r="D1689" t="s">
        <v>18</v>
      </c>
      <c r="E1689">
        <v>6456</v>
      </c>
      <c r="F1689">
        <v>911</v>
      </c>
      <c r="G1689">
        <v>5545</v>
      </c>
      <c r="H1689" t="s">
        <v>13</v>
      </c>
      <c r="I1689" t="s">
        <v>34</v>
      </c>
      <c r="J1689" t="s">
        <v>53</v>
      </c>
    </row>
    <row r="1690" spans="1:10" x14ac:dyDescent="0.25">
      <c r="A1690" t="s">
        <v>1727</v>
      </c>
      <c r="B1690" s="1">
        <v>45206</v>
      </c>
      <c r="C1690" t="s">
        <v>17</v>
      </c>
      <c r="D1690" t="s">
        <v>33</v>
      </c>
      <c r="E1690">
        <v>48878</v>
      </c>
      <c r="F1690">
        <v>32067</v>
      </c>
      <c r="G1690">
        <v>16811</v>
      </c>
      <c r="H1690" t="s">
        <v>19</v>
      </c>
      <c r="I1690" t="s">
        <v>28</v>
      </c>
      <c r="J1690" t="s">
        <v>15</v>
      </c>
    </row>
    <row r="1691" spans="1:10" x14ac:dyDescent="0.25">
      <c r="A1691" t="s">
        <v>1728</v>
      </c>
      <c r="B1691" s="1">
        <v>45230</v>
      </c>
      <c r="C1691" t="s">
        <v>17</v>
      </c>
      <c r="D1691" t="s">
        <v>18</v>
      </c>
      <c r="E1691">
        <v>13586</v>
      </c>
      <c r="F1691">
        <v>12020</v>
      </c>
      <c r="G1691">
        <v>1566</v>
      </c>
      <c r="H1691" t="s">
        <v>13</v>
      </c>
      <c r="I1691" t="s">
        <v>45</v>
      </c>
      <c r="J1691" t="s">
        <v>24</v>
      </c>
    </row>
    <row r="1692" spans="1:10" x14ac:dyDescent="0.25">
      <c r="A1692" t="s">
        <v>1729</v>
      </c>
      <c r="B1692" s="1">
        <v>45311</v>
      </c>
      <c r="C1692" t="s">
        <v>22</v>
      </c>
      <c r="D1692" t="s">
        <v>41</v>
      </c>
      <c r="E1692">
        <v>20068</v>
      </c>
      <c r="F1692">
        <v>7242</v>
      </c>
      <c r="G1692">
        <v>12826</v>
      </c>
      <c r="H1692" t="s">
        <v>19</v>
      </c>
      <c r="I1692" t="s">
        <v>63</v>
      </c>
      <c r="J1692" t="s">
        <v>53</v>
      </c>
    </row>
    <row r="1693" spans="1:10" x14ac:dyDescent="0.25">
      <c r="A1693" t="s">
        <v>1730</v>
      </c>
      <c r="B1693" s="1">
        <v>46171</v>
      </c>
      <c r="C1693" t="s">
        <v>22</v>
      </c>
      <c r="D1693" t="s">
        <v>36</v>
      </c>
      <c r="E1693">
        <v>9260</v>
      </c>
      <c r="F1693">
        <v>6576</v>
      </c>
      <c r="G1693">
        <v>2684</v>
      </c>
      <c r="H1693" t="s">
        <v>13</v>
      </c>
      <c r="I1693" t="s">
        <v>78</v>
      </c>
      <c r="J1693" t="s">
        <v>15</v>
      </c>
    </row>
    <row r="1694" spans="1:10" x14ac:dyDescent="0.25">
      <c r="A1694" t="s">
        <v>1731</v>
      </c>
      <c r="B1694" s="1">
        <v>45912</v>
      </c>
      <c r="C1694" t="s">
        <v>22</v>
      </c>
      <c r="D1694" t="s">
        <v>41</v>
      </c>
      <c r="E1694">
        <v>39491</v>
      </c>
      <c r="F1694">
        <v>28346</v>
      </c>
      <c r="G1694">
        <v>11145</v>
      </c>
      <c r="H1694" t="s">
        <v>19</v>
      </c>
      <c r="I1694" t="s">
        <v>60</v>
      </c>
      <c r="J1694" t="s">
        <v>24</v>
      </c>
    </row>
    <row r="1695" spans="1:10" x14ac:dyDescent="0.25">
      <c r="A1695" t="s">
        <v>1732</v>
      </c>
      <c r="B1695" s="1">
        <v>45971</v>
      </c>
      <c r="C1695" t="s">
        <v>44</v>
      </c>
      <c r="D1695" t="s">
        <v>12</v>
      </c>
      <c r="E1695">
        <v>32289</v>
      </c>
      <c r="F1695">
        <v>19620</v>
      </c>
      <c r="G1695">
        <v>12669</v>
      </c>
      <c r="H1695" t="s">
        <v>19</v>
      </c>
      <c r="I1695" t="s">
        <v>45</v>
      </c>
      <c r="J1695" t="s">
        <v>15</v>
      </c>
    </row>
    <row r="1696" spans="1:10" x14ac:dyDescent="0.25">
      <c r="A1696" t="s">
        <v>1733</v>
      </c>
      <c r="B1696" s="1">
        <v>45308</v>
      </c>
      <c r="C1696" t="s">
        <v>11</v>
      </c>
      <c r="D1696" t="s">
        <v>12</v>
      </c>
      <c r="E1696">
        <v>19656</v>
      </c>
      <c r="F1696">
        <v>18423</v>
      </c>
      <c r="G1696">
        <v>1233</v>
      </c>
      <c r="H1696" t="s">
        <v>38</v>
      </c>
      <c r="I1696" t="s">
        <v>20</v>
      </c>
      <c r="J1696" t="s">
        <v>24</v>
      </c>
    </row>
    <row r="1697" spans="1:10" x14ac:dyDescent="0.25">
      <c r="A1697" t="s">
        <v>1734</v>
      </c>
      <c r="B1697" s="1">
        <v>45193</v>
      </c>
      <c r="C1697" t="s">
        <v>11</v>
      </c>
      <c r="D1697" t="s">
        <v>33</v>
      </c>
      <c r="E1697">
        <v>48412</v>
      </c>
      <c r="F1697">
        <v>47083</v>
      </c>
      <c r="G1697">
        <v>1329</v>
      </c>
      <c r="H1697" t="s">
        <v>19</v>
      </c>
      <c r="I1697" t="s">
        <v>14</v>
      </c>
      <c r="J1697" t="s">
        <v>42</v>
      </c>
    </row>
    <row r="1698" spans="1:10" x14ac:dyDescent="0.25">
      <c r="A1698" t="s">
        <v>1735</v>
      </c>
      <c r="B1698" s="1">
        <v>45463</v>
      </c>
      <c r="C1698" t="s">
        <v>22</v>
      </c>
      <c r="D1698" t="s">
        <v>12</v>
      </c>
      <c r="E1698">
        <v>38515</v>
      </c>
      <c r="F1698">
        <v>25157</v>
      </c>
      <c r="G1698">
        <v>13358</v>
      </c>
      <c r="H1698" t="s">
        <v>38</v>
      </c>
      <c r="I1698" t="s">
        <v>34</v>
      </c>
      <c r="J1698" t="s">
        <v>29</v>
      </c>
    </row>
    <row r="1699" spans="1:10" x14ac:dyDescent="0.25">
      <c r="A1699" t="s">
        <v>1736</v>
      </c>
      <c r="B1699" s="1">
        <v>45374</v>
      </c>
      <c r="C1699" t="s">
        <v>17</v>
      </c>
      <c r="D1699" t="s">
        <v>18</v>
      </c>
      <c r="E1699">
        <v>17811</v>
      </c>
      <c r="F1699">
        <v>14400</v>
      </c>
      <c r="G1699">
        <v>3411</v>
      </c>
      <c r="H1699" t="s">
        <v>13</v>
      </c>
      <c r="I1699" t="s">
        <v>34</v>
      </c>
      <c r="J1699" t="s">
        <v>29</v>
      </c>
    </row>
    <row r="1700" spans="1:10" x14ac:dyDescent="0.25">
      <c r="A1700" t="s">
        <v>1737</v>
      </c>
      <c r="B1700" s="1">
        <v>45671</v>
      </c>
      <c r="C1700" t="s">
        <v>22</v>
      </c>
      <c r="D1700" t="s">
        <v>36</v>
      </c>
      <c r="E1700">
        <v>40098</v>
      </c>
      <c r="F1700">
        <v>25140</v>
      </c>
      <c r="G1700">
        <v>14958</v>
      </c>
      <c r="H1700" t="s">
        <v>19</v>
      </c>
      <c r="I1700" t="s">
        <v>63</v>
      </c>
      <c r="J1700" t="s">
        <v>53</v>
      </c>
    </row>
    <row r="1701" spans="1:10" x14ac:dyDescent="0.25">
      <c r="A1701" t="s">
        <v>1738</v>
      </c>
      <c r="B1701" s="1">
        <v>45907</v>
      </c>
      <c r="C1701" t="s">
        <v>11</v>
      </c>
      <c r="D1701" t="s">
        <v>41</v>
      </c>
      <c r="E1701">
        <v>29093</v>
      </c>
      <c r="F1701">
        <v>24692</v>
      </c>
      <c r="G1701">
        <v>4401</v>
      </c>
      <c r="H1701" t="s">
        <v>27</v>
      </c>
      <c r="I1701" t="s">
        <v>60</v>
      </c>
      <c r="J1701" t="s">
        <v>42</v>
      </c>
    </row>
    <row r="1702" spans="1:10" x14ac:dyDescent="0.25">
      <c r="A1702" t="s">
        <v>1739</v>
      </c>
      <c r="B1702" s="1">
        <v>45868</v>
      </c>
      <c r="C1702" t="s">
        <v>26</v>
      </c>
      <c r="D1702" t="s">
        <v>18</v>
      </c>
      <c r="E1702">
        <v>41628</v>
      </c>
      <c r="F1702">
        <v>22614</v>
      </c>
      <c r="G1702">
        <v>19014</v>
      </c>
      <c r="H1702" t="s">
        <v>38</v>
      </c>
      <c r="I1702" t="s">
        <v>14</v>
      </c>
      <c r="J1702" t="s">
        <v>29</v>
      </c>
    </row>
    <row r="1703" spans="1:10" x14ac:dyDescent="0.25">
      <c r="A1703" t="s">
        <v>1740</v>
      </c>
      <c r="B1703" s="1">
        <v>45489</v>
      </c>
      <c r="C1703" t="s">
        <v>17</v>
      </c>
      <c r="D1703" t="s">
        <v>33</v>
      </c>
      <c r="E1703">
        <v>12484</v>
      </c>
      <c r="F1703">
        <v>5092</v>
      </c>
      <c r="G1703">
        <v>7392</v>
      </c>
      <c r="H1703" t="s">
        <v>19</v>
      </c>
      <c r="I1703" t="s">
        <v>20</v>
      </c>
      <c r="J1703" t="s">
        <v>15</v>
      </c>
    </row>
    <row r="1704" spans="1:10" x14ac:dyDescent="0.25">
      <c r="A1704" t="s">
        <v>1741</v>
      </c>
      <c r="B1704" s="1">
        <v>45307</v>
      </c>
      <c r="C1704" t="s">
        <v>22</v>
      </c>
      <c r="D1704" t="s">
        <v>18</v>
      </c>
      <c r="E1704">
        <v>11745</v>
      </c>
      <c r="F1704">
        <v>2741</v>
      </c>
      <c r="G1704">
        <v>9004</v>
      </c>
      <c r="H1704" t="s">
        <v>27</v>
      </c>
      <c r="I1704" t="s">
        <v>78</v>
      </c>
      <c r="J1704" t="s">
        <v>15</v>
      </c>
    </row>
    <row r="1705" spans="1:10" x14ac:dyDescent="0.25">
      <c r="A1705" t="s">
        <v>1742</v>
      </c>
      <c r="B1705" s="1">
        <v>45409</v>
      </c>
      <c r="C1705" t="s">
        <v>26</v>
      </c>
      <c r="D1705" t="s">
        <v>41</v>
      </c>
      <c r="E1705">
        <v>12771</v>
      </c>
      <c r="F1705">
        <v>8040</v>
      </c>
      <c r="G1705">
        <v>4731</v>
      </c>
      <c r="H1705" t="s">
        <v>13</v>
      </c>
      <c r="I1705" t="s">
        <v>63</v>
      </c>
      <c r="J1705" t="s">
        <v>29</v>
      </c>
    </row>
    <row r="1706" spans="1:10" x14ac:dyDescent="0.25">
      <c r="A1706" t="s">
        <v>1743</v>
      </c>
      <c r="B1706" s="1">
        <v>45661</v>
      </c>
      <c r="C1706" t="s">
        <v>44</v>
      </c>
      <c r="D1706" t="s">
        <v>41</v>
      </c>
      <c r="E1706">
        <v>8571</v>
      </c>
      <c r="F1706">
        <v>7614</v>
      </c>
      <c r="G1706">
        <v>957</v>
      </c>
      <c r="H1706" t="s">
        <v>13</v>
      </c>
      <c r="I1706" t="s">
        <v>63</v>
      </c>
      <c r="J1706" t="s">
        <v>29</v>
      </c>
    </row>
    <row r="1707" spans="1:10" x14ac:dyDescent="0.25">
      <c r="A1707" t="s">
        <v>1744</v>
      </c>
      <c r="B1707" s="1">
        <v>45578</v>
      </c>
      <c r="C1707" t="s">
        <v>17</v>
      </c>
      <c r="D1707" t="s">
        <v>18</v>
      </c>
      <c r="E1707">
        <v>24159</v>
      </c>
      <c r="F1707">
        <v>23336</v>
      </c>
      <c r="G1707">
        <v>823</v>
      </c>
      <c r="H1707" t="s">
        <v>38</v>
      </c>
      <c r="I1707" t="s">
        <v>78</v>
      </c>
      <c r="J1707" t="s">
        <v>24</v>
      </c>
    </row>
    <row r="1708" spans="1:10" x14ac:dyDescent="0.25">
      <c r="A1708" t="s">
        <v>1745</v>
      </c>
      <c r="B1708" s="1">
        <v>45141</v>
      </c>
      <c r="C1708" t="s">
        <v>11</v>
      </c>
      <c r="D1708" t="s">
        <v>41</v>
      </c>
      <c r="E1708">
        <v>19909</v>
      </c>
      <c r="F1708">
        <v>14614</v>
      </c>
      <c r="G1708">
        <v>5295</v>
      </c>
      <c r="H1708" t="s">
        <v>19</v>
      </c>
      <c r="I1708" t="s">
        <v>14</v>
      </c>
      <c r="J1708" t="s">
        <v>15</v>
      </c>
    </row>
    <row r="1709" spans="1:10" x14ac:dyDescent="0.25">
      <c r="A1709" t="s">
        <v>1746</v>
      </c>
      <c r="B1709" s="1">
        <v>45514</v>
      </c>
      <c r="C1709" t="s">
        <v>26</v>
      </c>
      <c r="D1709" t="s">
        <v>18</v>
      </c>
      <c r="E1709">
        <v>5732</v>
      </c>
      <c r="F1709">
        <v>5090</v>
      </c>
      <c r="G1709">
        <v>642</v>
      </c>
      <c r="H1709" t="s">
        <v>13</v>
      </c>
      <c r="I1709" t="s">
        <v>23</v>
      </c>
      <c r="J1709" t="s">
        <v>15</v>
      </c>
    </row>
    <row r="1710" spans="1:10" x14ac:dyDescent="0.25">
      <c r="A1710" t="s">
        <v>1747</v>
      </c>
      <c r="B1710" s="1">
        <v>45418</v>
      </c>
      <c r="C1710" t="s">
        <v>44</v>
      </c>
      <c r="D1710" t="s">
        <v>18</v>
      </c>
      <c r="E1710">
        <v>39481</v>
      </c>
      <c r="F1710">
        <v>20643</v>
      </c>
      <c r="G1710">
        <v>18838</v>
      </c>
      <c r="H1710" t="s">
        <v>19</v>
      </c>
      <c r="I1710" t="s">
        <v>28</v>
      </c>
      <c r="J1710" t="s">
        <v>15</v>
      </c>
    </row>
    <row r="1711" spans="1:10" x14ac:dyDescent="0.25">
      <c r="A1711" t="s">
        <v>1748</v>
      </c>
      <c r="B1711" s="1">
        <v>46018</v>
      </c>
      <c r="C1711" t="s">
        <v>22</v>
      </c>
      <c r="D1711" t="s">
        <v>41</v>
      </c>
      <c r="E1711">
        <v>41418</v>
      </c>
      <c r="F1711">
        <v>24009</v>
      </c>
      <c r="G1711">
        <v>17409</v>
      </c>
      <c r="H1711" t="s">
        <v>19</v>
      </c>
      <c r="I1711" t="s">
        <v>34</v>
      </c>
      <c r="J1711" t="s">
        <v>29</v>
      </c>
    </row>
    <row r="1712" spans="1:10" x14ac:dyDescent="0.25">
      <c r="A1712" t="s">
        <v>1749</v>
      </c>
      <c r="B1712" s="1">
        <v>45132</v>
      </c>
      <c r="C1712" t="s">
        <v>44</v>
      </c>
      <c r="D1712" t="s">
        <v>12</v>
      </c>
      <c r="E1712">
        <v>18741</v>
      </c>
      <c r="F1712">
        <v>14136</v>
      </c>
      <c r="G1712">
        <v>4605</v>
      </c>
      <c r="H1712" t="s">
        <v>38</v>
      </c>
      <c r="I1712" t="s">
        <v>20</v>
      </c>
      <c r="J1712" t="s">
        <v>53</v>
      </c>
    </row>
    <row r="1713" spans="1:10" x14ac:dyDescent="0.25">
      <c r="A1713" t="s">
        <v>1750</v>
      </c>
      <c r="B1713" s="1">
        <v>45883</v>
      </c>
      <c r="C1713" t="s">
        <v>17</v>
      </c>
      <c r="D1713" t="s">
        <v>12</v>
      </c>
      <c r="E1713">
        <v>9673</v>
      </c>
      <c r="F1713">
        <v>1323</v>
      </c>
      <c r="G1713">
        <v>8350</v>
      </c>
      <c r="H1713" t="s">
        <v>13</v>
      </c>
      <c r="I1713" t="s">
        <v>14</v>
      </c>
      <c r="J1713" t="s">
        <v>15</v>
      </c>
    </row>
    <row r="1714" spans="1:10" x14ac:dyDescent="0.25">
      <c r="A1714" t="s">
        <v>1751</v>
      </c>
      <c r="B1714" s="1">
        <v>46137</v>
      </c>
      <c r="C1714" t="s">
        <v>22</v>
      </c>
      <c r="D1714" t="s">
        <v>36</v>
      </c>
      <c r="E1714">
        <v>36994</v>
      </c>
      <c r="F1714">
        <v>33348</v>
      </c>
      <c r="G1714">
        <v>3646</v>
      </c>
      <c r="H1714" t="s">
        <v>27</v>
      </c>
      <c r="I1714" t="s">
        <v>34</v>
      </c>
      <c r="J1714" t="s">
        <v>53</v>
      </c>
    </row>
    <row r="1715" spans="1:10" x14ac:dyDescent="0.25">
      <c r="A1715" t="s">
        <v>1752</v>
      </c>
      <c r="B1715" s="1">
        <v>45931</v>
      </c>
      <c r="C1715" t="s">
        <v>17</v>
      </c>
      <c r="D1715" t="s">
        <v>36</v>
      </c>
      <c r="E1715">
        <v>48215</v>
      </c>
      <c r="F1715">
        <v>35897</v>
      </c>
      <c r="G1715">
        <v>12318</v>
      </c>
      <c r="H1715" t="s">
        <v>19</v>
      </c>
      <c r="I1715" t="s">
        <v>60</v>
      </c>
      <c r="J1715" t="s">
        <v>29</v>
      </c>
    </row>
    <row r="1716" spans="1:10" x14ac:dyDescent="0.25">
      <c r="A1716" t="s">
        <v>1753</v>
      </c>
      <c r="B1716" s="1">
        <v>46139</v>
      </c>
      <c r="C1716" t="s">
        <v>44</v>
      </c>
      <c r="D1716" t="s">
        <v>33</v>
      </c>
      <c r="E1716">
        <v>20505</v>
      </c>
      <c r="F1716">
        <v>1620</v>
      </c>
      <c r="G1716">
        <v>18885</v>
      </c>
      <c r="H1716" t="s">
        <v>27</v>
      </c>
      <c r="I1716" t="s">
        <v>23</v>
      </c>
      <c r="J1716" t="s">
        <v>24</v>
      </c>
    </row>
    <row r="1717" spans="1:10" x14ac:dyDescent="0.25">
      <c r="A1717" t="s">
        <v>1754</v>
      </c>
      <c r="B1717" s="1">
        <v>45155</v>
      </c>
      <c r="C1717" t="s">
        <v>44</v>
      </c>
      <c r="D1717" t="s">
        <v>12</v>
      </c>
      <c r="E1717">
        <v>22285</v>
      </c>
      <c r="F1717">
        <v>15836</v>
      </c>
      <c r="G1717">
        <v>6449</v>
      </c>
      <c r="H1717" t="s">
        <v>27</v>
      </c>
      <c r="I1717" t="s">
        <v>45</v>
      </c>
      <c r="J1717" t="s">
        <v>53</v>
      </c>
    </row>
    <row r="1718" spans="1:10" x14ac:dyDescent="0.25">
      <c r="A1718" t="s">
        <v>1755</v>
      </c>
      <c r="B1718" s="1">
        <v>45875</v>
      </c>
      <c r="C1718" t="s">
        <v>17</v>
      </c>
      <c r="D1718" t="s">
        <v>12</v>
      </c>
      <c r="E1718">
        <v>9861</v>
      </c>
      <c r="F1718">
        <v>7303</v>
      </c>
      <c r="G1718">
        <v>2558</v>
      </c>
      <c r="H1718" t="s">
        <v>38</v>
      </c>
      <c r="I1718" t="s">
        <v>23</v>
      </c>
      <c r="J1718" t="s">
        <v>15</v>
      </c>
    </row>
    <row r="1719" spans="1:10" x14ac:dyDescent="0.25">
      <c r="A1719" t="s">
        <v>1756</v>
      </c>
      <c r="B1719" s="1">
        <v>45246</v>
      </c>
      <c r="C1719" t="s">
        <v>26</v>
      </c>
      <c r="D1719" t="s">
        <v>41</v>
      </c>
      <c r="E1719">
        <v>24246</v>
      </c>
      <c r="F1719">
        <v>7084</v>
      </c>
      <c r="G1719">
        <v>17162</v>
      </c>
      <c r="H1719" t="s">
        <v>19</v>
      </c>
      <c r="I1719" t="s">
        <v>20</v>
      </c>
      <c r="J1719" t="s">
        <v>53</v>
      </c>
    </row>
    <row r="1720" spans="1:10" x14ac:dyDescent="0.25">
      <c r="A1720" t="s">
        <v>1757</v>
      </c>
      <c r="B1720" s="1">
        <v>45536</v>
      </c>
      <c r="C1720" t="s">
        <v>44</v>
      </c>
      <c r="D1720" t="s">
        <v>18</v>
      </c>
      <c r="E1720">
        <v>43621</v>
      </c>
      <c r="F1720">
        <v>41880</v>
      </c>
      <c r="G1720">
        <v>1741</v>
      </c>
      <c r="H1720" t="s">
        <v>27</v>
      </c>
      <c r="I1720" t="s">
        <v>20</v>
      </c>
      <c r="J1720" t="s">
        <v>15</v>
      </c>
    </row>
    <row r="1721" spans="1:10" x14ac:dyDescent="0.25">
      <c r="A1721" t="s">
        <v>1758</v>
      </c>
      <c r="B1721" s="1">
        <v>45454</v>
      </c>
      <c r="C1721" t="s">
        <v>17</v>
      </c>
      <c r="D1721" t="s">
        <v>36</v>
      </c>
      <c r="E1721">
        <v>20808</v>
      </c>
      <c r="F1721">
        <v>13119</v>
      </c>
      <c r="G1721">
        <v>7689</v>
      </c>
      <c r="H1721" t="s">
        <v>19</v>
      </c>
      <c r="I1721" t="s">
        <v>20</v>
      </c>
      <c r="J1721" t="s">
        <v>53</v>
      </c>
    </row>
    <row r="1722" spans="1:10" x14ac:dyDescent="0.25">
      <c r="A1722" t="s">
        <v>1759</v>
      </c>
      <c r="B1722" s="1">
        <v>45288</v>
      </c>
      <c r="C1722" t="s">
        <v>26</v>
      </c>
      <c r="D1722" t="s">
        <v>12</v>
      </c>
      <c r="E1722">
        <v>49014</v>
      </c>
      <c r="F1722">
        <v>37185</v>
      </c>
      <c r="G1722">
        <v>11829</v>
      </c>
      <c r="H1722" t="s">
        <v>38</v>
      </c>
      <c r="I1722" t="s">
        <v>78</v>
      </c>
      <c r="J1722" t="s">
        <v>29</v>
      </c>
    </row>
    <row r="1723" spans="1:10" x14ac:dyDescent="0.25">
      <c r="A1723" t="s">
        <v>1760</v>
      </c>
      <c r="B1723" s="1">
        <v>46114</v>
      </c>
      <c r="C1723" t="s">
        <v>26</v>
      </c>
      <c r="D1723" t="s">
        <v>12</v>
      </c>
      <c r="E1723">
        <v>33840</v>
      </c>
      <c r="F1723">
        <v>27375</v>
      </c>
      <c r="G1723">
        <v>6465</v>
      </c>
      <c r="H1723" t="s">
        <v>19</v>
      </c>
      <c r="I1723" t="s">
        <v>78</v>
      </c>
      <c r="J1723" t="s">
        <v>15</v>
      </c>
    </row>
    <row r="1724" spans="1:10" x14ac:dyDescent="0.25">
      <c r="A1724" t="s">
        <v>1761</v>
      </c>
      <c r="B1724" s="1">
        <v>45941</v>
      </c>
      <c r="C1724" t="s">
        <v>26</v>
      </c>
      <c r="D1724" t="s">
        <v>33</v>
      </c>
      <c r="E1724">
        <v>44061</v>
      </c>
      <c r="F1724">
        <v>27140</v>
      </c>
      <c r="G1724">
        <v>16921</v>
      </c>
      <c r="H1724" t="s">
        <v>38</v>
      </c>
      <c r="I1724" t="s">
        <v>34</v>
      </c>
      <c r="J1724" t="s">
        <v>29</v>
      </c>
    </row>
    <row r="1725" spans="1:10" x14ac:dyDescent="0.25">
      <c r="A1725" t="s">
        <v>1762</v>
      </c>
      <c r="B1725" s="1">
        <v>45853</v>
      </c>
      <c r="C1725" t="s">
        <v>11</v>
      </c>
      <c r="D1725" t="s">
        <v>41</v>
      </c>
      <c r="E1725">
        <v>34645</v>
      </c>
      <c r="F1725">
        <v>28358</v>
      </c>
      <c r="G1725">
        <v>6287</v>
      </c>
      <c r="H1725" t="s">
        <v>38</v>
      </c>
      <c r="I1725" t="s">
        <v>28</v>
      </c>
      <c r="J1725" t="s">
        <v>15</v>
      </c>
    </row>
    <row r="1726" spans="1:10" x14ac:dyDescent="0.25">
      <c r="A1726" t="s">
        <v>1763</v>
      </c>
      <c r="B1726" s="1">
        <v>46061</v>
      </c>
      <c r="C1726" t="s">
        <v>26</v>
      </c>
      <c r="D1726" t="s">
        <v>36</v>
      </c>
      <c r="E1726">
        <v>31556</v>
      </c>
      <c r="F1726">
        <v>14238</v>
      </c>
      <c r="G1726">
        <v>17318</v>
      </c>
      <c r="H1726" t="s">
        <v>27</v>
      </c>
      <c r="I1726" t="s">
        <v>63</v>
      </c>
      <c r="J1726" t="s">
        <v>15</v>
      </c>
    </row>
    <row r="1727" spans="1:10" x14ac:dyDescent="0.25">
      <c r="A1727" t="s">
        <v>1764</v>
      </c>
      <c r="B1727" s="1">
        <v>45302</v>
      </c>
      <c r="C1727" t="s">
        <v>17</v>
      </c>
      <c r="D1727" t="s">
        <v>33</v>
      </c>
      <c r="E1727">
        <v>20060</v>
      </c>
      <c r="F1727">
        <v>15127</v>
      </c>
      <c r="G1727">
        <v>4933</v>
      </c>
      <c r="H1727" t="s">
        <v>13</v>
      </c>
      <c r="I1727" t="s">
        <v>20</v>
      </c>
      <c r="J1727" t="s">
        <v>53</v>
      </c>
    </row>
    <row r="1728" spans="1:10" x14ac:dyDescent="0.25">
      <c r="A1728" t="s">
        <v>1765</v>
      </c>
      <c r="B1728" s="1">
        <v>46031</v>
      </c>
      <c r="C1728" t="s">
        <v>44</v>
      </c>
      <c r="D1728" t="s">
        <v>41</v>
      </c>
      <c r="E1728">
        <v>41942</v>
      </c>
      <c r="F1728">
        <v>35644</v>
      </c>
      <c r="G1728">
        <v>6298</v>
      </c>
      <c r="H1728" t="s">
        <v>38</v>
      </c>
      <c r="I1728" t="s">
        <v>78</v>
      </c>
      <c r="J1728" t="s">
        <v>15</v>
      </c>
    </row>
    <row r="1729" spans="1:10" x14ac:dyDescent="0.25">
      <c r="A1729" t="s">
        <v>1766</v>
      </c>
      <c r="B1729" s="1">
        <v>45763</v>
      </c>
      <c r="C1729" t="s">
        <v>44</v>
      </c>
      <c r="D1729" t="s">
        <v>36</v>
      </c>
      <c r="E1729">
        <v>18343</v>
      </c>
      <c r="F1729">
        <v>11722</v>
      </c>
      <c r="G1729">
        <v>6621</v>
      </c>
      <c r="H1729" t="s">
        <v>38</v>
      </c>
      <c r="I1729" t="s">
        <v>14</v>
      </c>
      <c r="J1729" t="s">
        <v>29</v>
      </c>
    </row>
    <row r="1730" spans="1:10" x14ac:dyDescent="0.25">
      <c r="A1730" t="s">
        <v>1767</v>
      </c>
      <c r="B1730" s="1">
        <v>45268</v>
      </c>
      <c r="C1730" t="s">
        <v>22</v>
      </c>
      <c r="D1730" t="s">
        <v>36</v>
      </c>
      <c r="E1730">
        <v>29562</v>
      </c>
      <c r="F1730">
        <v>12021</v>
      </c>
      <c r="G1730">
        <v>17541</v>
      </c>
      <c r="H1730" t="s">
        <v>38</v>
      </c>
      <c r="I1730" t="s">
        <v>31</v>
      </c>
      <c r="J1730" t="s">
        <v>15</v>
      </c>
    </row>
    <row r="1731" spans="1:10" x14ac:dyDescent="0.25">
      <c r="A1731" t="s">
        <v>1768</v>
      </c>
      <c r="B1731" s="1">
        <v>45179</v>
      </c>
      <c r="C1731" t="s">
        <v>22</v>
      </c>
      <c r="D1731" t="s">
        <v>12</v>
      </c>
      <c r="E1731">
        <v>22393</v>
      </c>
      <c r="F1731">
        <v>10634</v>
      </c>
      <c r="G1731">
        <v>11759</v>
      </c>
      <c r="H1731" t="s">
        <v>27</v>
      </c>
      <c r="I1731" t="s">
        <v>31</v>
      </c>
      <c r="J1731" t="s">
        <v>29</v>
      </c>
    </row>
    <row r="1732" spans="1:10" x14ac:dyDescent="0.25">
      <c r="A1732" t="s">
        <v>1769</v>
      </c>
      <c r="B1732" s="1">
        <v>45264</v>
      </c>
      <c r="C1732" t="s">
        <v>11</v>
      </c>
      <c r="D1732" t="s">
        <v>41</v>
      </c>
      <c r="E1732">
        <v>39938</v>
      </c>
      <c r="F1732">
        <v>20922</v>
      </c>
      <c r="G1732">
        <v>19016</v>
      </c>
      <c r="H1732" t="s">
        <v>13</v>
      </c>
      <c r="I1732" t="s">
        <v>60</v>
      </c>
      <c r="J1732" t="s">
        <v>42</v>
      </c>
    </row>
    <row r="1733" spans="1:10" x14ac:dyDescent="0.25">
      <c r="A1733" t="s">
        <v>1770</v>
      </c>
      <c r="B1733" s="1">
        <v>45792</v>
      </c>
      <c r="C1733" t="s">
        <v>17</v>
      </c>
      <c r="D1733" t="s">
        <v>18</v>
      </c>
      <c r="E1733">
        <v>19451</v>
      </c>
      <c r="F1733">
        <v>12304</v>
      </c>
      <c r="G1733">
        <v>7147</v>
      </c>
      <c r="H1733" t="s">
        <v>13</v>
      </c>
      <c r="I1733" t="s">
        <v>60</v>
      </c>
      <c r="J1733" t="s">
        <v>29</v>
      </c>
    </row>
    <row r="1734" spans="1:10" x14ac:dyDescent="0.25">
      <c r="A1734" t="s">
        <v>1771</v>
      </c>
      <c r="B1734" s="1">
        <v>45440</v>
      </c>
      <c r="C1734" t="s">
        <v>17</v>
      </c>
      <c r="D1734" t="s">
        <v>36</v>
      </c>
      <c r="E1734">
        <v>31113</v>
      </c>
      <c r="F1734">
        <v>17920</v>
      </c>
      <c r="G1734">
        <v>13193</v>
      </c>
      <c r="H1734" t="s">
        <v>27</v>
      </c>
      <c r="I1734" t="s">
        <v>23</v>
      </c>
      <c r="J1734" t="s">
        <v>29</v>
      </c>
    </row>
    <row r="1735" spans="1:10" x14ac:dyDescent="0.25">
      <c r="A1735" t="s">
        <v>1772</v>
      </c>
      <c r="B1735" s="1">
        <v>46143</v>
      </c>
      <c r="C1735" t="s">
        <v>26</v>
      </c>
      <c r="D1735" t="s">
        <v>36</v>
      </c>
      <c r="E1735">
        <v>28168</v>
      </c>
      <c r="F1735">
        <v>11342</v>
      </c>
      <c r="G1735">
        <v>16826</v>
      </c>
      <c r="H1735" t="s">
        <v>13</v>
      </c>
      <c r="I1735" t="s">
        <v>31</v>
      </c>
      <c r="J1735" t="s">
        <v>29</v>
      </c>
    </row>
    <row r="1736" spans="1:10" x14ac:dyDescent="0.25">
      <c r="A1736" t="s">
        <v>1773</v>
      </c>
      <c r="B1736" s="1">
        <v>45997</v>
      </c>
      <c r="C1736" t="s">
        <v>22</v>
      </c>
      <c r="D1736" t="s">
        <v>18</v>
      </c>
      <c r="E1736">
        <v>28387</v>
      </c>
      <c r="F1736">
        <v>14942</v>
      </c>
      <c r="G1736">
        <v>13445</v>
      </c>
      <c r="H1736" t="s">
        <v>38</v>
      </c>
      <c r="I1736" t="s">
        <v>31</v>
      </c>
      <c r="J1736" t="s">
        <v>53</v>
      </c>
    </row>
    <row r="1737" spans="1:10" x14ac:dyDescent="0.25">
      <c r="A1737" t="s">
        <v>1774</v>
      </c>
      <c r="B1737" s="1">
        <v>45664</v>
      </c>
      <c r="C1737" t="s">
        <v>26</v>
      </c>
      <c r="D1737" t="s">
        <v>41</v>
      </c>
      <c r="E1737">
        <v>43913</v>
      </c>
      <c r="F1737">
        <v>26701</v>
      </c>
      <c r="G1737">
        <v>17212</v>
      </c>
      <c r="H1737" t="s">
        <v>38</v>
      </c>
      <c r="I1737" t="s">
        <v>14</v>
      </c>
      <c r="J1737" t="s">
        <v>15</v>
      </c>
    </row>
    <row r="1738" spans="1:10" x14ac:dyDescent="0.25">
      <c r="A1738" t="s">
        <v>1775</v>
      </c>
      <c r="B1738" s="1">
        <v>45679</v>
      </c>
      <c r="C1738" t="s">
        <v>11</v>
      </c>
      <c r="D1738" t="s">
        <v>12</v>
      </c>
      <c r="E1738">
        <v>13742</v>
      </c>
      <c r="F1738">
        <v>708</v>
      </c>
      <c r="G1738">
        <v>13034</v>
      </c>
      <c r="H1738" t="s">
        <v>38</v>
      </c>
      <c r="I1738" t="s">
        <v>20</v>
      </c>
      <c r="J1738" t="s">
        <v>24</v>
      </c>
    </row>
    <row r="1739" spans="1:10" x14ac:dyDescent="0.25">
      <c r="A1739" t="s">
        <v>1776</v>
      </c>
      <c r="B1739" s="1">
        <v>45502</v>
      </c>
      <c r="C1739" t="s">
        <v>26</v>
      </c>
      <c r="D1739" t="s">
        <v>12</v>
      </c>
      <c r="E1739">
        <v>40252</v>
      </c>
      <c r="F1739">
        <v>28890</v>
      </c>
      <c r="G1739">
        <v>11362</v>
      </c>
      <c r="H1739" t="s">
        <v>38</v>
      </c>
      <c r="I1739" t="s">
        <v>78</v>
      </c>
      <c r="J1739" t="s">
        <v>15</v>
      </c>
    </row>
    <row r="1740" spans="1:10" x14ac:dyDescent="0.25">
      <c r="A1740" t="s">
        <v>1777</v>
      </c>
      <c r="B1740" s="1">
        <v>45696</v>
      </c>
      <c r="C1740" t="s">
        <v>26</v>
      </c>
      <c r="D1740" t="s">
        <v>12</v>
      </c>
      <c r="E1740">
        <v>43262</v>
      </c>
      <c r="F1740">
        <v>41317</v>
      </c>
      <c r="G1740">
        <v>1945</v>
      </c>
      <c r="H1740" t="s">
        <v>13</v>
      </c>
      <c r="I1740" t="s">
        <v>23</v>
      </c>
      <c r="J1740" t="s">
        <v>53</v>
      </c>
    </row>
    <row r="1741" spans="1:10" x14ac:dyDescent="0.25">
      <c r="A1741" t="s">
        <v>1778</v>
      </c>
      <c r="B1741" s="1">
        <v>45480</v>
      </c>
      <c r="C1741" t="s">
        <v>26</v>
      </c>
      <c r="D1741" t="s">
        <v>12</v>
      </c>
      <c r="E1741">
        <v>44740</v>
      </c>
      <c r="F1741">
        <v>38082</v>
      </c>
      <c r="G1741">
        <v>6658</v>
      </c>
      <c r="H1741" t="s">
        <v>38</v>
      </c>
      <c r="I1741" t="s">
        <v>23</v>
      </c>
      <c r="J1741" t="s">
        <v>24</v>
      </c>
    </row>
    <row r="1742" spans="1:10" x14ac:dyDescent="0.25">
      <c r="A1742" t="s">
        <v>1779</v>
      </c>
      <c r="B1742" s="1">
        <v>45330</v>
      </c>
      <c r="C1742" t="s">
        <v>26</v>
      </c>
      <c r="D1742" t="s">
        <v>33</v>
      </c>
      <c r="E1742">
        <v>17111</v>
      </c>
      <c r="F1742">
        <v>15362</v>
      </c>
      <c r="G1742">
        <v>1749</v>
      </c>
      <c r="H1742" t="s">
        <v>13</v>
      </c>
      <c r="I1742" t="s">
        <v>20</v>
      </c>
      <c r="J1742" t="s">
        <v>29</v>
      </c>
    </row>
    <row r="1743" spans="1:10" x14ac:dyDescent="0.25">
      <c r="A1743" t="s">
        <v>1780</v>
      </c>
      <c r="B1743" s="1">
        <v>45247</v>
      </c>
      <c r="C1743" t="s">
        <v>17</v>
      </c>
      <c r="D1743" t="s">
        <v>36</v>
      </c>
      <c r="E1743">
        <v>28329</v>
      </c>
      <c r="F1743">
        <v>18541</v>
      </c>
      <c r="G1743">
        <v>9788</v>
      </c>
      <c r="H1743" t="s">
        <v>13</v>
      </c>
      <c r="I1743" t="s">
        <v>45</v>
      </c>
      <c r="J1743" t="s">
        <v>24</v>
      </c>
    </row>
    <row r="1744" spans="1:10" x14ac:dyDescent="0.25">
      <c r="A1744" t="s">
        <v>1781</v>
      </c>
      <c r="B1744" s="1">
        <v>45171</v>
      </c>
      <c r="C1744" t="s">
        <v>44</v>
      </c>
      <c r="D1744" t="s">
        <v>12</v>
      </c>
      <c r="E1744">
        <v>22074</v>
      </c>
      <c r="F1744">
        <v>12277</v>
      </c>
      <c r="G1744">
        <v>9797</v>
      </c>
      <c r="H1744" t="s">
        <v>13</v>
      </c>
      <c r="I1744" t="s">
        <v>78</v>
      </c>
      <c r="J1744" t="s">
        <v>24</v>
      </c>
    </row>
    <row r="1745" spans="1:10" x14ac:dyDescent="0.25">
      <c r="A1745" t="s">
        <v>1782</v>
      </c>
      <c r="B1745" s="1">
        <v>45930</v>
      </c>
      <c r="C1745" t="s">
        <v>26</v>
      </c>
      <c r="D1745" t="s">
        <v>33</v>
      </c>
      <c r="E1745">
        <v>17854</v>
      </c>
      <c r="F1745">
        <v>11557</v>
      </c>
      <c r="G1745">
        <v>6297</v>
      </c>
      <c r="H1745" t="s">
        <v>27</v>
      </c>
      <c r="I1745" t="s">
        <v>23</v>
      </c>
      <c r="J1745" t="s">
        <v>29</v>
      </c>
    </row>
    <row r="1746" spans="1:10" x14ac:dyDescent="0.25">
      <c r="A1746" t="s">
        <v>1783</v>
      </c>
      <c r="B1746" s="1">
        <v>45708</v>
      </c>
      <c r="C1746" t="s">
        <v>26</v>
      </c>
      <c r="D1746" t="s">
        <v>12</v>
      </c>
      <c r="E1746">
        <v>26871</v>
      </c>
      <c r="F1746">
        <v>17571</v>
      </c>
      <c r="G1746">
        <v>9300</v>
      </c>
      <c r="H1746" t="s">
        <v>19</v>
      </c>
      <c r="I1746" t="s">
        <v>20</v>
      </c>
      <c r="J1746" t="s">
        <v>29</v>
      </c>
    </row>
    <row r="1747" spans="1:10" x14ac:dyDescent="0.25">
      <c r="A1747" t="s">
        <v>1784</v>
      </c>
      <c r="B1747" s="1">
        <v>45315</v>
      </c>
      <c r="C1747" t="s">
        <v>17</v>
      </c>
      <c r="D1747" t="s">
        <v>18</v>
      </c>
      <c r="E1747">
        <v>20466</v>
      </c>
      <c r="F1747">
        <v>2862</v>
      </c>
      <c r="G1747">
        <v>17604</v>
      </c>
      <c r="H1747" t="s">
        <v>13</v>
      </c>
      <c r="I1747" t="s">
        <v>14</v>
      </c>
      <c r="J1747" t="s">
        <v>29</v>
      </c>
    </row>
    <row r="1748" spans="1:10" x14ac:dyDescent="0.25">
      <c r="A1748" t="s">
        <v>1785</v>
      </c>
      <c r="B1748" s="1">
        <v>45637</v>
      </c>
      <c r="C1748" t="s">
        <v>22</v>
      </c>
      <c r="D1748" t="s">
        <v>12</v>
      </c>
      <c r="E1748">
        <v>45889</v>
      </c>
      <c r="F1748">
        <v>31880</v>
      </c>
      <c r="G1748">
        <v>14009</v>
      </c>
      <c r="H1748" t="s">
        <v>13</v>
      </c>
      <c r="I1748" t="s">
        <v>78</v>
      </c>
      <c r="J1748" t="s">
        <v>15</v>
      </c>
    </row>
    <row r="1749" spans="1:10" x14ac:dyDescent="0.25">
      <c r="A1749" t="s">
        <v>1786</v>
      </c>
      <c r="B1749" s="1">
        <v>45369</v>
      </c>
      <c r="C1749" t="s">
        <v>11</v>
      </c>
      <c r="D1749" t="s">
        <v>12</v>
      </c>
      <c r="E1749">
        <v>40229</v>
      </c>
      <c r="F1749">
        <v>35397</v>
      </c>
      <c r="G1749">
        <v>4832</v>
      </c>
      <c r="H1749" t="s">
        <v>19</v>
      </c>
      <c r="I1749" t="s">
        <v>63</v>
      </c>
      <c r="J1749" t="s">
        <v>29</v>
      </c>
    </row>
    <row r="1750" spans="1:10" x14ac:dyDescent="0.25">
      <c r="A1750" t="s">
        <v>1787</v>
      </c>
      <c r="B1750" s="1">
        <v>45823</v>
      </c>
      <c r="C1750" t="s">
        <v>17</v>
      </c>
      <c r="D1750" t="s">
        <v>41</v>
      </c>
      <c r="E1750">
        <v>28145</v>
      </c>
      <c r="F1750">
        <v>9290</v>
      </c>
      <c r="G1750">
        <v>18855</v>
      </c>
      <c r="H1750" t="s">
        <v>13</v>
      </c>
      <c r="I1750" t="s">
        <v>20</v>
      </c>
      <c r="J1750" t="s">
        <v>15</v>
      </c>
    </row>
    <row r="1751" spans="1:10" x14ac:dyDescent="0.25">
      <c r="A1751" t="s">
        <v>1788</v>
      </c>
      <c r="B1751" s="1">
        <v>45782</v>
      </c>
      <c r="C1751" t="s">
        <v>44</v>
      </c>
      <c r="D1751" t="s">
        <v>18</v>
      </c>
      <c r="E1751">
        <v>49969</v>
      </c>
      <c r="F1751">
        <v>37720</v>
      </c>
      <c r="G1751">
        <v>12249</v>
      </c>
      <c r="H1751" t="s">
        <v>38</v>
      </c>
      <c r="I1751" t="s">
        <v>20</v>
      </c>
      <c r="J1751" t="s">
        <v>29</v>
      </c>
    </row>
    <row r="1752" spans="1:10" x14ac:dyDescent="0.25">
      <c r="A1752" t="s">
        <v>1789</v>
      </c>
      <c r="B1752" s="1">
        <v>46105</v>
      </c>
      <c r="C1752" t="s">
        <v>44</v>
      </c>
      <c r="D1752" t="s">
        <v>33</v>
      </c>
      <c r="E1752">
        <v>5582</v>
      </c>
      <c r="F1752">
        <v>4818</v>
      </c>
      <c r="G1752">
        <v>764</v>
      </c>
      <c r="H1752" t="s">
        <v>38</v>
      </c>
      <c r="I1752" t="s">
        <v>45</v>
      </c>
      <c r="J1752" t="s">
        <v>15</v>
      </c>
    </row>
    <row r="1753" spans="1:10" x14ac:dyDescent="0.25">
      <c r="A1753" t="s">
        <v>1790</v>
      </c>
      <c r="B1753" s="1">
        <v>45228</v>
      </c>
      <c r="C1753" t="s">
        <v>26</v>
      </c>
      <c r="D1753" t="s">
        <v>33</v>
      </c>
      <c r="E1753">
        <v>15036</v>
      </c>
      <c r="F1753">
        <v>834</v>
      </c>
      <c r="G1753">
        <v>14202</v>
      </c>
      <c r="H1753" t="s">
        <v>27</v>
      </c>
      <c r="I1753" t="s">
        <v>28</v>
      </c>
      <c r="J1753" t="s">
        <v>42</v>
      </c>
    </row>
    <row r="1754" spans="1:10" x14ac:dyDescent="0.25">
      <c r="A1754" t="s">
        <v>1791</v>
      </c>
      <c r="B1754" s="1">
        <v>45982</v>
      </c>
      <c r="C1754" t="s">
        <v>22</v>
      </c>
      <c r="D1754" t="s">
        <v>41</v>
      </c>
      <c r="E1754">
        <v>23605</v>
      </c>
      <c r="F1754">
        <v>20751</v>
      </c>
      <c r="G1754">
        <v>2854</v>
      </c>
      <c r="H1754" t="s">
        <v>13</v>
      </c>
      <c r="I1754" t="s">
        <v>31</v>
      </c>
      <c r="J1754" t="s">
        <v>53</v>
      </c>
    </row>
    <row r="1755" spans="1:10" x14ac:dyDescent="0.25">
      <c r="A1755" t="s">
        <v>1792</v>
      </c>
      <c r="B1755" s="1">
        <v>45388</v>
      </c>
      <c r="C1755" t="s">
        <v>11</v>
      </c>
      <c r="D1755" t="s">
        <v>33</v>
      </c>
      <c r="E1755">
        <v>23196</v>
      </c>
      <c r="F1755">
        <v>6042</v>
      </c>
      <c r="G1755">
        <v>17154</v>
      </c>
      <c r="H1755" t="s">
        <v>13</v>
      </c>
      <c r="I1755" t="s">
        <v>60</v>
      </c>
      <c r="J1755" t="s">
        <v>53</v>
      </c>
    </row>
    <row r="1756" spans="1:10" x14ac:dyDescent="0.25">
      <c r="A1756" t="s">
        <v>1793</v>
      </c>
      <c r="B1756" s="1">
        <v>45926</v>
      </c>
      <c r="C1756" t="s">
        <v>17</v>
      </c>
      <c r="D1756" t="s">
        <v>18</v>
      </c>
      <c r="E1756">
        <v>46274</v>
      </c>
      <c r="F1756">
        <v>36070</v>
      </c>
      <c r="G1756">
        <v>10204</v>
      </c>
      <c r="H1756" t="s">
        <v>38</v>
      </c>
      <c r="I1756" t="s">
        <v>14</v>
      </c>
      <c r="J1756" t="s">
        <v>15</v>
      </c>
    </row>
    <row r="1757" spans="1:10" x14ac:dyDescent="0.25">
      <c r="A1757" t="s">
        <v>1794</v>
      </c>
      <c r="B1757" s="1">
        <v>46168</v>
      </c>
      <c r="C1757" t="s">
        <v>22</v>
      </c>
      <c r="D1757" t="s">
        <v>33</v>
      </c>
      <c r="E1757">
        <v>47203</v>
      </c>
      <c r="F1757">
        <v>32020</v>
      </c>
      <c r="G1757">
        <v>15183</v>
      </c>
      <c r="H1757" t="s">
        <v>38</v>
      </c>
      <c r="I1757" t="s">
        <v>63</v>
      </c>
      <c r="J1757" t="s">
        <v>42</v>
      </c>
    </row>
    <row r="1758" spans="1:10" x14ac:dyDescent="0.25">
      <c r="A1758" t="s">
        <v>1795</v>
      </c>
      <c r="B1758" s="1">
        <v>45899</v>
      </c>
      <c r="C1758" t="s">
        <v>26</v>
      </c>
      <c r="D1758" t="s">
        <v>12</v>
      </c>
      <c r="E1758">
        <v>46046</v>
      </c>
      <c r="F1758">
        <v>34430</v>
      </c>
      <c r="G1758">
        <v>11616</v>
      </c>
      <c r="H1758" t="s">
        <v>19</v>
      </c>
      <c r="I1758" t="s">
        <v>31</v>
      </c>
      <c r="J1758" t="s">
        <v>24</v>
      </c>
    </row>
    <row r="1759" spans="1:10" x14ac:dyDescent="0.25">
      <c r="A1759" t="s">
        <v>1796</v>
      </c>
      <c r="B1759" s="1">
        <v>45936</v>
      </c>
      <c r="C1759" t="s">
        <v>17</v>
      </c>
      <c r="D1759" t="s">
        <v>36</v>
      </c>
      <c r="E1759">
        <v>49533</v>
      </c>
      <c r="F1759">
        <v>36237</v>
      </c>
      <c r="G1759">
        <v>13296</v>
      </c>
      <c r="H1759" t="s">
        <v>19</v>
      </c>
      <c r="I1759" t="s">
        <v>63</v>
      </c>
      <c r="J1759" t="s">
        <v>29</v>
      </c>
    </row>
    <row r="1760" spans="1:10" x14ac:dyDescent="0.25">
      <c r="A1760" t="s">
        <v>1797</v>
      </c>
      <c r="B1760" s="1">
        <v>45528</v>
      </c>
      <c r="C1760" t="s">
        <v>11</v>
      </c>
      <c r="D1760" t="s">
        <v>33</v>
      </c>
      <c r="E1760">
        <v>40776</v>
      </c>
      <c r="F1760">
        <v>32247</v>
      </c>
      <c r="G1760">
        <v>8529</v>
      </c>
      <c r="H1760" t="s">
        <v>38</v>
      </c>
      <c r="I1760" t="s">
        <v>63</v>
      </c>
      <c r="J1760" t="s">
        <v>24</v>
      </c>
    </row>
    <row r="1761" spans="1:10" x14ac:dyDescent="0.25">
      <c r="A1761" t="s">
        <v>1798</v>
      </c>
      <c r="B1761" s="1">
        <v>46167</v>
      </c>
      <c r="C1761" t="s">
        <v>17</v>
      </c>
      <c r="D1761" t="s">
        <v>33</v>
      </c>
      <c r="E1761">
        <v>16293</v>
      </c>
      <c r="F1761">
        <v>589</v>
      </c>
      <c r="G1761">
        <v>15704</v>
      </c>
      <c r="H1761" t="s">
        <v>38</v>
      </c>
      <c r="I1761" t="s">
        <v>45</v>
      </c>
      <c r="J1761" t="s">
        <v>42</v>
      </c>
    </row>
    <row r="1762" spans="1:10" x14ac:dyDescent="0.25">
      <c r="A1762" t="s">
        <v>1799</v>
      </c>
      <c r="B1762" s="1">
        <v>45651</v>
      </c>
      <c r="C1762" t="s">
        <v>17</v>
      </c>
      <c r="D1762" t="s">
        <v>41</v>
      </c>
      <c r="E1762">
        <v>18729</v>
      </c>
      <c r="F1762">
        <v>11508</v>
      </c>
      <c r="G1762">
        <v>7221</v>
      </c>
      <c r="H1762" t="s">
        <v>19</v>
      </c>
      <c r="I1762" t="s">
        <v>60</v>
      </c>
      <c r="J1762" t="s">
        <v>15</v>
      </c>
    </row>
    <row r="1763" spans="1:10" x14ac:dyDescent="0.25">
      <c r="A1763" t="s">
        <v>1800</v>
      </c>
      <c r="B1763" s="1">
        <v>45987</v>
      </c>
      <c r="C1763" t="s">
        <v>26</v>
      </c>
      <c r="D1763" t="s">
        <v>12</v>
      </c>
      <c r="E1763">
        <v>45783</v>
      </c>
      <c r="F1763">
        <v>29427</v>
      </c>
      <c r="G1763">
        <v>16356</v>
      </c>
      <c r="H1763" t="s">
        <v>27</v>
      </c>
      <c r="I1763" t="s">
        <v>63</v>
      </c>
      <c r="J1763" t="s">
        <v>24</v>
      </c>
    </row>
    <row r="1764" spans="1:10" x14ac:dyDescent="0.25">
      <c r="A1764" t="s">
        <v>1801</v>
      </c>
      <c r="B1764" s="1">
        <v>45320</v>
      </c>
      <c r="C1764" t="s">
        <v>11</v>
      </c>
      <c r="D1764" t="s">
        <v>18</v>
      </c>
      <c r="E1764">
        <v>28765</v>
      </c>
      <c r="F1764">
        <v>10737</v>
      </c>
      <c r="G1764">
        <v>18028</v>
      </c>
      <c r="H1764" t="s">
        <v>13</v>
      </c>
      <c r="I1764" t="s">
        <v>63</v>
      </c>
      <c r="J1764" t="s">
        <v>15</v>
      </c>
    </row>
    <row r="1765" spans="1:10" x14ac:dyDescent="0.25">
      <c r="A1765" t="s">
        <v>1802</v>
      </c>
      <c r="B1765" s="1">
        <v>45294</v>
      </c>
      <c r="C1765" t="s">
        <v>22</v>
      </c>
      <c r="D1765" t="s">
        <v>41</v>
      </c>
      <c r="E1765">
        <v>26607</v>
      </c>
      <c r="F1765">
        <v>25919</v>
      </c>
      <c r="G1765">
        <v>688</v>
      </c>
      <c r="H1765" t="s">
        <v>27</v>
      </c>
      <c r="I1765" t="s">
        <v>63</v>
      </c>
      <c r="J1765" t="s">
        <v>29</v>
      </c>
    </row>
    <row r="1766" spans="1:10" x14ac:dyDescent="0.25">
      <c r="A1766" t="s">
        <v>1803</v>
      </c>
      <c r="B1766" s="1">
        <v>45369</v>
      </c>
      <c r="C1766" t="s">
        <v>17</v>
      </c>
      <c r="D1766" t="s">
        <v>41</v>
      </c>
      <c r="E1766">
        <v>23483</v>
      </c>
      <c r="F1766">
        <v>16907</v>
      </c>
      <c r="G1766">
        <v>6576</v>
      </c>
      <c r="H1766" t="s">
        <v>19</v>
      </c>
      <c r="I1766" t="s">
        <v>45</v>
      </c>
      <c r="J1766" t="s">
        <v>29</v>
      </c>
    </row>
    <row r="1767" spans="1:10" x14ac:dyDescent="0.25">
      <c r="A1767" t="s">
        <v>1804</v>
      </c>
      <c r="B1767" s="1">
        <v>45350</v>
      </c>
      <c r="C1767" t="s">
        <v>26</v>
      </c>
      <c r="D1767" t="s">
        <v>12</v>
      </c>
      <c r="E1767">
        <v>42212</v>
      </c>
      <c r="F1767">
        <v>29726</v>
      </c>
      <c r="G1767">
        <v>12486</v>
      </c>
      <c r="H1767" t="s">
        <v>27</v>
      </c>
      <c r="I1767" t="s">
        <v>63</v>
      </c>
      <c r="J1767" t="s">
        <v>53</v>
      </c>
    </row>
    <row r="1768" spans="1:10" x14ac:dyDescent="0.25">
      <c r="A1768" t="s">
        <v>1805</v>
      </c>
      <c r="B1768" s="1">
        <v>46011</v>
      </c>
      <c r="C1768" t="s">
        <v>44</v>
      </c>
      <c r="D1768" t="s">
        <v>33</v>
      </c>
      <c r="E1768">
        <v>25274</v>
      </c>
      <c r="F1768">
        <v>8134</v>
      </c>
      <c r="G1768">
        <v>17140</v>
      </c>
      <c r="H1768" t="s">
        <v>27</v>
      </c>
      <c r="I1768" t="s">
        <v>63</v>
      </c>
      <c r="J1768" t="s">
        <v>15</v>
      </c>
    </row>
    <row r="1769" spans="1:10" x14ac:dyDescent="0.25">
      <c r="A1769" t="s">
        <v>1806</v>
      </c>
      <c r="B1769" s="1">
        <v>45861</v>
      </c>
      <c r="C1769" t="s">
        <v>44</v>
      </c>
      <c r="D1769" t="s">
        <v>18</v>
      </c>
      <c r="E1769">
        <v>49443</v>
      </c>
      <c r="F1769">
        <v>37451</v>
      </c>
      <c r="G1769">
        <v>11992</v>
      </c>
      <c r="H1769" t="s">
        <v>38</v>
      </c>
      <c r="I1769" t="s">
        <v>34</v>
      </c>
      <c r="J1769" t="s">
        <v>15</v>
      </c>
    </row>
    <row r="1770" spans="1:10" x14ac:dyDescent="0.25">
      <c r="A1770" t="s">
        <v>1807</v>
      </c>
      <c r="B1770" s="1">
        <v>45745</v>
      </c>
      <c r="C1770" t="s">
        <v>44</v>
      </c>
      <c r="D1770" t="s">
        <v>36</v>
      </c>
      <c r="E1770">
        <v>20183</v>
      </c>
      <c r="F1770">
        <v>1753</v>
      </c>
      <c r="G1770">
        <v>18430</v>
      </c>
      <c r="H1770" t="s">
        <v>13</v>
      </c>
      <c r="I1770" t="s">
        <v>31</v>
      </c>
      <c r="J1770" t="s">
        <v>15</v>
      </c>
    </row>
    <row r="1771" spans="1:10" x14ac:dyDescent="0.25">
      <c r="A1771" t="s">
        <v>1808</v>
      </c>
      <c r="B1771" s="1">
        <v>45817</v>
      </c>
      <c r="C1771" t="s">
        <v>17</v>
      </c>
      <c r="D1771" t="s">
        <v>36</v>
      </c>
      <c r="E1771">
        <v>23946</v>
      </c>
      <c r="F1771">
        <v>9920</v>
      </c>
      <c r="G1771">
        <v>14026</v>
      </c>
      <c r="H1771" t="s">
        <v>27</v>
      </c>
      <c r="I1771" t="s">
        <v>28</v>
      </c>
      <c r="J1771" t="s">
        <v>42</v>
      </c>
    </row>
    <row r="1772" spans="1:10" x14ac:dyDescent="0.25">
      <c r="A1772" t="s">
        <v>1809</v>
      </c>
      <c r="B1772" s="1">
        <v>46061</v>
      </c>
      <c r="C1772" t="s">
        <v>44</v>
      </c>
      <c r="D1772" t="s">
        <v>33</v>
      </c>
      <c r="E1772">
        <v>38885</v>
      </c>
      <c r="F1772">
        <v>30819</v>
      </c>
      <c r="G1772">
        <v>8066</v>
      </c>
      <c r="H1772" t="s">
        <v>19</v>
      </c>
      <c r="I1772" t="s">
        <v>31</v>
      </c>
      <c r="J1772" t="s">
        <v>53</v>
      </c>
    </row>
    <row r="1773" spans="1:10" x14ac:dyDescent="0.25">
      <c r="A1773" t="s">
        <v>1810</v>
      </c>
      <c r="B1773" s="1">
        <v>45611</v>
      </c>
      <c r="C1773" t="s">
        <v>26</v>
      </c>
      <c r="D1773" t="s">
        <v>36</v>
      </c>
      <c r="E1773">
        <v>47518</v>
      </c>
      <c r="F1773">
        <v>34535</v>
      </c>
      <c r="G1773">
        <v>12983</v>
      </c>
      <c r="H1773" t="s">
        <v>38</v>
      </c>
      <c r="I1773" t="s">
        <v>78</v>
      </c>
      <c r="J1773" t="s">
        <v>29</v>
      </c>
    </row>
    <row r="1774" spans="1:10" x14ac:dyDescent="0.25">
      <c r="A1774" t="s">
        <v>1811</v>
      </c>
      <c r="B1774" s="1">
        <v>45641</v>
      </c>
      <c r="C1774" t="s">
        <v>17</v>
      </c>
      <c r="D1774" t="s">
        <v>41</v>
      </c>
      <c r="E1774">
        <v>40160</v>
      </c>
      <c r="F1774">
        <v>24132</v>
      </c>
      <c r="G1774">
        <v>16028</v>
      </c>
      <c r="H1774" t="s">
        <v>38</v>
      </c>
      <c r="I1774" t="s">
        <v>14</v>
      </c>
      <c r="J1774" t="s">
        <v>15</v>
      </c>
    </row>
    <row r="1775" spans="1:10" x14ac:dyDescent="0.25">
      <c r="A1775" t="s">
        <v>1812</v>
      </c>
      <c r="B1775" s="1">
        <v>45838</v>
      </c>
      <c r="C1775" t="s">
        <v>11</v>
      </c>
      <c r="D1775" t="s">
        <v>12</v>
      </c>
      <c r="E1775">
        <v>26518</v>
      </c>
      <c r="F1775">
        <v>12438</v>
      </c>
      <c r="G1775">
        <v>14080</v>
      </c>
      <c r="H1775" t="s">
        <v>27</v>
      </c>
      <c r="I1775" t="s">
        <v>20</v>
      </c>
      <c r="J1775" t="s">
        <v>24</v>
      </c>
    </row>
    <row r="1776" spans="1:10" x14ac:dyDescent="0.25">
      <c r="A1776" t="s">
        <v>1813</v>
      </c>
      <c r="B1776" s="1">
        <v>45561</v>
      </c>
      <c r="C1776" t="s">
        <v>17</v>
      </c>
      <c r="D1776" t="s">
        <v>18</v>
      </c>
      <c r="E1776">
        <v>41918</v>
      </c>
      <c r="F1776">
        <v>27831</v>
      </c>
      <c r="G1776">
        <v>14087</v>
      </c>
      <c r="H1776" t="s">
        <v>13</v>
      </c>
      <c r="I1776" t="s">
        <v>63</v>
      </c>
      <c r="J1776" t="s">
        <v>15</v>
      </c>
    </row>
    <row r="1777" spans="1:10" x14ac:dyDescent="0.25">
      <c r="A1777" t="s">
        <v>1814</v>
      </c>
      <c r="B1777" s="1">
        <v>46052</v>
      </c>
      <c r="C1777" t="s">
        <v>44</v>
      </c>
      <c r="D1777" t="s">
        <v>33</v>
      </c>
      <c r="E1777">
        <v>23219</v>
      </c>
      <c r="F1777">
        <v>4479</v>
      </c>
      <c r="G1777">
        <v>18740</v>
      </c>
      <c r="H1777" t="s">
        <v>27</v>
      </c>
      <c r="I1777" t="s">
        <v>14</v>
      </c>
      <c r="J1777" t="s">
        <v>42</v>
      </c>
    </row>
    <row r="1778" spans="1:10" x14ac:dyDescent="0.25">
      <c r="A1778" t="s">
        <v>1815</v>
      </c>
      <c r="B1778" s="1">
        <v>45641</v>
      </c>
      <c r="C1778" t="s">
        <v>17</v>
      </c>
      <c r="D1778" t="s">
        <v>41</v>
      </c>
      <c r="E1778">
        <v>46052</v>
      </c>
      <c r="F1778">
        <v>38187</v>
      </c>
      <c r="G1778">
        <v>7865</v>
      </c>
      <c r="H1778" t="s">
        <v>13</v>
      </c>
      <c r="I1778" t="s">
        <v>34</v>
      </c>
      <c r="J1778" t="s">
        <v>15</v>
      </c>
    </row>
    <row r="1779" spans="1:10" x14ac:dyDescent="0.25">
      <c r="A1779" t="s">
        <v>1816</v>
      </c>
      <c r="B1779" s="1">
        <v>45183</v>
      </c>
      <c r="C1779" t="s">
        <v>22</v>
      </c>
      <c r="D1779" t="s">
        <v>18</v>
      </c>
      <c r="E1779">
        <v>39210</v>
      </c>
      <c r="F1779">
        <v>36892</v>
      </c>
      <c r="G1779">
        <v>2318</v>
      </c>
      <c r="H1779" t="s">
        <v>19</v>
      </c>
      <c r="I1779" t="s">
        <v>45</v>
      </c>
      <c r="J1779" t="s">
        <v>42</v>
      </c>
    </row>
    <row r="1780" spans="1:10" x14ac:dyDescent="0.25">
      <c r="A1780" t="s">
        <v>1817</v>
      </c>
      <c r="B1780" s="1">
        <v>45999</v>
      </c>
      <c r="C1780" t="s">
        <v>17</v>
      </c>
      <c r="D1780" t="s">
        <v>36</v>
      </c>
      <c r="E1780">
        <v>49431</v>
      </c>
      <c r="F1780">
        <v>47379</v>
      </c>
      <c r="G1780">
        <v>2052</v>
      </c>
      <c r="H1780" t="s">
        <v>13</v>
      </c>
      <c r="I1780" t="s">
        <v>45</v>
      </c>
      <c r="J1780" t="s">
        <v>29</v>
      </c>
    </row>
    <row r="1781" spans="1:10" x14ac:dyDescent="0.25">
      <c r="A1781" t="s">
        <v>1818</v>
      </c>
      <c r="B1781" s="1">
        <v>46036</v>
      </c>
      <c r="C1781" t="s">
        <v>44</v>
      </c>
      <c r="D1781" t="s">
        <v>12</v>
      </c>
      <c r="E1781">
        <v>31493</v>
      </c>
      <c r="F1781">
        <v>25077</v>
      </c>
      <c r="G1781">
        <v>6416</v>
      </c>
      <c r="H1781" t="s">
        <v>19</v>
      </c>
      <c r="I1781" t="s">
        <v>60</v>
      </c>
      <c r="J1781" t="s">
        <v>15</v>
      </c>
    </row>
    <row r="1782" spans="1:10" x14ac:dyDescent="0.25">
      <c r="A1782" t="s">
        <v>1819</v>
      </c>
      <c r="B1782" s="1">
        <v>45648</v>
      </c>
      <c r="C1782" t="s">
        <v>44</v>
      </c>
      <c r="D1782" t="s">
        <v>18</v>
      </c>
      <c r="E1782">
        <v>14940</v>
      </c>
      <c r="F1782">
        <v>10186</v>
      </c>
      <c r="G1782">
        <v>4754</v>
      </c>
      <c r="H1782" t="s">
        <v>13</v>
      </c>
      <c r="I1782" t="s">
        <v>34</v>
      </c>
      <c r="J1782" t="s">
        <v>42</v>
      </c>
    </row>
    <row r="1783" spans="1:10" x14ac:dyDescent="0.25">
      <c r="A1783" t="s">
        <v>1820</v>
      </c>
      <c r="B1783" s="1">
        <v>45320</v>
      </c>
      <c r="C1783" t="s">
        <v>11</v>
      </c>
      <c r="D1783" t="s">
        <v>18</v>
      </c>
      <c r="E1783">
        <v>46689</v>
      </c>
      <c r="F1783">
        <v>42990</v>
      </c>
      <c r="G1783">
        <v>3699</v>
      </c>
      <c r="H1783" t="s">
        <v>27</v>
      </c>
      <c r="I1783" t="s">
        <v>63</v>
      </c>
      <c r="J1783" t="s">
        <v>24</v>
      </c>
    </row>
    <row r="1784" spans="1:10" x14ac:dyDescent="0.25">
      <c r="A1784" t="s">
        <v>1821</v>
      </c>
      <c r="B1784" s="1">
        <v>46158</v>
      </c>
      <c r="C1784" t="s">
        <v>26</v>
      </c>
      <c r="D1784" t="s">
        <v>18</v>
      </c>
      <c r="E1784">
        <v>27072</v>
      </c>
      <c r="F1784">
        <v>20553</v>
      </c>
      <c r="G1784">
        <v>6519</v>
      </c>
      <c r="H1784" t="s">
        <v>38</v>
      </c>
      <c r="I1784" t="s">
        <v>63</v>
      </c>
      <c r="J1784" t="s">
        <v>42</v>
      </c>
    </row>
    <row r="1785" spans="1:10" x14ac:dyDescent="0.25">
      <c r="A1785" t="s">
        <v>1822</v>
      </c>
      <c r="B1785" s="1">
        <v>45559</v>
      </c>
      <c r="C1785" t="s">
        <v>11</v>
      </c>
      <c r="D1785" t="s">
        <v>18</v>
      </c>
      <c r="E1785">
        <v>24278</v>
      </c>
      <c r="F1785">
        <v>11494</v>
      </c>
      <c r="G1785">
        <v>12784</v>
      </c>
      <c r="H1785" t="s">
        <v>38</v>
      </c>
      <c r="I1785" t="s">
        <v>31</v>
      </c>
      <c r="J1785" t="s">
        <v>42</v>
      </c>
    </row>
    <row r="1786" spans="1:10" x14ac:dyDescent="0.25">
      <c r="A1786" t="s">
        <v>1823</v>
      </c>
      <c r="B1786" s="1">
        <v>46119</v>
      </c>
      <c r="C1786" t="s">
        <v>26</v>
      </c>
      <c r="D1786" t="s">
        <v>12</v>
      </c>
      <c r="E1786">
        <v>12957</v>
      </c>
      <c r="F1786">
        <v>8497</v>
      </c>
      <c r="G1786">
        <v>4460</v>
      </c>
      <c r="H1786" t="s">
        <v>38</v>
      </c>
      <c r="I1786" t="s">
        <v>28</v>
      </c>
      <c r="J1786" t="s">
        <v>53</v>
      </c>
    </row>
    <row r="1787" spans="1:10" x14ac:dyDescent="0.25">
      <c r="A1787" t="s">
        <v>1824</v>
      </c>
      <c r="B1787" s="1">
        <v>46114</v>
      </c>
      <c r="C1787" t="s">
        <v>11</v>
      </c>
      <c r="D1787" t="s">
        <v>18</v>
      </c>
      <c r="E1787">
        <v>16250</v>
      </c>
      <c r="F1787">
        <v>766</v>
      </c>
      <c r="G1787">
        <v>15484</v>
      </c>
      <c r="H1787" t="s">
        <v>13</v>
      </c>
      <c r="I1787" t="s">
        <v>28</v>
      </c>
      <c r="J1787" t="s">
        <v>53</v>
      </c>
    </row>
    <row r="1788" spans="1:10" x14ac:dyDescent="0.25">
      <c r="A1788" t="s">
        <v>1825</v>
      </c>
      <c r="B1788" s="1">
        <v>45535</v>
      </c>
      <c r="C1788" t="s">
        <v>11</v>
      </c>
      <c r="D1788" t="s">
        <v>33</v>
      </c>
      <c r="E1788">
        <v>36423</v>
      </c>
      <c r="F1788">
        <v>19548</v>
      </c>
      <c r="G1788">
        <v>16875</v>
      </c>
      <c r="H1788" t="s">
        <v>13</v>
      </c>
      <c r="I1788" t="s">
        <v>78</v>
      </c>
      <c r="J1788" t="s">
        <v>29</v>
      </c>
    </row>
    <row r="1789" spans="1:10" x14ac:dyDescent="0.25">
      <c r="A1789" t="s">
        <v>1826</v>
      </c>
      <c r="B1789" s="1">
        <v>45284</v>
      </c>
      <c r="C1789" t="s">
        <v>26</v>
      </c>
      <c r="D1789" t="s">
        <v>36</v>
      </c>
      <c r="E1789">
        <v>38732</v>
      </c>
      <c r="F1789">
        <v>18768</v>
      </c>
      <c r="G1789">
        <v>19964</v>
      </c>
      <c r="H1789" t="s">
        <v>19</v>
      </c>
      <c r="I1789" t="s">
        <v>45</v>
      </c>
      <c r="J1789" t="s">
        <v>29</v>
      </c>
    </row>
    <row r="1790" spans="1:10" x14ac:dyDescent="0.25">
      <c r="A1790" t="s">
        <v>1827</v>
      </c>
      <c r="B1790" s="1">
        <v>45980</v>
      </c>
      <c r="C1790" t="s">
        <v>44</v>
      </c>
      <c r="D1790" t="s">
        <v>36</v>
      </c>
      <c r="E1790">
        <v>27582</v>
      </c>
      <c r="F1790">
        <v>9942</v>
      </c>
      <c r="G1790">
        <v>17640</v>
      </c>
      <c r="H1790" t="s">
        <v>19</v>
      </c>
      <c r="I1790" t="s">
        <v>20</v>
      </c>
      <c r="J1790" t="s">
        <v>42</v>
      </c>
    </row>
    <row r="1791" spans="1:10" x14ac:dyDescent="0.25">
      <c r="A1791" t="s">
        <v>1828</v>
      </c>
      <c r="B1791" s="1">
        <v>45310</v>
      </c>
      <c r="C1791" t="s">
        <v>11</v>
      </c>
      <c r="D1791" t="s">
        <v>33</v>
      </c>
      <c r="E1791">
        <v>23584</v>
      </c>
      <c r="F1791">
        <v>19416</v>
      </c>
      <c r="G1791">
        <v>4168</v>
      </c>
      <c r="H1791" t="s">
        <v>19</v>
      </c>
      <c r="I1791" t="s">
        <v>78</v>
      </c>
      <c r="J1791" t="s">
        <v>29</v>
      </c>
    </row>
    <row r="1792" spans="1:10" x14ac:dyDescent="0.25">
      <c r="A1792" t="s">
        <v>1829</v>
      </c>
      <c r="B1792" s="1">
        <v>45119</v>
      </c>
      <c r="C1792" t="s">
        <v>22</v>
      </c>
      <c r="D1792" t="s">
        <v>12</v>
      </c>
      <c r="E1792">
        <v>32219</v>
      </c>
      <c r="F1792">
        <v>16488</v>
      </c>
      <c r="G1792">
        <v>15731</v>
      </c>
      <c r="H1792" t="s">
        <v>13</v>
      </c>
      <c r="I1792" t="s">
        <v>63</v>
      </c>
      <c r="J1792" t="s">
        <v>29</v>
      </c>
    </row>
    <row r="1793" spans="1:10" x14ac:dyDescent="0.25">
      <c r="A1793" t="s">
        <v>1830</v>
      </c>
      <c r="B1793" s="1">
        <v>45694</v>
      </c>
      <c r="C1793" t="s">
        <v>17</v>
      </c>
      <c r="D1793" t="s">
        <v>12</v>
      </c>
      <c r="E1793">
        <v>25719</v>
      </c>
      <c r="F1793">
        <v>8910</v>
      </c>
      <c r="G1793">
        <v>16809</v>
      </c>
      <c r="H1793" t="s">
        <v>13</v>
      </c>
      <c r="I1793" t="s">
        <v>60</v>
      </c>
      <c r="J1793" t="s">
        <v>15</v>
      </c>
    </row>
    <row r="1794" spans="1:10" x14ac:dyDescent="0.25">
      <c r="A1794" t="s">
        <v>1831</v>
      </c>
      <c r="B1794" s="1">
        <v>46101</v>
      </c>
      <c r="C1794" t="s">
        <v>22</v>
      </c>
      <c r="D1794" t="s">
        <v>36</v>
      </c>
      <c r="E1794">
        <v>49400</v>
      </c>
      <c r="F1794">
        <v>41676</v>
      </c>
      <c r="G1794">
        <v>7724</v>
      </c>
      <c r="H1794" t="s">
        <v>38</v>
      </c>
      <c r="I1794" t="s">
        <v>14</v>
      </c>
      <c r="J1794" t="s">
        <v>24</v>
      </c>
    </row>
    <row r="1795" spans="1:10" x14ac:dyDescent="0.25">
      <c r="A1795" t="s">
        <v>1832</v>
      </c>
      <c r="B1795" s="1">
        <v>45454</v>
      </c>
      <c r="C1795" t="s">
        <v>11</v>
      </c>
      <c r="D1795" t="s">
        <v>41</v>
      </c>
      <c r="E1795">
        <v>9799</v>
      </c>
      <c r="F1795">
        <v>4714</v>
      </c>
      <c r="G1795">
        <v>5085</v>
      </c>
      <c r="H1795" t="s">
        <v>13</v>
      </c>
      <c r="I1795" t="s">
        <v>14</v>
      </c>
      <c r="J1795" t="s">
        <v>29</v>
      </c>
    </row>
    <row r="1796" spans="1:10" x14ac:dyDescent="0.25">
      <c r="A1796" t="s">
        <v>1833</v>
      </c>
      <c r="B1796" s="1">
        <v>45639</v>
      </c>
      <c r="C1796" t="s">
        <v>22</v>
      </c>
      <c r="D1796" t="s">
        <v>41</v>
      </c>
      <c r="E1796">
        <v>24735</v>
      </c>
      <c r="F1796">
        <v>7182</v>
      </c>
      <c r="G1796">
        <v>17553</v>
      </c>
      <c r="H1796" t="s">
        <v>13</v>
      </c>
      <c r="I1796" t="s">
        <v>28</v>
      </c>
      <c r="J1796" t="s">
        <v>24</v>
      </c>
    </row>
    <row r="1797" spans="1:10" x14ac:dyDescent="0.25">
      <c r="A1797" t="s">
        <v>1834</v>
      </c>
      <c r="B1797" s="1">
        <v>45863</v>
      </c>
      <c r="C1797" t="s">
        <v>11</v>
      </c>
      <c r="D1797" t="s">
        <v>18</v>
      </c>
      <c r="E1797">
        <v>38271</v>
      </c>
      <c r="F1797">
        <v>32580</v>
      </c>
      <c r="G1797">
        <v>5691</v>
      </c>
      <c r="H1797" t="s">
        <v>13</v>
      </c>
      <c r="I1797" t="s">
        <v>14</v>
      </c>
      <c r="J1797" t="s">
        <v>53</v>
      </c>
    </row>
    <row r="1798" spans="1:10" x14ac:dyDescent="0.25">
      <c r="A1798" t="s">
        <v>1835</v>
      </c>
      <c r="B1798" s="1">
        <v>45455</v>
      </c>
      <c r="C1798" t="s">
        <v>22</v>
      </c>
      <c r="D1798" t="s">
        <v>41</v>
      </c>
      <c r="E1798">
        <v>25076</v>
      </c>
      <c r="F1798">
        <v>19912</v>
      </c>
      <c r="G1798">
        <v>5164</v>
      </c>
      <c r="H1798" t="s">
        <v>19</v>
      </c>
      <c r="I1798" t="s">
        <v>60</v>
      </c>
      <c r="J1798" t="s">
        <v>42</v>
      </c>
    </row>
    <row r="1799" spans="1:10" x14ac:dyDescent="0.25">
      <c r="A1799" t="s">
        <v>1836</v>
      </c>
      <c r="B1799" s="1">
        <v>46036</v>
      </c>
      <c r="C1799" t="s">
        <v>11</v>
      </c>
      <c r="D1799" t="s">
        <v>12</v>
      </c>
      <c r="E1799">
        <v>30599</v>
      </c>
      <c r="F1799">
        <v>13102</v>
      </c>
      <c r="G1799">
        <v>17497</v>
      </c>
      <c r="H1799" t="s">
        <v>27</v>
      </c>
      <c r="I1799" t="s">
        <v>14</v>
      </c>
      <c r="J1799" t="s">
        <v>53</v>
      </c>
    </row>
    <row r="1800" spans="1:10" x14ac:dyDescent="0.25">
      <c r="A1800" t="s">
        <v>1837</v>
      </c>
      <c r="B1800" s="1">
        <v>45927</v>
      </c>
      <c r="C1800" t="s">
        <v>17</v>
      </c>
      <c r="D1800" t="s">
        <v>41</v>
      </c>
      <c r="E1800">
        <v>19517</v>
      </c>
      <c r="F1800">
        <v>16249</v>
      </c>
      <c r="G1800">
        <v>3268</v>
      </c>
      <c r="H1800" t="s">
        <v>27</v>
      </c>
      <c r="I1800" t="s">
        <v>63</v>
      </c>
      <c r="J1800" t="s">
        <v>29</v>
      </c>
    </row>
    <row r="1801" spans="1:10" x14ac:dyDescent="0.25">
      <c r="A1801" t="s">
        <v>1838</v>
      </c>
      <c r="B1801" s="1">
        <v>45477</v>
      </c>
      <c r="C1801" t="s">
        <v>22</v>
      </c>
      <c r="D1801" t="s">
        <v>12</v>
      </c>
      <c r="E1801">
        <v>11200</v>
      </c>
      <c r="F1801">
        <v>10631</v>
      </c>
      <c r="G1801">
        <v>569</v>
      </c>
      <c r="H1801" t="s">
        <v>13</v>
      </c>
      <c r="I1801" t="s">
        <v>23</v>
      </c>
      <c r="J1801" t="s">
        <v>29</v>
      </c>
    </row>
    <row r="1802" spans="1:10" x14ac:dyDescent="0.25">
      <c r="A1802" t="s">
        <v>1839</v>
      </c>
      <c r="B1802" s="1">
        <v>45946</v>
      </c>
      <c r="C1802" t="s">
        <v>44</v>
      </c>
      <c r="D1802" t="s">
        <v>18</v>
      </c>
      <c r="E1802">
        <v>20975</v>
      </c>
      <c r="F1802">
        <v>8146</v>
      </c>
      <c r="G1802">
        <v>12829</v>
      </c>
      <c r="H1802" t="s">
        <v>19</v>
      </c>
      <c r="I1802" t="s">
        <v>31</v>
      </c>
      <c r="J1802" t="s">
        <v>24</v>
      </c>
    </row>
    <row r="1803" spans="1:10" x14ac:dyDescent="0.25">
      <c r="A1803" t="s">
        <v>1840</v>
      </c>
      <c r="B1803" s="1">
        <v>46094</v>
      </c>
      <c r="C1803" t="s">
        <v>22</v>
      </c>
      <c r="D1803" t="s">
        <v>33</v>
      </c>
      <c r="E1803">
        <v>20228</v>
      </c>
      <c r="F1803">
        <v>8408</v>
      </c>
      <c r="G1803">
        <v>11820</v>
      </c>
      <c r="H1803" t="s">
        <v>27</v>
      </c>
      <c r="I1803" t="s">
        <v>31</v>
      </c>
      <c r="J1803" t="s">
        <v>15</v>
      </c>
    </row>
    <row r="1804" spans="1:10" x14ac:dyDescent="0.25">
      <c r="A1804" t="s">
        <v>1841</v>
      </c>
      <c r="B1804" s="1">
        <v>45924</v>
      </c>
      <c r="C1804" t="s">
        <v>22</v>
      </c>
      <c r="D1804" t="s">
        <v>41</v>
      </c>
      <c r="E1804">
        <v>40850</v>
      </c>
      <c r="F1804">
        <v>24056</v>
      </c>
      <c r="G1804">
        <v>16794</v>
      </c>
      <c r="H1804" t="s">
        <v>13</v>
      </c>
      <c r="I1804" t="s">
        <v>45</v>
      </c>
      <c r="J1804" t="s">
        <v>42</v>
      </c>
    </row>
    <row r="1805" spans="1:10" x14ac:dyDescent="0.25">
      <c r="A1805" t="s">
        <v>1842</v>
      </c>
      <c r="B1805" s="1">
        <v>45386</v>
      </c>
      <c r="C1805" t="s">
        <v>11</v>
      </c>
      <c r="D1805" t="s">
        <v>18</v>
      </c>
      <c r="E1805">
        <v>22488</v>
      </c>
      <c r="F1805">
        <v>2830</v>
      </c>
      <c r="G1805">
        <v>19658</v>
      </c>
      <c r="H1805" t="s">
        <v>13</v>
      </c>
      <c r="I1805" t="s">
        <v>20</v>
      </c>
      <c r="J1805" t="s">
        <v>29</v>
      </c>
    </row>
    <row r="1806" spans="1:10" x14ac:dyDescent="0.25">
      <c r="A1806" t="s">
        <v>1843</v>
      </c>
      <c r="B1806" s="1">
        <v>45910</v>
      </c>
      <c r="C1806" t="s">
        <v>44</v>
      </c>
      <c r="D1806" t="s">
        <v>33</v>
      </c>
      <c r="E1806">
        <v>45697</v>
      </c>
      <c r="F1806">
        <v>27050</v>
      </c>
      <c r="G1806">
        <v>18647</v>
      </c>
      <c r="H1806" t="s">
        <v>19</v>
      </c>
      <c r="I1806" t="s">
        <v>78</v>
      </c>
      <c r="J1806" t="s">
        <v>15</v>
      </c>
    </row>
    <row r="1807" spans="1:10" x14ac:dyDescent="0.25">
      <c r="A1807" t="s">
        <v>1844</v>
      </c>
      <c r="B1807" s="1">
        <v>45226</v>
      </c>
      <c r="C1807" t="s">
        <v>44</v>
      </c>
      <c r="D1807" t="s">
        <v>36</v>
      </c>
      <c r="E1807">
        <v>6253</v>
      </c>
      <c r="F1807">
        <v>3872</v>
      </c>
      <c r="G1807">
        <v>2381</v>
      </c>
      <c r="H1807" t="s">
        <v>19</v>
      </c>
      <c r="I1807" t="s">
        <v>14</v>
      </c>
      <c r="J1807" t="s">
        <v>15</v>
      </c>
    </row>
    <row r="1808" spans="1:10" x14ac:dyDescent="0.25">
      <c r="A1808" t="s">
        <v>1845</v>
      </c>
      <c r="B1808" s="1">
        <v>45806</v>
      </c>
      <c r="C1808" t="s">
        <v>44</v>
      </c>
      <c r="D1808" t="s">
        <v>36</v>
      </c>
      <c r="E1808">
        <v>42135</v>
      </c>
      <c r="F1808">
        <v>37957</v>
      </c>
      <c r="G1808">
        <v>4178</v>
      </c>
      <c r="H1808" t="s">
        <v>38</v>
      </c>
      <c r="I1808" t="s">
        <v>60</v>
      </c>
      <c r="J1808" t="s">
        <v>29</v>
      </c>
    </row>
    <row r="1809" spans="1:10" x14ac:dyDescent="0.25">
      <c r="A1809" t="s">
        <v>1846</v>
      </c>
      <c r="B1809" s="1">
        <v>45161</v>
      </c>
      <c r="C1809" t="s">
        <v>26</v>
      </c>
      <c r="D1809" t="s">
        <v>12</v>
      </c>
      <c r="E1809">
        <v>10824</v>
      </c>
      <c r="F1809">
        <v>2897</v>
      </c>
      <c r="G1809">
        <v>7927</v>
      </c>
      <c r="H1809" t="s">
        <v>19</v>
      </c>
      <c r="I1809" t="s">
        <v>31</v>
      </c>
      <c r="J1809" t="s">
        <v>53</v>
      </c>
    </row>
    <row r="1810" spans="1:10" x14ac:dyDescent="0.25">
      <c r="A1810" t="s">
        <v>1847</v>
      </c>
      <c r="B1810" s="1">
        <v>45365</v>
      </c>
      <c r="C1810" t="s">
        <v>26</v>
      </c>
      <c r="D1810" t="s">
        <v>41</v>
      </c>
      <c r="E1810">
        <v>5008</v>
      </c>
      <c r="F1810">
        <v>837</v>
      </c>
      <c r="G1810">
        <v>4171</v>
      </c>
      <c r="H1810" t="s">
        <v>27</v>
      </c>
      <c r="I1810" t="s">
        <v>45</v>
      </c>
      <c r="J1810" t="s">
        <v>24</v>
      </c>
    </row>
    <row r="1811" spans="1:10" x14ac:dyDescent="0.25">
      <c r="A1811" t="s">
        <v>1848</v>
      </c>
      <c r="B1811" s="1">
        <v>45740</v>
      </c>
      <c r="C1811" t="s">
        <v>11</v>
      </c>
      <c r="D1811" t="s">
        <v>12</v>
      </c>
      <c r="E1811">
        <v>15339</v>
      </c>
      <c r="F1811">
        <v>9666</v>
      </c>
      <c r="G1811">
        <v>5673</v>
      </c>
      <c r="H1811" t="s">
        <v>38</v>
      </c>
      <c r="I1811" t="s">
        <v>34</v>
      </c>
      <c r="J1811" t="s">
        <v>53</v>
      </c>
    </row>
    <row r="1812" spans="1:10" x14ac:dyDescent="0.25">
      <c r="A1812" t="s">
        <v>1849</v>
      </c>
      <c r="B1812" s="1">
        <v>45230</v>
      </c>
      <c r="C1812" t="s">
        <v>17</v>
      </c>
      <c r="D1812" t="s">
        <v>12</v>
      </c>
      <c r="E1812">
        <v>42031</v>
      </c>
      <c r="F1812">
        <v>28986</v>
      </c>
      <c r="G1812">
        <v>13045</v>
      </c>
      <c r="H1812" t="s">
        <v>13</v>
      </c>
      <c r="I1812" t="s">
        <v>23</v>
      </c>
      <c r="J1812" t="s">
        <v>15</v>
      </c>
    </row>
    <row r="1813" spans="1:10" x14ac:dyDescent="0.25">
      <c r="A1813" t="s">
        <v>1850</v>
      </c>
      <c r="B1813" s="1">
        <v>45417</v>
      </c>
      <c r="C1813" t="s">
        <v>44</v>
      </c>
      <c r="D1813" t="s">
        <v>36</v>
      </c>
      <c r="E1813">
        <v>46947</v>
      </c>
      <c r="F1813">
        <v>40853</v>
      </c>
      <c r="G1813">
        <v>6094</v>
      </c>
      <c r="H1813" t="s">
        <v>13</v>
      </c>
      <c r="I1813" t="s">
        <v>63</v>
      </c>
      <c r="J1813" t="s">
        <v>24</v>
      </c>
    </row>
    <row r="1814" spans="1:10" x14ac:dyDescent="0.25">
      <c r="A1814" t="s">
        <v>1851</v>
      </c>
      <c r="B1814" s="1">
        <v>45502</v>
      </c>
      <c r="C1814" t="s">
        <v>11</v>
      </c>
      <c r="D1814" t="s">
        <v>41</v>
      </c>
      <c r="E1814">
        <v>27836</v>
      </c>
      <c r="F1814">
        <v>10369</v>
      </c>
      <c r="G1814">
        <v>17467</v>
      </c>
      <c r="H1814" t="s">
        <v>38</v>
      </c>
      <c r="I1814" t="s">
        <v>63</v>
      </c>
      <c r="J1814" t="s">
        <v>42</v>
      </c>
    </row>
    <row r="1815" spans="1:10" x14ac:dyDescent="0.25">
      <c r="A1815" t="s">
        <v>1852</v>
      </c>
      <c r="B1815" s="1">
        <v>45594</v>
      </c>
      <c r="C1815" t="s">
        <v>44</v>
      </c>
      <c r="D1815" t="s">
        <v>18</v>
      </c>
      <c r="E1815">
        <v>26377</v>
      </c>
      <c r="F1815">
        <v>8700</v>
      </c>
      <c r="G1815">
        <v>17677</v>
      </c>
      <c r="H1815" t="s">
        <v>38</v>
      </c>
      <c r="I1815" t="s">
        <v>14</v>
      </c>
      <c r="J1815" t="s">
        <v>29</v>
      </c>
    </row>
    <row r="1816" spans="1:10" x14ac:dyDescent="0.25">
      <c r="A1816" t="s">
        <v>1853</v>
      </c>
      <c r="B1816" s="1">
        <v>45266</v>
      </c>
      <c r="C1816" t="s">
        <v>11</v>
      </c>
      <c r="D1816" t="s">
        <v>36</v>
      </c>
      <c r="E1816">
        <v>18239</v>
      </c>
      <c r="F1816">
        <v>10090</v>
      </c>
      <c r="G1816">
        <v>8149</v>
      </c>
      <c r="H1816" t="s">
        <v>27</v>
      </c>
      <c r="I1816" t="s">
        <v>63</v>
      </c>
      <c r="J1816" t="s">
        <v>42</v>
      </c>
    </row>
    <row r="1817" spans="1:10" x14ac:dyDescent="0.25">
      <c r="A1817" t="s">
        <v>1854</v>
      </c>
      <c r="B1817" s="1">
        <v>45871</v>
      </c>
      <c r="C1817" t="s">
        <v>44</v>
      </c>
      <c r="D1817" t="s">
        <v>33</v>
      </c>
      <c r="E1817">
        <v>43725</v>
      </c>
      <c r="F1817">
        <v>40142</v>
      </c>
      <c r="G1817">
        <v>3583</v>
      </c>
      <c r="H1817" t="s">
        <v>19</v>
      </c>
      <c r="I1817" t="s">
        <v>31</v>
      </c>
      <c r="J1817" t="s">
        <v>29</v>
      </c>
    </row>
    <row r="1818" spans="1:10" x14ac:dyDescent="0.25">
      <c r="A1818" t="s">
        <v>1855</v>
      </c>
      <c r="B1818" s="1">
        <v>45546</v>
      </c>
      <c r="C1818" t="s">
        <v>26</v>
      </c>
      <c r="D1818" t="s">
        <v>41</v>
      </c>
      <c r="E1818">
        <v>24266</v>
      </c>
      <c r="F1818">
        <v>20946</v>
      </c>
      <c r="G1818">
        <v>3320</v>
      </c>
      <c r="H1818" t="s">
        <v>13</v>
      </c>
      <c r="I1818" t="s">
        <v>23</v>
      </c>
      <c r="J1818" t="s">
        <v>29</v>
      </c>
    </row>
    <row r="1819" spans="1:10" x14ac:dyDescent="0.25">
      <c r="A1819" t="s">
        <v>1856</v>
      </c>
      <c r="B1819" s="1">
        <v>45572</v>
      </c>
      <c r="C1819" t="s">
        <v>26</v>
      </c>
      <c r="D1819" t="s">
        <v>33</v>
      </c>
      <c r="E1819">
        <v>28585</v>
      </c>
      <c r="F1819">
        <v>27293</v>
      </c>
      <c r="G1819">
        <v>1292</v>
      </c>
      <c r="H1819" t="s">
        <v>38</v>
      </c>
      <c r="I1819" t="s">
        <v>60</v>
      </c>
      <c r="J1819" t="s">
        <v>15</v>
      </c>
    </row>
    <row r="1820" spans="1:10" x14ac:dyDescent="0.25">
      <c r="A1820" t="s">
        <v>1857</v>
      </c>
      <c r="B1820" s="1">
        <v>45543</v>
      </c>
      <c r="C1820" t="s">
        <v>11</v>
      </c>
      <c r="D1820" t="s">
        <v>41</v>
      </c>
      <c r="E1820">
        <v>49209</v>
      </c>
      <c r="F1820">
        <v>42963</v>
      </c>
      <c r="G1820">
        <v>6246</v>
      </c>
      <c r="H1820" t="s">
        <v>19</v>
      </c>
      <c r="I1820" t="s">
        <v>60</v>
      </c>
      <c r="J1820" t="s">
        <v>24</v>
      </c>
    </row>
    <row r="1821" spans="1:10" x14ac:dyDescent="0.25">
      <c r="A1821" t="s">
        <v>1858</v>
      </c>
      <c r="B1821" s="1">
        <v>45759</v>
      </c>
      <c r="C1821" t="s">
        <v>26</v>
      </c>
      <c r="D1821" t="s">
        <v>36</v>
      </c>
      <c r="E1821">
        <v>8527</v>
      </c>
      <c r="F1821">
        <v>1571</v>
      </c>
      <c r="G1821">
        <v>6956</v>
      </c>
      <c r="H1821" t="s">
        <v>19</v>
      </c>
      <c r="I1821" t="s">
        <v>63</v>
      </c>
      <c r="J1821" t="s">
        <v>29</v>
      </c>
    </row>
    <row r="1822" spans="1:10" x14ac:dyDescent="0.25">
      <c r="A1822" t="s">
        <v>1859</v>
      </c>
      <c r="B1822" s="1">
        <v>45325</v>
      </c>
      <c r="C1822" t="s">
        <v>11</v>
      </c>
      <c r="D1822" t="s">
        <v>12</v>
      </c>
      <c r="E1822">
        <v>18819</v>
      </c>
      <c r="F1822">
        <v>12856</v>
      </c>
      <c r="G1822">
        <v>5963</v>
      </c>
      <c r="H1822" t="s">
        <v>19</v>
      </c>
      <c r="I1822" t="s">
        <v>31</v>
      </c>
      <c r="J1822" t="s">
        <v>15</v>
      </c>
    </row>
    <row r="1823" spans="1:10" x14ac:dyDescent="0.25">
      <c r="A1823" t="s">
        <v>1860</v>
      </c>
      <c r="B1823" s="1">
        <v>45866</v>
      </c>
      <c r="C1823" t="s">
        <v>22</v>
      </c>
      <c r="D1823" t="s">
        <v>41</v>
      </c>
      <c r="E1823">
        <v>45909</v>
      </c>
      <c r="F1823">
        <v>41588</v>
      </c>
      <c r="G1823">
        <v>4321</v>
      </c>
      <c r="H1823" t="s">
        <v>13</v>
      </c>
      <c r="I1823" t="s">
        <v>14</v>
      </c>
      <c r="J1823" t="s">
        <v>29</v>
      </c>
    </row>
    <row r="1824" spans="1:10" x14ac:dyDescent="0.25">
      <c r="A1824" t="s">
        <v>1861</v>
      </c>
      <c r="B1824" s="1">
        <v>45363</v>
      </c>
      <c r="C1824" t="s">
        <v>11</v>
      </c>
      <c r="D1824" t="s">
        <v>18</v>
      </c>
      <c r="E1824">
        <v>47972</v>
      </c>
      <c r="F1824">
        <v>42406</v>
      </c>
      <c r="G1824">
        <v>5566</v>
      </c>
      <c r="H1824" t="s">
        <v>27</v>
      </c>
      <c r="I1824" t="s">
        <v>20</v>
      </c>
      <c r="J1824" t="s">
        <v>29</v>
      </c>
    </row>
    <row r="1825" spans="1:10" x14ac:dyDescent="0.25">
      <c r="A1825" t="s">
        <v>1862</v>
      </c>
      <c r="B1825" s="1">
        <v>46007</v>
      </c>
      <c r="C1825" t="s">
        <v>44</v>
      </c>
      <c r="D1825" t="s">
        <v>33</v>
      </c>
      <c r="E1825">
        <v>44023</v>
      </c>
      <c r="F1825">
        <v>38520</v>
      </c>
      <c r="G1825">
        <v>5503</v>
      </c>
      <c r="H1825" t="s">
        <v>13</v>
      </c>
      <c r="I1825" t="s">
        <v>45</v>
      </c>
      <c r="J1825" t="s">
        <v>53</v>
      </c>
    </row>
    <row r="1826" spans="1:10" x14ac:dyDescent="0.25">
      <c r="A1826" t="s">
        <v>1863</v>
      </c>
      <c r="B1826" s="1">
        <v>45357</v>
      </c>
      <c r="C1826" t="s">
        <v>44</v>
      </c>
      <c r="D1826" t="s">
        <v>41</v>
      </c>
      <c r="E1826">
        <v>17274</v>
      </c>
      <c r="F1826">
        <v>4361</v>
      </c>
      <c r="G1826">
        <v>12913</v>
      </c>
      <c r="H1826" t="s">
        <v>13</v>
      </c>
      <c r="I1826" t="s">
        <v>14</v>
      </c>
      <c r="J1826" t="s">
        <v>24</v>
      </c>
    </row>
    <row r="1827" spans="1:10" x14ac:dyDescent="0.25">
      <c r="A1827" t="s">
        <v>1864</v>
      </c>
      <c r="B1827" s="1">
        <v>45749</v>
      </c>
      <c r="C1827" t="s">
        <v>26</v>
      </c>
      <c r="D1827" t="s">
        <v>18</v>
      </c>
      <c r="E1827">
        <v>28262</v>
      </c>
      <c r="F1827">
        <v>22007</v>
      </c>
      <c r="G1827">
        <v>6255</v>
      </c>
      <c r="H1827" t="s">
        <v>19</v>
      </c>
      <c r="I1827" t="s">
        <v>31</v>
      </c>
      <c r="J1827" t="s">
        <v>42</v>
      </c>
    </row>
    <row r="1828" spans="1:10" x14ac:dyDescent="0.25">
      <c r="A1828" t="s">
        <v>1865</v>
      </c>
      <c r="B1828" s="1">
        <v>45887</v>
      </c>
      <c r="C1828" t="s">
        <v>44</v>
      </c>
      <c r="D1828" t="s">
        <v>18</v>
      </c>
      <c r="E1828">
        <v>23501</v>
      </c>
      <c r="F1828">
        <v>8896</v>
      </c>
      <c r="G1828">
        <v>14605</v>
      </c>
      <c r="H1828" t="s">
        <v>27</v>
      </c>
      <c r="I1828" t="s">
        <v>78</v>
      </c>
      <c r="J1828" t="s">
        <v>15</v>
      </c>
    </row>
    <row r="1829" spans="1:10" x14ac:dyDescent="0.25">
      <c r="A1829" t="s">
        <v>1866</v>
      </c>
      <c r="B1829" s="1">
        <v>45255</v>
      </c>
      <c r="C1829" t="s">
        <v>26</v>
      </c>
      <c r="D1829" t="s">
        <v>36</v>
      </c>
      <c r="E1829">
        <v>39692</v>
      </c>
      <c r="F1829">
        <v>28618</v>
      </c>
      <c r="G1829">
        <v>11074</v>
      </c>
      <c r="H1829" t="s">
        <v>19</v>
      </c>
      <c r="I1829" t="s">
        <v>14</v>
      </c>
      <c r="J1829" t="s">
        <v>15</v>
      </c>
    </row>
    <row r="1830" spans="1:10" x14ac:dyDescent="0.25">
      <c r="A1830" t="s">
        <v>1867</v>
      </c>
      <c r="B1830" s="1">
        <v>45254</v>
      </c>
      <c r="C1830" t="s">
        <v>17</v>
      </c>
      <c r="D1830" t="s">
        <v>33</v>
      </c>
      <c r="E1830">
        <v>33060</v>
      </c>
      <c r="F1830">
        <v>31376</v>
      </c>
      <c r="G1830">
        <v>1684</v>
      </c>
      <c r="H1830" t="s">
        <v>19</v>
      </c>
      <c r="I1830" t="s">
        <v>23</v>
      </c>
      <c r="J1830" t="s">
        <v>15</v>
      </c>
    </row>
    <row r="1831" spans="1:10" x14ac:dyDescent="0.25">
      <c r="A1831" t="s">
        <v>1868</v>
      </c>
      <c r="B1831" s="1">
        <v>45340</v>
      </c>
      <c r="C1831" t="s">
        <v>17</v>
      </c>
      <c r="D1831" t="s">
        <v>33</v>
      </c>
      <c r="E1831">
        <v>7940</v>
      </c>
      <c r="F1831">
        <v>1198</v>
      </c>
      <c r="G1831">
        <v>6742</v>
      </c>
      <c r="H1831" t="s">
        <v>13</v>
      </c>
      <c r="I1831" t="s">
        <v>45</v>
      </c>
      <c r="J1831" t="s">
        <v>29</v>
      </c>
    </row>
    <row r="1832" spans="1:10" x14ac:dyDescent="0.25">
      <c r="A1832" t="s">
        <v>1869</v>
      </c>
      <c r="B1832" s="1">
        <v>46090</v>
      </c>
      <c r="C1832" t="s">
        <v>17</v>
      </c>
      <c r="D1832" t="s">
        <v>33</v>
      </c>
      <c r="E1832">
        <v>7736</v>
      </c>
      <c r="F1832">
        <v>6926</v>
      </c>
      <c r="G1832">
        <v>810</v>
      </c>
      <c r="H1832" t="s">
        <v>27</v>
      </c>
      <c r="I1832" t="s">
        <v>14</v>
      </c>
      <c r="J1832" t="s">
        <v>15</v>
      </c>
    </row>
    <row r="1833" spans="1:10" x14ac:dyDescent="0.25">
      <c r="A1833" t="s">
        <v>1870</v>
      </c>
      <c r="B1833" s="1">
        <v>45485</v>
      </c>
      <c r="C1833" t="s">
        <v>17</v>
      </c>
      <c r="D1833" t="s">
        <v>41</v>
      </c>
      <c r="E1833">
        <v>17006</v>
      </c>
      <c r="F1833">
        <v>14725</v>
      </c>
      <c r="G1833">
        <v>2281</v>
      </c>
      <c r="H1833" t="s">
        <v>19</v>
      </c>
      <c r="I1833" t="s">
        <v>34</v>
      </c>
      <c r="J1833" t="s">
        <v>24</v>
      </c>
    </row>
    <row r="1834" spans="1:10" x14ac:dyDescent="0.25">
      <c r="A1834" t="s">
        <v>1871</v>
      </c>
      <c r="B1834" s="1">
        <v>46059</v>
      </c>
      <c r="C1834" t="s">
        <v>22</v>
      </c>
      <c r="D1834" t="s">
        <v>12</v>
      </c>
      <c r="E1834">
        <v>46749</v>
      </c>
      <c r="F1834">
        <v>35363</v>
      </c>
      <c r="G1834">
        <v>11386</v>
      </c>
      <c r="H1834" t="s">
        <v>19</v>
      </c>
      <c r="I1834" t="s">
        <v>45</v>
      </c>
      <c r="J1834" t="s">
        <v>24</v>
      </c>
    </row>
    <row r="1835" spans="1:10" x14ac:dyDescent="0.25">
      <c r="A1835" t="s">
        <v>1872</v>
      </c>
      <c r="B1835" s="1">
        <v>45699</v>
      </c>
      <c r="C1835" t="s">
        <v>22</v>
      </c>
      <c r="D1835" t="s">
        <v>12</v>
      </c>
      <c r="E1835">
        <v>26590</v>
      </c>
      <c r="F1835">
        <v>10350</v>
      </c>
      <c r="G1835">
        <v>16240</v>
      </c>
      <c r="H1835" t="s">
        <v>27</v>
      </c>
      <c r="I1835" t="s">
        <v>60</v>
      </c>
      <c r="J1835" t="s">
        <v>42</v>
      </c>
    </row>
    <row r="1836" spans="1:10" x14ac:dyDescent="0.25">
      <c r="A1836" t="s">
        <v>1873</v>
      </c>
      <c r="B1836" s="1">
        <v>45872</v>
      </c>
      <c r="C1836" t="s">
        <v>17</v>
      </c>
      <c r="D1836" t="s">
        <v>18</v>
      </c>
      <c r="E1836">
        <v>22909</v>
      </c>
      <c r="F1836">
        <v>14752</v>
      </c>
      <c r="G1836">
        <v>8157</v>
      </c>
      <c r="H1836" t="s">
        <v>38</v>
      </c>
      <c r="I1836" t="s">
        <v>34</v>
      </c>
      <c r="J1836" t="s">
        <v>15</v>
      </c>
    </row>
    <row r="1837" spans="1:10" x14ac:dyDescent="0.25">
      <c r="A1837" t="s">
        <v>1874</v>
      </c>
      <c r="B1837" s="1">
        <v>45887</v>
      </c>
      <c r="C1837" t="s">
        <v>44</v>
      </c>
      <c r="D1837" t="s">
        <v>33</v>
      </c>
      <c r="E1837">
        <v>12469</v>
      </c>
      <c r="F1837">
        <v>2182</v>
      </c>
      <c r="G1837">
        <v>10287</v>
      </c>
      <c r="H1837" t="s">
        <v>19</v>
      </c>
      <c r="I1837" t="s">
        <v>45</v>
      </c>
      <c r="J1837" t="s">
        <v>42</v>
      </c>
    </row>
    <row r="1838" spans="1:10" x14ac:dyDescent="0.25">
      <c r="A1838" t="s">
        <v>1875</v>
      </c>
      <c r="B1838" s="1">
        <v>45911</v>
      </c>
      <c r="C1838" t="s">
        <v>11</v>
      </c>
      <c r="D1838" t="s">
        <v>41</v>
      </c>
      <c r="E1838">
        <v>16923</v>
      </c>
      <c r="F1838">
        <v>12432</v>
      </c>
      <c r="G1838">
        <v>4491</v>
      </c>
      <c r="H1838" t="s">
        <v>13</v>
      </c>
      <c r="I1838" t="s">
        <v>78</v>
      </c>
      <c r="J1838" t="s">
        <v>15</v>
      </c>
    </row>
    <row r="1839" spans="1:10" x14ac:dyDescent="0.25">
      <c r="A1839" t="s">
        <v>1876</v>
      </c>
      <c r="B1839" s="1">
        <v>45795</v>
      </c>
      <c r="C1839" t="s">
        <v>22</v>
      </c>
      <c r="D1839" t="s">
        <v>41</v>
      </c>
      <c r="E1839">
        <v>24910</v>
      </c>
      <c r="F1839">
        <v>20859</v>
      </c>
      <c r="G1839">
        <v>4051</v>
      </c>
      <c r="H1839" t="s">
        <v>19</v>
      </c>
      <c r="I1839" t="s">
        <v>14</v>
      </c>
      <c r="J1839" t="s">
        <v>15</v>
      </c>
    </row>
    <row r="1840" spans="1:10" x14ac:dyDescent="0.25">
      <c r="A1840" t="s">
        <v>1877</v>
      </c>
      <c r="B1840" s="1">
        <v>46174</v>
      </c>
      <c r="C1840" t="s">
        <v>11</v>
      </c>
      <c r="D1840" t="s">
        <v>33</v>
      </c>
      <c r="E1840">
        <v>22352</v>
      </c>
      <c r="F1840">
        <v>15456</v>
      </c>
      <c r="G1840">
        <v>6896</v>
      </c>
      <c r="H1840" t="s">
        <v>27</v>
      </c>
      <c r="I1840" t="s">
        <v>34</v>
      </c>
      <c r="J1840" t="s">
        <v>15</v>
      </c>
    </row>
    <row r="1841" spans="1:10" x14ac:dyDescent="0.25">
      <c r="A1841" t="s">
        <v>1878</v>
      </c>
      <c r="B1841" s="1">
        <v>45826</v>
      </c>
      <c r="C1841" t="s">
        <v>26</v>
      </c>
      <c r="D1841" t="s">
        <v>12</v>
      </c>
      <c r="E1841">
        <v>46196</v>
      </c>
      <c r="F1841">
        <v>42549</v>
      </c>
      <c r="G1841">
        <v>3647</v>
      </c>
      <c r="H1841" t="s">
        <v>27</v>
      </c>
      <c r="I1841" t="s">
        <v>28</v>
      </c>
      <c r="J1841" t="s">
        <v>53</v>
      </c>
    </row>
    <row r="1842" spans="1:10" x14ac:dyDescent="0.25">
      <c r="A1842" t="s">
        <v>1879</v>
      </c>
      <c r="B1842" s="1">
        <v>45204</v>
      </c>
      <c r="C1842" t="s">
        <v>26</v>
      </c>
      <c r="D1842" t="s">
        <v>33</v>
      </c>
      <c r="E1842">
        <v>48040</v>
      </c>
      <c r="F1842">
        <v>45568</v>
      </c>
      <c r="G1842">
        <v>2472</v>
      </c>
      <c r="H1842" t="s">
        <v>27</v>
      </c>
      <c r="I1842" t="s">
        <v>45</v>
      </c>
      <c r="J1842" t="s">
        <v>29</v>
      </c>
    </row>
    <row r="1843" spans="1:10" x14ac:dyDescent="0.25">
      <c r="A1843" t="s">
        <v>1880</v>
      </c>
      <c r="B1843" s="1">
        <v>45671</v>
      </c>
      <c r="C1843" t="s">
        <v>17</v>
      </c>
      <c r="D1843" t="s">
        <v>41</v>
      </c>
      <c r="E1843">
        <v>42511</v>
      </c>
      <c r="F1843">
        <v>38260</v>
      </c>
      <c r="G1843">
        <v>4251</v>
      </c>
      <c r="H1843" t="s">
        <v>38</v>
      </c>
      <c r="I1843" t="s">
        <v>34</v>
      </c>
      <c r="J1843" t="s">
        <v>15</v>
      </c>
    </row>
    <row r="1844" spans="1:10" x14ac:dyDescent="0.25">
      <c r="A1844" t="s">
        <v>1881</v>
      </c>
      <c r="B1844" s="1">
        <v>45803</v>
      </c>
      <c r="C1844" t="s">
        <v>22</v>
      </c>
      <c r="D1844" t="s">
        <v>36</v>
      </c>
      <c r="E1844">
        <v>42308</v>
      </c>
      <c r="F1844">
        <v>34166</v>
      </c>
      <c r="G1844">
        <v>8142</v>
      </c>
      <c r="H1844" t="s">
        <v>27</v>
      </c>
      <c r="I1844" t="s">
        <v>60</v>
      </c>
      <c r="J1844" t="s">
        <v>53</v>
      </c>
    </row>
    <row r="1845" spans="1:10" x14ac:dyDescent="0.25">
      <c r="A1845" t="s">
        <v>1882</v>
      </c>
      <c r="B1845" s="1">
        <v>45233</v>
      </c>
      <c r="C1845" t="s">
        <v>11</v>
      </c>
      <c r="D1845" t="s">
        <v>41</v>
      </c>
      <c r="E1845">
        <v>45682</v>
      </c>
      <c r="F1845">
        <v>33032</v>
      </c>
      <c r="G1845">
        <v>12650</v>
      </c>
      <c r="H1845" t="s">
        <v>38</v>
      </c>
      <c r="I1845" t="s">
        <v>45</v>
      </c>
      <c r="J1845" t="s">
        <v>24</v>
      </c>
    </row>
    <row r="1846" spans="1:10" x14ac:dyDescent="0.25">
      <c r="A1846" t="s">
        <v>1883</v>
      </c>
      <c r="B1846" s="1">
        <v>46066</v>
      </c>
      <c r="C1846" t="s">
        <v>22</v>
      </c>
      <c r="D1846" t="s">
        <v>36</v>
      </c>
      <c r="E1846">
        <v>10266</v>
      </c>
      <c r="F1846">
        <v>7844</v>
      </c>
      <c r="G1846">
        <v>2422</v>
      </c>
      <c r="H1846" t="s">
        <v>19</v>
      </c>
      <c r="I1846" t="s">
        <v>63</v>
      </c>
      <c r="J1846" t="s">
        <v>53</v>
      </c>
    </row>
    <row r="1847" spans="1:10" x14ac:dyDescent="0.25">
      <c r="A1847" t="s">
        <v>1884</v>
      </c>
      <c r="B1847" s="1">
        <v>46132</v>
      </c>
      <c r="C1847" t="s">
        <v>22</v>
      </c>
      <c r="D1847" t="s">
        <v>18</v>
      </c>
      <c r="E1847">
        <v>7164</v>
      </c>
      <c r="F1847">
        <v>1999</v>
      </c>
      <c r="G1847">
        <v>5165</v>
      </c>
      <c r="H1847" t="s">
        <v>13</v>
      </c>
      <c r="I1847" t="s">
        <v>14</v>
      </c>
      <c r="J1847" t="s">
        <v>42</v>
      </c>
    </row>
    <row r="1848" spans="1:10" x14ac:dyDescent="0.25">
      <c r="A1848" t="s">
        <v>1885</v>
      </c>
      <c r="B1848" s="1">
        <v>45899</v>
      </c>
      <c r="C1848" t="s">
        <v>22</v>
      </c>
      <c r="D1848" t="s">
        <v>41</v>
      </c>
      <c r="E1848">
        <v>24349</v>
      </c>
      <c r="F1848">
        <v>9967</v>
      </c>
      <c r="G1848">
        <v>14382</v>
      </c>
      <c r="H1848" t="s">
        <v>19</v>
      </c>
      <c r="I1848" t="s">
        <v>20</v>
      </c>
      <c r="J1848" t="s">
        <v>29</v>
      </c>
    </row>
    <row r="1849" spans="1:10" x14ac:dyDescent="0.25">
      <c r="A1849" t="s">
        <v>1886</v>
      </c>
      <c r="B1849" s="1">
        <v>45684</v>
      </c>
      <c r="C1849" t="s">
        <v>17</v>
      </c>
      <c r="D1849" t="s">
        <v>41</v>
      </c>
      <c r="E1849">
        <v>45894</v>
      </c>
      <c r="F1849">
        <v>33258</v>
      </c>
      <c r="G1849">
        <v>12636</v>
      </c>
      <c r="H1849" t="s">
        <v>38</v>
      </c>
      <c r="I1849" t="s">
        <v>45</v>
      </c>
      <c r="J1849" t="s">
        <v>15</v>
      </c>
    </row>
    <row r="1850" spans="1:10" x14ac:dyDescent="0.25">
      <c r="A1850" t="s">
        <v>1887</v>
      </c>
      <c r="B1850" s="1">
        <v>45681</v>
      </c>
      <c r="C1850" t="s">
        <v>11</v>
      </c>
      <c r="D1850" t="s">
        <v>36</v>
      </c>
      <c r="E1850">
        <v>11101</v>
      </c>
      <c r="F1850">
        <v>2789</v>
      </c>
      <c r="G1850">
        <v>8312</v>
      </c>
      <c r="H1850" t="s">
        <v>38</v>
      </c>
      <c r="I1850" t="s">
        <v>23</v>
      </c>
      <c r="J1850" t="s">
        <v>42</v>
      </c>
    </row>
    <row r="1851" spans="1:10" x14ac:dyDescent="0.25">
      <c r="A1851" t="s">
        <v>1888</v>
      </c>
      <c r="B1851" s="1">
        <v>46132</v>
      </c>
      <c r="C1851" t="s">
        <v>17</v>
      </c>
      <c r="D1851" t="s">
        <v>33</v>
      </c>
      <c r="E1851">
        <v>20166</v>
      </c>
      <c r="F1851">
        <v>395</v>
      </c>
      <c r="G1851">
        <v>19771</v>
      </c>
      <c r="H1851" t="s">
        <v>19</v>
      </c>
      <c r="I1851" t="s">
        <v>28</v>
      </c>
      <c r="J1851" t="s">
        <v>15</v>
      </c>
    </row>
    <row r="1852" spans="1:10" x14ac:dyDescent="0.25">
      <c r="A1852" t="s">
        <v>1889</v>
      </c>
      <c r="B1852" s="1">
        <v>45903</v>
      </c>
      <c r="C1852" t="s">
        <v>44</v>
      </c>
      <c r="D1852" t="s">
        <v>12</v>
      </c>
      <c r="E1852">
        <v>36396</v>
      </c>
      <c r="F1852">
        <v>32289</v>
      </c>
      <c r="G1852">
        <v>4107</v>
      </c>
      <c r="H1852" t="s">
        <v>38</v>
      </c>
      <c r="I1852" t="s">
        <v>60</v>
      </c>
      <c r="J1852" t="s">
        <v>29</v>
      </c>
    </row>
    <row r="1853" spans="1:10" x14ac:dyDescent="0.25">
      <c r="A1853" t="s">
        <v>1890</v>
      </c>
      <c r="B1853" s="1">
        <v>45637</v>
      </c>
      <c r="C1853" t="s">
        <v>44</v>
      </c>
      <c r="D1853" t="s">
        <v>41</v>
      </c>
      <c r="E1853">
        <v>7720</v>
      </c>
      <c r="F1853">
        <v>3467</v>
      </c>
      <c r="G1853">
        <v>4253</v>
      </c>
      <c r="H1853" t="s">
        <v>38</v>
      </c>
      <c r="I1853" t="s">
        <v>23</v>
      </c>
      <c r="J1853" t="s">
        <v>24</v>
      </c>
    </row>
    <row r="1854" spans="1:10" x14ac:dyDescent="0.25">
      <c r="A1854" t="s">
        <v>1891</v>
      </c>
      <c r="B1854" s="1">
        <v>46195</v>
      </c>
      <c r="C1854" t="s">
        <v>44</v>
      </c>
      <c r="D1854" t="s">
        <v>12</v>
      </c>
      <c r="E1854">
        <v>10072</v>
      </c>
      <c r="F1854">
        <v>859</v>
      </c>
      <c r="G1854">
        <v>9213</v>
      </c>
      <c r="H1854" t="s">
        <v>38</v>
      </c>
      <c r="I1854" t="s">
        <v>23</v>
      </c>
      <c r="J1854" t="s">
        <v>53</v>
      </c>
    </row>
    <row r="1855" spans="1:10" x14ac:dyDescent="0.25">
      <c r="A1855" t="s">
        <v>1892</v>
      </c>
      <c r="B1855" s="1">
        <v>45744</v>
      </c>
      <c r="C1855" t="s">
        <v>11</v>
      </c>
      <c r="D1855" t="s">
        <v>33</v>
      </c>
      <c r="E1855">
        <v>20146</v>
      </c>
      <c r="F1855">
        <v>3146</v>
      </c>
      <c r="G1855">
        <v>17000</v>
      </c>
      <c r="H1855" t="s">
        <v>38</v>
      </c>
      <c r="I1855" t="s">
        <v>63</v>
      </c>
      <c r="J1855" t="s">
        <v>29</v>
      </c>
    </row>
    <row r="1856" spans="1:10" x14ac:dyDescent="0.25">
      <c r="A1856" t="s">
        <v>1893</v>
      </c>
      <c r="B1856" s="1">
        <v>45721</v>
      </c>
      <c r="C1856" t="s">
        <v>17</v>
      </c>
      <c r="D1856" t="s">
        <v>33</v>
      </c>
      <c r="E1856">
        <v>37828</v>
      </c>
      <c r="F1856">
        <v>24067</v>
      </c>
      <c r="G1856">
        <v>13761</v>
      </c>
      <c r="H1856" t="s">
        <v>19</v>
      </c>
      <c r="I1856" t="s">
        <v>34</v>
      </c>
      <c r="J1856" t="s">
        <v>42</v>
      </c>
    </row>
    <row r="1857" spans="1:10" x14ac:dyDescent="0.25">
      <c r="A1857" t="s">
        <v>1894</v>
      </c>
      <c r="B1857" s="1">
        <v>45189</v>
      </c>
      <c r="C1857" t="s">
        <v>11</v>
      </c>
      <c r="D1857" t="s">
        <v>33</v>
      </c>
      <c r="E1857">
        <v>42853</v>
      </c>
      <c r="F1857">
        <v>36287</v>
      </c>
      <c r="G1857">
        <v>6566</v>
      </c>
      <c r="H1857" t="s">
        <v>13</v>
      </c>
      <c r="I1857" t="s">
        <v>63</v>
      </c>
      <c r="J1857" t="s">
        <v>15</v>
      </c>
    </row>
    <row r="1858" spans="1:10" x14ac:dyDescent="0.25">
      <c r="A1858" t="s">
        <v>1895</v>
      </c>
      <c r="B1858" s="1">
        <v>45229</v>
      </c>
      <c r="C1858" t="s">
        <v>11</v>
      </c>
      <c r="D1858" t="s">
        <v>36</v>
      </c>
      <c r="E1858">
        <v>12787</v>
      </c>
      <c r="F1858">
        <v>11460</v>
      </c>
      <c r="G1858">
        <v>1327</v>
      </c>
      <c r="H1858" t="s">
        <v>19</v>
      </c>
      <c r="I1858" t="s">
        <v>20</v>
      </c>
      <c r="J1858" t="s">
        <v>15</v>
      </c>
    </row>
    <row r="1859" spans="1:10" x14ac:dyDescent="0.25">
      <c r="A1859" t="s">
        <v>1896</v>
      </c>
      <c r="B1859" s="1">
        <v>45610</v>
      </c>
      <c r="C1859" t="s">
        <v>22</v>
      </c>
      <c r="D1859" t="s">
        <v>12</v>
      </c>
      <c r="E1859">
        <v>22191</v>
      </c>
      <c r="F1859">
        <v>7000</v>
      </c>
      <c r="G1859">
        <v>15191</v>
      </c>
      <c r="H1859" t="s">
        <v>38</v>
      </c>
      <c r="I1859" t="s">
        <v>31</v>
      </c>
      <c r="J1859" t="s">
        <v>42</v>
      </c>
    </row>
    <row r="1860" spans="1:10" x14ac:dyDescent="0.25">
      <c r="A1860" t="s">
        <v>1897</v>
      </c>
      <c r="B1860" s="1">
        <v>45702</v>
      </c>
      <c r="C1860" t="s">
        <v>17</v>
      </c>
      <c r="D1860" t="s">
        <v>33</v>
      </c>
      <c r="E1860">
        <v>10822</v>
      </c>
      <c r="F1860">
        <v>1189</v>
      </c>
      <c r="G1860">
        <v>9633</v>
      </c>
      <c r="H1860" t="s">
        <v>38</v>
      </c>
      <c r="I1860" t="s">
        <v>60</v>
      </c>
      <c r="J1860" t="s">
        <v>24</v>
      </c>
    </row>
    <row r="1861" spans="1:10" x14ac:dyDescent="0.25">
      <c r="A1861" t="s">
        <v>1898</v>
      </c>
      <c r="B1861" s="1">
        <v>45152</v>
      </c>
      <c r="C1861" t="s">
        <v>26</v>
      </c>
      <c r="D1861" t="s">
        <v>12</v>
      </c>
      <c r="E1861">
        <v>29403</v>
      </c>
      <c r="F1861">
        <v>12999</v>
      </c>
      <c r="G1861">
        <v>16404</v>
      </c>
      <c r="H1861" t="s">
        <v>38</v>
      </c>
      <c r="I1861" t="s">
        <v>34</v>
      </c>
      <c r="J1861" t="s">
        <v>29</v>
      </c>
    </row>
    <row r="1862" spans="1:10" x14ac:dyDescent="0.25">
      <c r="A1862" t="s">
        <v>1899</v>
      </c>
      <c r="B1862" s="1">
        <v>45713</v>
      </c>
      <c r="C1862" t="s">
        <v>11</v>
      </c>
      <c r="D1862" t="s">
        <v>33</v>
      </c>
      <c r="E1862">
        <v>15682</v>
      </c>
      <c r="F1862">
        <v>10888</v>
      </c>
      <c r="G1862">
        <v>4794</v>
      </c>
      <c r="H1862" t="s">
        <v>27</v>
      </c>
      <c r="I1862" t="s">
        <v>60</v>
      </c>
      <c r="J1862" t="s">
        <v>29</v>
      </c>
    </row>
    <row r="1863" spans="1:10" x14ac:dyDescent="0.25">
      <c r="A1863" t="s">
        <v>1900</v>
      </c>
      <c r="B1863" s="1">
        <v>45918</v>
      </c>
      <c r="C1863" t="s">
        <v>26</v>
      </c>
      <c r="D1863" t="s">
        <v>36</v>
      </c>
      <c r="E1863">
        <v>41516</v>
      </c>
      <c r="F1863">
        <v>29484</v>
      </c>
      <c r="G1863">
        <v>12032</v>
      </c>
      <c r="H1863" t="s">
        <v>38</v>
      </c>
      <c r="I1863" t="s">
        <v>60</v>
      </c>
      <c r="J1863" t="s">
        <v>53</v>
      </c>
    </row>
    <row r="1864" spans="1:10" x14ac:dyDescent="0.25">
      <c r="A1864" t="s">
        <v>1901</v>
      </c>
      <c r="B1864" s="1">
        <v>46109</v>
      </c>
      <c r="C1864" t="s">
        <v>26</v>
      </c>
      <c r="D1864" t="s">
        <v>18</v>
      </c>
      <c r="E1864">
        <v>34139</v>
      </c>
      <c r="F1864">
        <v>21257</v>
      </c>
      <c r="G1864">
        <v>12882</v>
      </c>
      <c r="H1864" t="s">
        <v>19</v>
      </c>
      <c r="I1864" t="s">
        <v>60</v>
      </c>
      <c r="J1864" t="s">
        <v>15</v>
      </c>
    </row>
    <row r="1865" spans="1:10" x14ac:dyDescent="0.25">
      <c r="A1865" t="s">
        <v>1902</v>
      </c>
      <c r="B1865" s="1">
        <v>46205</v>
      </c>
      <c r="C1865" t="s">
        <v>11</v>
      </c>
      <c r="D1865" t="s">
        <v>18</v>
      </c>
      <c r="E1865">
        <v>14619</v>
      </c>
      <c r="F1865">
        <v>3493</v>
      </c>
      <c r="G1865">
        <v>11126</v>
      </c>
      <c r="H1865" t="s">
        <v>19</v>
      </c>
      <c r="I1865" t="s">
        <v>63</v>
      </c>
      <c r="J1865" t="s">
        <v>29</v>
      </c>
    </row>
    <row r="1866" spans="1:10" x14ac:dyDescent="0.25">
      <c r="A1866" t="s">
        <v>1903</v>
      </c>
      <c r="B1866" s="1">
        <v>46184</v>
      </c>
      <c r="C1866" t="s">
        <v>17</v>
      </c>
      <c r="D1866" t="s">
        <v>12</v>
      </c>
      <c r="E1866">
        <v>30496</v>
      </c>
      <c r="F1866">
        <v>25224</v>
      </c>
      <c r="G1866">
        <v>5272</v>
      </c>
      <c r="H1866" t="s">
        <v>27</v>
      </c>
      <c r="I1866" t="s">
        <v>14</v>
      </c>
      <c r="J1866" t="s">
        <v>15</v>
      </c>
    </row>
    <row r="1867" spans="1:10" x14ac:dyDescent="0.25">
      <c r="A1867" t="s">
        <v>1904</v>
      </c>
      <c r="B1867" s="1">
        <v>45654</v>
      </c>
      <c r="C1867" t="s">
        <v>44</v>
      </c>
      <c r="D1867" t="s">
        <v>18</v>
      </c>
      <c r="E1867">
        <v>41456</v>
      </c>
      <c r="F1867">
        <v>24827</v>
      </c>
      <c r="G1867">
        <v>16629</v>
      </c>
      <c r="H1867" t="s">
        <v>19</v>
      </c>
      <c r="I1867" t="s">
        <v>34</v>
      </c>
      <c r="J1867" t="s">
        <v>29</v>
      </c>
    </row>
    <row r="1868" spans="1:10" x14ac:dyDescent="0.25">
      <c r="A1868" t="s">
        <v>1905</v>
      </c>
      <c r="B1868" s="1">
        <v>46084</v>
      </c>
      <c r="C1868" t="s">
        <v>11</v>
      </c>
      <c r="D1868" t="s">
        <v>18</v>
      </c>
      <c r="E1868">
        <v>12529</v>
      </c>
      <c r="F1868">
        <v>2786</v>
      </c>
      <c r="G1868">
        <v>9743</v>
      </c>
      <c r="H1868" t="s">
        <v>38</v>
      </c>
      <c r="I1868" t="s">
        <v>78</v>
      </c>
      <c r="J1868" t="s">
        <v>29</v>
      </c>
    </row>
    <row r="1869" spans="1:10" x14ac:dyDescent="0.25">
      <c r="A1869" t="s">
        <v>1906</v>
      </c>
      <c r="B1869" s="1">
        <v>45825</v>
      </c>
      <c r="C1869" t="s">
        <v>17</v>
      </c>
      <c r="D1869" t="s">
        <v>12</v>
      </c>
      <c r="E1869">
        <v>12801</v>
      </c>
      <c r="F1869">
        <v>735</v>
      </c>
      <c r="G1869">
        <v>12066</v>
      </c>
      <c r="H1869" t="s">
        <v>27</v>
      </c>
      <c r="I1869" t="s">
        <v>60</v>
      </c>
      <c r="J1869" t="s">
        <v>42</v>
      </c>
    </row>
    <row r="1870" spans="1:10" x14ac:dyDescent="0.25">
      <c r="A1870" t="s">
        <v>1907</v>
      </c>
      <c r="B1870" s="1">
        <v>45831</v>
      </c>
      <c r="C1870" t="s">
        <v>22</v>
      </c>
      <c r="D1870" t="s">
        <v>36</v>
      </c>
      <c r="E1870">
        <v>8337</v>
      </c>
      <c r="F1870">
        <v>2155</v>
      </c>
      <c r="G1870">
        <v>6182</v>
      </c>
      <c r="H1870" t="s">
        <v>13</v>
      </c>
      <c r="I1870" t="s">
        <v>63</v>
      </c>
      <c r="J1870" t="s">
        <v>15</v>
      </c>
    </row>
    <row r="1871" spans="1:10" x14ac:dyDescent="0.25">
      <c r="A1871" t="s">
        <v>1908</v>
      </c>
      <c r="B1871" s="1">
        <v>45797</v>
      </c>
      <c r="C1871" t="s">
        <v>17</v>
      </c>
      <c r="D1871" t="s">
        <v>12</v>
      </c>
      <c r="E1871">
        <v>11081</v>
      </c>
      <c r="F1871">
        <v>3691</v>
      </c>
      <c r="G1871">
        <v>7390</v>
      </c>
      <c r="H1871" t="s">
        <v>13</v>
      </c>
      <c r="I1871" t="s">
        <v>23</v>
      </c>
      <c r="J1871" t="s">
        <v>53</v>
      </c>
    </row>
    <row r="1872" spans="1:10" x14ac:dyDescent="0.25">
      <c r="A1872" t="s">
        <v>1909</v>
      </c>
      <c r="B1872" s="1">
        <v>46024</v>
      </c>
      <c r="C1872" t="s">
        <v>17</v>
      </c>
      <c r="D1872" t="s">
        <v>41</v>
      </c>
      <c r="E1872">
        <v>30512</v>
      </c>
      <c r="F1872">
        <v>27793</v>
      </c>
      <c r="G1872">
        <v>2719</v>
      </c>
      <c r="H1872" t="s">
        <v>13</v>
      </c>
      <c r="I1872" t="s">
        <v>34</v>
      </c>
      <c r="J1872" t="s">
        <v>42</v>
      </c>
    </row>
    <row r="1873" spans="1:10" x14ac:dyDescent="0.25">
      <c r="A1873" t="s">
        <v>1910</v>
      </c>
      <c r="B1873" s="1">
        <v>45732</v>
      </c>
      <c r="C1873" t="s">
        <v>26</v>
      </c>
      <c r="D1873" t="s">
        <v>41</v>
      </c>
      <c r="E1873">
        <v>32705</v>
      </c>
      <c r="F1873">
        <v>15206</v>
      </c>
      <c r="G1873">
        <v>17499</v>
      </c>
      <c r="H1873" t="s">
        <v>19</v>
      </c>
      <c r="I1873" t="s">
        <v>23</v>
      </c>
      <c r="J1873" t="s">
        <v>15</v>
      </c>
    </row>
    <row r="1874" spans="1:10" x14ac:dyDescent="0.25">
      <c r="A1874" t="s">
        <v>1911</v>
      </c>
      <c r="B1874" s="1">
        <v>45427</v>
      </c>
      <c r="C1874" t="s">
        <v>17</v>
      </c>
      <c r="D1874" t="s">
        <v>41</v>
      </c>
      <c r="E1874">
        <v>10396</v>
      </c>
      <c r="F1874">
        <v>6918</v>
      </c>
      <c r="G1874">
        <v>3478</v>
      </c>
      <c r="H1874" t="s">
        <v>13</v>
      </c>
      <c r="I1874" t="s">
        <v>20</v>
      </c>
      <c r="J1874" t="s">
        <v>29</v>
      </c>
    </row>
    <row r="1875" spans="1:10" x14ac:dyDescent="0.25">
      <c r="A1875" t="s">
        <v>1912</v>
      </c>
      <c r="B1875" s="1">
        <v>45610</v>
      </c>
      <c r="C1875" t="s">
        <v>17</v>
      </c>
      <c r="D1875" t="s">
        <v>18</v>
      </c>
      <c r="E1875">
        <v>31863</v>
      </c>
      <c r="F1875">
        <v>25948</v>
      </c>
      <c r="G1875">
        <v>5915</v>
      </c>
      <c r="H1875" t="s">
        <v>38</v>
      </c>
      <c r="I1875" t="s">
        <v>60</v>
      </c>
      <c r="J1875" t="s">
        <v>42</v>
      </c>
    </row>
    <row r="1876" spans="1:10" x14ac:dyDescent="0.25">
      <c r="A1876" t="s">
        <v>1913</v>
      </c>
      <c r="B1876" s="1">
        <v>45116</v>
      </c>
      <c r="C1876" t="s">
        <v>11</v>
      </c>
      <c r="D1876" t="s">
        <v>36</v>
      </c>
      <c r="E1876">
        <v>42852</v>
      </c>
      <c r="F1876">
        <v>34911</v>
      </c>
      <c r="G1876">
        <v>7941</v>
      </c>
      <c r="H1876" t="s">
        <v>38</v>
      </c>
      <c r="I1876" t="s">
        <v>60</v>
      </c>
      <c r="J1876" t="s">
        <v>42</v>
      </c>
    </row>
    <row r="1877" spans="1:10" x14ac:dyDescent="0.25">
      <c r="A1877" t="s">
        <v>1914</v>
      </c>
      <c r="B1877" s="1">
        <v>45854</v>
      </c>
      <c r="C1877" t="s">
        <v>11</v>
      </c>
      <c r="D1877" t="s">
        <v>33</v>
      </c>
      <c r="E1877">
        <v>5173</v>
      </c>
      <c r="F1877">
        <v>3827</v>
      </c>
      <c r="G1877">
        <v>1346</v>
      </c>
      <c r="H1877" t="s">
        <v>13</v>
      </c>
      <c r="I1877" t="s">
        <v>31</v>
      </c>
      <c r="J1877" t="s">
        <v>24</v>
      </c>
    </row>
    <row r="1878" spans="1:10" x14ac:dyDescent="0.25">
      <c r="A1878" t="s">
        <v>1915</v>
      </c>
      <c r="B1878" s="1">
        <v>45984</v>
      </c>
      <c r="C1878" t="s">
        <v>22</v>
      </c>
      <c r="D1878" t="s">
        <v>36</v>
      </c>
      <c r="E1878">
        <v>44950</v>
      </c>
      <c r="F1878">
        <v>29434</v>
      </c>
      <c r="G1878">
        <v>15516</v>
      </c>
      <c r="H1878" t="s">
        <v>19</v>
      </c>
      <c r="I1878" t="s">
        <v>63</v>
      </c>
      <c r="J1878" t="s">
        <v>15</v>
      </c>
    </row>
    <row r="1879" spans="1:10" x14ac:dyDescent="0.25">
      <c r="A1879" t="s">
        <v>1916</v>
      </c>
      <c r="B1879" s="1">
        <v>45121</v>
      </c>
      <c r="C1879" t="s">
        <v>26</v>
      </c>
      <c r="D1879" t="s">
        <v>12</v>
      </c>
      <c r="E1879">
        <v>10420</v>
      </c>
      <c r="F1879">
        <v>9527</v>
      </c>
      <c r="G1879">
        <v>893</v>
      </c>
      <c r="H1879" t="s">
        <v>13</v>
      </c>
      <c r="I1879" t="s">
        <v>78</v>
      </c>
      <c r="J1879" t="s">
        <v>24</v>
      </c>
    </row>
    <row r="1880" spans="1:10" x14ac:dyDescent="0.25">
      <c r="A1880" t="s">
        <v>1917</v>
      </c>
      <c r="B1880" s="1">
        <v>45238</v>
      </c>
      <c r="C1880" t="s">
        <v>22</v>
      </c>
      <c r="D1880" t="s">
        <v>18</v>
      </c>
      <c r="E1880">
        <v>16509</v>
      </c>
      <c r="F1880">
        <v>7256</v>
      </c>
      <c r="G1880">
        <v>9253</v>
      </c>
      <c r="H1880" t="s">
        <v>13</v>
      </c>
      <c r="I1880" t="s">
        <v>28</v>
      </c>
      <c r="J1880" t="s">
        <v>42</v>
      </c>
    </row>
    <row r="1881" spans="1:10" x14ac:dyDescent="0.25">
      <c r="A1881" t="s">
        <v>1918</v>
      </c>
      <c r="B1881" s="1">
        <v>45422</v>
      </c>
      <c r="C1881" t="s">
        <v>17</v>
      </c>
      <c r="D1881" t="s">
        <v>33</v>
      </c>
      <c r="E1881">
        <v>8778</v>
      </c>
      <c r="F1881">
        <v>1547</v>
      </c>
      <c r="G1881">
        <v>7231</v>
      </c>
      <c r="H1881" t="s">
        <v>13</v>
      </c>
      <c r="I1881" t="s">
        <v>20</v>
      </c>
      <c r="J1881" t="s">
        <v>29</v>
      </c>
    </row>
    <row r="1882" spans="1:10" x14ac:dyDescent="0.25">
      <c r="A1882" t="s">
        <v>1919</v>
      </c>
      <c r="B1882" s="1">
        <v>45450</v>
      </c>
      <c r="C1882" t="s">
        <v>11</v>
      </c>
      <c r="D1882" t="s">
        <v>18</v>
      </c>
      <c r="E1882">
        <v>48456</v>
      </c>
      <c r="F1882">
        <v>38684</v>
      </c>
      <c r="G1882">
        <v>9772</v>
      </c>
      <c r="H1882" t="s">
        <v>19</v>
      </c>
      <c r="I1882" t="s">
        <v>45</v>
      </c>
      <c r="J1882" t="s">
        <v>42</v>
      </c>
    </row>
    <row r="1883" spans="1:10" x14ac:dyDescent="0.25">
      <c r="A1883" t="s">
        <v>1920</v>
      </c>
      <c r="B1883" s="1">
        <v>46194</v>
      </c>
      <c r="C1883" t="s">
        <v>26</v>
      </c>
      <c r="D1883" t="s">
        <v>36</v>
      </c>
      <c r="E1883">
        <v>36925</v>
      </c>
      <c r="F1883">
        <v>28348</v>
      </c>
      <c r="G1883">
        <v>8577</v>
      </c>
      <c r="H1883" t="s">
        <v>19</v>
      </c>
      <c r="I1883" t="s">
        <v>14</v>
      </c>
      <c r="J1883" t="s">
        <v>53</v>
      </c>
    </row>
    <row r="1884" spans="1:10" x14ac:dyDescent="0.25">
      <c r="A1884" t="s">
        <v>1921</v>
      </c>
      <c r="B1884" s="1">
        <v>45551</v>
      </c>
      <c r="C1884" t="s">
        <v>26</v>
      </c>
      <c r="D1884" t="s">
        <v>12</v>
      </c>
      <c r="E1884">
        <v>15015</v>
      </c>
      <c r="F1884">
        <v>227</v>
      </c>
      <c r="G1884">
        <v>14788</v>
      </c>
      <c r="H1884" t="s">
        <v>27</v>
      </c>
      <c r="I1884" t="s">
        <v>31</v>
      </c>
      <c r="J1884" t="s">
        <v>24</v>
      </c>
    </row>
    <row r="1885" spans="1:10" x14ac:dyDescent="0.25">
      <c r="A1885" t="s">
        <v>1922</v>
      </c>
      <c r="B1885" s="1">
        <v>46048</v>
      </c>
      <c r="C1885" t="s">
        <v>17</v>
      </c>
      <c r="D1885" t="s">
        <v>12</v>
      </c>
      <c r="E1885">
        <v>33268</v>
      </c>
      <c r="F1885">
        <v>30804</v>
      </c>
      <c r="G1885">
        <v>2464</v>
      </c>
      <c r="H1885" t="s">
        <v>27</v>
      </c>
      <c r="I1885" t="s">
        <v>20</v>
      </c>
      <c r="J1885" t="s">
        <v>42</v>
      </c>
    </row>
    <row r="1886" spans="1:10" x14ac:dyDescent="0.25">
      <c r="A1886" t="s">
        <v>1923</v>
      </c>
      <c r="B1886" s="1">
        <v>45274</v>
      </c>
      <c r="C1886" t="s">
        <v>11</v>
      </c>
      <c r="D1886" t="s">
        <v>18</v>
      </c>
      <c r="E1886">
        <v>19593</v>
      </c>
      <c r="F1886">
        <v>17347</v>
      </c>
      <c r="G1886">
        <v>2246</v>
      </c>
      <c r="H1886" t="s">
        <v>13</v>
      </c>
      <c r="I1886" t="s">
        <v>34</v>
      </c>
      <c r="J1886" t="s">
        <v>53</v>
      </c>
    </row>
    <row r="1887" spans="1:10" x14ac:dyDescent="0.25">
      <c r="A1887" t="s">
        <v>1924</v>
      </c>
      <c r="B1887" s="1">
        <v>45451</v>
      </c>
      <c r="C1887" t="s">
        <v>26</v>
      </c>
      <c r="D1887" t="s">
        <v>18</v>
      </c>
      <c r="E1887">
        <v>7878</v>
      </c>
      <c r="F1887">
        <v>2677</v>
      </c>
      <c r="G1887">
        <v>5201</v>
      </c>
      <c r="H1887" t="s">
        <v>38</v>
      </c>
      <c r="I1887" t="s">
        <v>45</v>
      </c>
      <c r="J1887" t="s">
        <v>53</v>
      </c>
    </row>
    <row r="1888" spans="1:10" x14ac:dyDescent="0.25">
      <c r="A1888" t="s">
        <v>1925</v>
      </c>
      <c r="B1888" s="1">
        <v>46006</v>
      </c>
      <c r="C1888" t="s">
        <v>11</v>
      </c>
      <c r="D1888" t="s">
        <v>12</v>
      </c>
      <c r="E1888">
        <v>24736</v>
      </c>
      <c r="F1888">
        <v>5851</v>
      </c>
      <c r="G1888">
        <v>18885</v>
      </c>
      <c r="H1888" t="s">
        <v>19</v>
      </c>
      <c r="I1888" t="s">
        <v>14</v>
      </c>
      <c r="J1888" t="s">
        <v>53</v>
      </c>
    </row>
    <row r="1889" spans="1:10" x14ac:dyDescent="0.25">
      <c r="A1889" t="s">
        <v>1926</v>
      </c>
      <c r="B1889" s="1">
        <v>46041</v>
      </c>
      <c r="C1889" t="s">
        <v>26</v>
      </c>
      <c r="D1889" t="s">
        <v>41</v>
      </c>
      <c r="E1889">
        <v>33107</v>
      </c>
      <c r="F1889">
        <v>14534</v>
      </c>
      <c r="G1889">
        <v>18573</v>
      </c>
      <c r="H1889" t="s">
        <v>13</v>
      </c>
      <c r="I1889" t="s">
        <v>78</v>
      </c>
      <c r="J1889" t="s">
        <v>42</v>
      </c>
    </row>
    <row r="1890" spans="1:10" x14ac:dyDescent="0.25">
      <c r="A1890" t="s">
        <v>1927</v>
      </c>
      <c r="B1890" s="1">
        <v>46176</v>
      </c>
      <c r="C1890" t="s">
        <v>44</v>
      </c>
      <c r="D1890" t="s">
        <v>33</v>
      </c>
      <c r="E1890">
        <v>29391</v>
      </c>
      <c r="F1890">
        <v>12910</v>
      </c>
      <c r="G1890">
        <v>16481</v>
      </c>
      <c r="H1890" t="s">
        <v>38</v>
      </c>
      <c r="I1890" t="s">
        <v>20</v>
      </c>
      <c r="J1890" t="s">
        <v>53</v>
      </c>
    </row>
    <row r="1891" spans="1:10" x14ac:dyDescent="0.25">
      <c r="A1891" t="s">
        <v>1928</v>
      </c>
      <c r="B1891" s="1">
        <v>45617</v>
      </c>
      <c r="C1891" t="s">
        <v>44</v>
      </c>
      <c r="D1891" t="s">
        <v>36</v>
      </c>
      <c r="E1891">
        <v>32947</v>
      </c>
      <c r="F1891">
        <v>21602</v>
      </c>
      <c r="G1891">
        <v>11345</v>
      </c>
      <c r="H1891" t="s">
        <v>38</v>
      </c>
      <c r="I1891" t="s">
        <v>20</v>
      </c>
      <c r="J1891" t="s">
        <v>42</v>
      </c>
    </row>
    <row r="1892" spans="1:10" x14ac:dyDescent="0.25">
      <c r="A1892" t="s">
        <v>1929</v>
      </c>
      <c r="B1892" s="1">
        <v>46142</v>
      </c>
      <c r="C1892" t="s">
        <v>26</v>
      </c>
      <c r="D1892" t="s">
        <v>41</v>
      </c>
      <c r="E1892">
        <v>21208</v>
      </c>
      <c r="F1892">
        <v>9480</v>
      </c>
      <c r="G1892">
        <v>11728</v>
      </c>
      <c r="H1892" t="s">
        <v>19</v>
      </c>
      <c r="I1892" t="s">
        <v>63</v>
      </c>
      <c r="J1892" t="s">
        <v>15</v>
      </c>
    </row>
    <row r="1893" spans="1:10" x14ac:dyDescent="0.25">
      <c r="A1893" t="s">
        <v>1930</v>
      </c>
      <c r="B1893" s="1">
        <v>45388</v>
      </c>
      <c r="C1893" t="s">
        <v>44</v>
      </c>
      <c r="D1893" t="s">
        <v>41</v>
      </c>
      <c r="E1893">
        <v>42477</v>
      </c>
      <c r="F1893">
        <v>27665</v>
      </c>
      <c r="G1893">
        <v>14812</v>
      </c>
      <c r="H1893" t="s">
        <v>19</v>
      </c>
      <c r="I1893" t="s">
        <v>34</v>
      </c>
      <c r="J1893" t="s">
        <v>53</v>
      </c>
    </row>
    <row r="1894" spans="1:10" x14ac:dyDescent="0.25">
      <c r="A1894" t="s">
        <v>1931</v>
      </c>
      <c r="B1894" s="1">
        <v>45361</v>
      </c>
      <c r="C1894" t="s">
        <v>22</v>
      </c>
      <c r="D1894" t="s">
        <v>18</v>
      </c>
      <c r="E1894">
        <v>7303</v>
      </c>
      <c r="F1894">
        <v>5491</v>
      </c>
      <c r="G1894">
        <v>1812</v>
      </c>
      <c r="H1894" t="s">
        <v>13</v>
      </c>
      <c r="I1894" t="s">
        <v>78</v>
      </c>
      <c r="J1894" t="s">
        <v>42</v>
      </c>
    </row>
    <row r="1895" spans="1:10" x14ac:dyDescent="0.25">
      <c r="A1895" t="s">
        <v>1932</v>
      </c>
      <c r="B1895" s="1">
        <v>45129</v>
      </c>
      <c r="C1895" t="s">
        <v>26</v>
      </c>
      <c r="D1895" t="s">
        <v>36</v>
      </c>
      <c r="E1895">
        <v>29509</v>
      </c>
      <c r="F1895">
        <v>26717</v>
      </c>
      <c r="G1895">
        <v>2792</v>
      </c>
      <c r="H1895" t="s">
        <v>19</v>
      </c>
      <c r="I1895" t="s">
        <v>45</v>
      </c>
      <c r="J1895" t="s">
        <v>53</v>
      </c>
    </row>
    <row r="1896" spans="1:10" x14ac:dyDescent="0.25">
      <c r="A1896" t="s">
        <v>1933</v>
      </c>
      <c r="B1896" s="1">
        <v>45891</v>
      </c>
      <c r="C1896" t="s">
        <v>17</v>
      </c>
      <c r="D1896" t="s">
        <v>12</v>
      </c>
      <c r="E1896">
        <v>47739</v>
      </c>
      <c r="F1896">
        <v>43380</v>
      </c>
      <c r="G1896">
        <v>4359</v>
      </c>
      <c r="H1896" t="s">
        <v>19</v>
      </c>
      <c r="I1896" t="s">
        <v>20</v>
      </c>
      <c r="J1896" t="s">
        <v>24</v>
      </c>
    </row>
    <row r="1897" spans="1:10" x14ac:dyDescent="0.25">
      <c r="A1897" t="s">
        <v>1934</v>
      </c>
      <c r="B1897" s="1">
        <v>45517</v>
      </c>
      <c r="C1897" t="s">
        <v>17</v>
      </c>
      <c r="D1897" t="s">
        <v>36</v>
      </c>
      <c r="E1897">
        <v>39368</v>
      </c>
      <c r="F1897">
        <v>20004</v>
      </c>
      <c r="G1897">
        <v>19364</v>
      </c>
      <c r="H1897" t="s">
        <v>27</v>
      </c>
      <c r="I1897" t="s">
        <v>63</v>
      </c>
      <c r="J1897" t="s">
        <v>24</v>
      </c>
    </row>
    <row r="1898" spans="1:10" x14ac:dyDescent="0.25">
      <c r="A1898" t="s">
        <v>1935</v>
      </c>
      <c r="B1898" s="1">
        <v>45797</v>
      </c>
      <c r="C1898" t="s">
        <v>44</v>
      </c>
      <c r="D1898" t="s">
        <v>41</v>
      </c>
      <c r="E1898">
        <v>14237</v>
      </c>
      <c r="F1898">
        <v>10861</v>
      </c>
      <c r="G1898">
        <v>3376</v>
      </c>
      <c r="H1898" t="s">
        <v>13</v>
      </c>
      <c r="I1898" t="s">
        <v>63</v>
      </c>
      <c r="J1898" t="s">
        <v>53</v>
      </c>
    </row>
    <row r="1899" spans="1:10" x14ac:dyDescent="0.25">
      <c r="A1899" t="s">
        <v>1936</v>
      </c>
      <c r="B1899" s="1">
        <v>45503</v>
      </c>
      <c r="C1899" t="s">
        <v>11</v>
      </c>
      <c r="D1899" t="s">
        <v>33</v>
      </c>
      <c r="E1899">
        <v>21725</v>
      </c>
      <c r="F1899">
        <v>20362</v>
      </c>
      <c r="G1899">
        <v>1363</v>
      </c>
      <c r="H1899" t="s">
        <v>13</v>
      </c>
      <c r="I1899" t="s">
        <v>60</v>
      </c>
      <c r="J1899" t="s">
        <v>24</v>
      </c>
    </row>
    <row r="1900" spans="1:10" x14ac:dyDescent="0.25">
      <c r="A1900" t="s">
        <v>1937</v>
      </c>
      <c r="B1900" s="1">
        <v>45777</v>
      </c>
      <c r="C1900" t="s">
        <v>11</v>
      </c>
      <c r="D1900" t="s">
        <v>12</v>
      </c>
      <c r="E1900">
        <v>35723</v>
      </c>
      <c r="F1900">
        <v>33759</v>
      </c>
      <c r="G1900">
        <v>1964</v>
      </c>
      <c r="H1900" t="s">
        <v>27</v>
      </c>
      <c r="I1900" t="s">
        <v>31</v>
      </c>
      <c r="J1900" t="s">
        <v>42</v>
      </c>
    </row>
    <row r="1901" spans="1:10" x14ac:dyDescent="0.25">
      <c r="A1901" t="s">
        <v>1938</v>
      </c>
      <c r="B1901" s="1">
        <v>46006</v>
      </c>
      <c r="C1901" t="s">
        <v>26</v>
      </c>
      <c r="D1901" t="s">
        <v>12</v>
      </c>
      <c r="E1901">
        <v>22857</v>
      </c>
      <c r="F1901">
        <v>14198</v>
      </c>
      <c r="G1901">
        <v>8659</v>
      </c>
      <c r="H1901" t="s">
        <v>38</v>
      </c>
      <c r="I1901" t="s">
        <v>63</v>
      </c>
      <c r="J1901" t="s">
        <v>29</v>
      </c>
    </row>
    <row r="1902" spans="1:10" x14ac:dyDescent="0.25">
      <c r="A1902" t="s">
        <v>1939</v>
      </c>
      <c r="B1902" s="1">
        <v>45903</v>
      </c>
      <c r="C1902" t="s">
        <v>22</v>
      </c>
      <c r="D1902" t="s">
        <v>41</v>
      </c>
      <c r="E1902">
        <v>42916</v>
      </c>
      <c r="F1902">
        <v>25671</v>
      </c>
      <c r="G1902">
        <v>17245</v>
      </c>
      <c r="H1902" t="s">
        <v>27</v>
      </c>
      <c r="I1902" t="s">
        <v>20</v>
      </c>
      <c r="J1902" t="s">
        <v>29</v>
      </c>
    </row>
    <row r="1903" spans="1:10" x14ac:dyDescent="0.25">
      <c r="A1903" t="s">
        <v>1940</v>
      </c>
      <c r="B1903" s="1">
        <v>46018</v>
      </c>
      <c r="C1903" t="s">
        <v>17</v>
      </c>
      <c r="D1903" t="s">
        <v>33</v>
      </c>
      <c r="E1903">
        <v>11313</v>
      </c>
      <c r="F1903">
        <v>306</v>
      </c>
      <c r="G1903">
        <v>11007</v>
      </c>
      <c r="H1903" t="s">
        <v>19</v>
      </c>
      <c r="I1903" t="s">
        <v>28</v>
      </c>
      <c r="J1903" t="s">
        <v>29</v>
      </c>
    </row>
    <row r="1904" spans="1:10" x14ac:dyDescent="0.25">
      <c r="A1904" t="s">
        <v>1941</v>
      </c>
      <c r="B1904" s="1">
        <v>45903</v>
      </c>
      <c r="C1904" t="s">
        <v>17</v>
      </c>
      <c r="D1904" t="s">
        <v>36</v>
      </c>
      <c r="E1904">
        <v>33527</v>
      </c>
      <c r="F1904">
        <v>22634</v>
      </c>
      <c r="G1904">
        <v>10893</v>
      </c>
      <c r="H1904" t="s">
        <v>13</v>
      </c>
      <c r="I1904" t="s">
        <v>78</v>
      </c>
      <c r="J1904" t="s">
        <v>24</v>
      </c>
    </row>
    <row r="1905" spans="1:10" x14ac:dyDescent="0.25">
      <c r="A1905" t="s">
        <v>1942</v>
      </c>
      <c r="B1905" s="1">
        <v>45267</v>
      </c>
      <c r="C1905" t="s">
        <v>22</v>
      </c>
      <c r="D1905" t="s">
        <v>36</v>
      </c>
      <c r="E1905">
        <v>9211</v>
      </c>
      <c r="F1905">
        <v>3581</v>
      </c>
      <c r="G1905">
        <v>5630</v>
      </c>
      <c r="H1905" t="s">
        <v>38</v>
      </c>
      <c r="I1905" t="s">
        <v>45</v>
      </c>
      <c r="J1905" t="s">
        <v>29</v>
      </c>
    </row>
    <row r="1906" spans="1:10" x14ac:dyDescent="0.25">
      <c r="A1906" t="s">
        <v>1943</v>
      </c>
      <c r="B1906" s="1">
        <v>46196</v>
      </c>
      <c r="C1906" t="s">
        <v>44</v>
      </c>
      <c r="D1906" t="s">
        <v>36</v>
      </c>
      <c r="E1906">
        <v>17275</v>
      </c>
      <c r="F1906">
        <v>9582</v>
      </c>
      <c r="G1906">
        <v>7693</v>
      </c>
      <c r="H1906" t="s">
        <v>13</v>
      </c>
      <c r="I1906" t="s">
        <v>20</v>
      </c>
      <c r="J1906" t="s">
        <v>29</v>
      </c>
    </row>
    <row r="1907" spans="1:10" x14ac:dyDescent="0.25">
      <c r="A1907" t="s">
        <v>1944</v>
      </c>
      <c r="B1907" s="1">
        <v>45581</v>
      </c>
      <c r="C1907" t="s">
        <v>22</v>
      </c>
      <c r="D1907" t="s">
        <v>18</v>
      </c>
      <c r="E1907">
        <v>22309</v>
      </c>
      <c r="F1907">
        <v>19509</v>
      </c>
      <c r="G1907">
        <v>2800</v>
      </c>
      <c r="H1907" t="s">
        <v>27</v>
      </c>
      <c r="I1907" t="s">
        <v>31</v>
      </c>
      <c r="J1907" t="s">
        <v>15</v>
      </c>
    </row>
    <row r="1908" spans="1:10" x14ac:dyDescent="0.25">
      <c r="A1908" t="s">
        <v>1945</v>
      </c>
      <c r="B1908" s="1">
        <v>45323</v>
      </c>
      <c r="C1908" t="s">
        <v>17</v>
      </c>
      <c r="D1908" t="s">
        <v>41</v>
      </c>
      <c r="E1908">
        <v>24709</v>
      </c>
      <c r="F1908">
        <v>15924</v>
      </c>
      <c r="G1908">
        <v>8785</v>
      </c>
      <c r="H1908" t="s">
        <v>27</v>
      </c>
      <c r="I1908" t="s">
        <v>23</v>
      </c>
      <c r="J1908" t="s">
        <v>53</v>
      </c>
    </row>
    <row r="1909" spans="1:10" x14ac:dyDescent="0.25">
      <c r="A1909" t="s">
        <v>1946</v>
      </c>
      <c r="B1909" s="1">
        <v>45375</v>
      </c>
      <c r="C1909" t="s">
        <v>17</v>
      </c>
      <c r="D1909" t="s">
        <v>33</v>
      </c>
      <c r="E1909">
        <v>14085</v>
      </c>
      <c r="F1909">
        <v>1831</v>
      </c>
      <c r="G1909">
        <v>12254</v>
      </c>
      <c r="H1909" t="s">
        <v>13</v>
      </c>
      <c r="I1909" t="s">
        <v>31</v>
      </c>
      <c r="J1909" t="s">
        <v>53</v>
      </c>
    </row>
    <row r="1910" spans="1:10" x14ac:dyDescent="0.25">
      <c r="A1910" t="s">
        <v>1947</v>
      </c>
      <c r="B1910" s="1">
        <v>45758</v>
      </c>
      <c r="C1910" t="s">
        <v>11</v>
      </c>
      <c r="D1910" t="s">
        <v>18</v>
      </c>
      <c r="E1910">
        <v>36234</v>
      </c>
      <c r="F1910">
        <v>25054</v>
      </c>
      <c r="G1910">
        <v>11180</v>
      </c>
      <c r="H1910" t="s">
        <v>13</v>
      </c>
      <c r="I1910" t="s">
        <v>60</v>
      </c>
      <c r="J1910" t="s">
        <v>42</v>
      </c>
    </row>
    <row r="1911" spans="1:10" x14ac:dyDescent="0.25">
      <c r="A1911" t="s">
        <v>1948</v>
      </c>
      <c r="B1911" s="1">
        <v>45595</v>
      </c>
      <c r="C1911" t="s">
        <v>22</v>
      </c>
      <c r="D1911" t="s">
        <v>18</v>
      </c>
      <c r="E1911">
        <v>14631</v>
      </c>
      <c r="F1911">
        <v>11335</v>
      </c>
      <c r="G1911">
        <v>3296</v>
      </c>
      <c r="H1911" t="s">
        <v>13</v>
      </c>
      <c r="I1911" t="s">
        <v>28</v>
      </c>
      <c r="J1911" t="s">
        <v>29</v>
      </c>
    </row>
    <row r="1912" spans="1:10" x14ac:dyDescent="0.25">
      <c r="A1912" t="s">
        <v>1949</v>
      </c>
      <c r="B1912" s="1">
        <v>46042</v>
      </c>
      <c r="C1912" t="s">
        <v>17</v>
      </c>
      <c r="D1912" t="s">
        <v>12</v>
      </c>
      <c r="E1912">
        <v>18336</v>
      </c>
      <c r="F1912">
        <v>14150</v>
      </c>
      <c r="G1912">
        <v>4186</v>
      </c>
      <c r="H1912" t="s">
        <v>38</v>
      </c>
      <c r="I1912" t="s">
        <v>34</v>
      </c>
      <c r="J1912" t="s">
        <v>29</v>
      </c>
    </row>
    <row r="1913" spans="1:10" x14ac:dyDescent="0.25">
      <c r="A1913" t="s">
        <v>1950</v>
      </c>
      <c r="B1913" s="1">
        <v>46096</v>
      </c>
      <c r="C1913" t="s">
        <v>11</v>
      </c>
      <c r="D1913" t="s">
        <v>12</v>
      </c>
      <c r="E1913">
        <v>10433</v>
      </c>
      <c r="F1913">
        <v>2284</v>
      </c>
      <c r="G1913">
        <v>8149</v>
      </c>
      <c r="H1913" t="s">
        <v>38</v>
      </c>
      <c r="I1913" t="s">
        <v>28</v>
      </c>
      <c r="J1913" t="s">
        <v>24</v>
      </c>
    </row>
    <row r="1914" spans="1:10" x14ac:dyDescent="0.25">
      <c r="A1914" t="s">
        <v>1951</v>
      </c>
      <c r="B1914" s="1">
        <v>46053</v>
      </c>
      <c r="C1914" t="s">
        <v>44</v>
      </c>
      <c r="D1914" t="s">
        <v>18</v>
      </c>
      <c r="E1914">
        <v>10565</v>
      </c>
      <c r="F1914">
        <v>1361</v>
      </c>
      <c r="G1914">
        <v>9204</v>
      </c>
      <c r="H1914" t="s">
        <v>38</v>
      </c>
      <c r="I1914" t="s">
        <v>23</v>
      </c>
      <c r="J1914" t="s">
        <v>53</v>
      </c>
    </row>
    <row r="1915" spans="1:10" x14ac:dyDescent="0.25">
      <c r="A1915" t="s">
        <v>1952</v>
      </c>
      <c r="B1915" s="1">
        <v>45914</v>
      </c>
      <c r="C1915" t="s">
        <v>22</v>
      </c>
      <c r="D1915" t="s">
        <v>41</v>
      </c>
      <c r="E1915">
        <v>43815</v>
      </c>
      <c r="F1915">
        <v>25758</v>
      </c>
      <c r="G1915">
        <v>18057</v>
      </c>
      <c r="H1915" t="s">
        <v>19</v>
      </c>
      <c r="I1915" t="s">
        <v>23</v>
      </c>
      <c r="J1915" t="s">
        <v>24</v>
      </c>
    </row>
    <row r="1916" spans="1:10" x14ac:dyDescent="0.25">
      <c r="A1916" t="s">
        <v>1953</v>
      </c>
      <c r="B1916" s="1">
        <v>46033</v>
      </c>
      <c r="C1916" t="s">
        <v>26</v>
      </c>
      <c r="D1916" t="s">
        <v>33</v>
      </c>
      <c r="E1916">
        <v>12290</v>
      </c>
      <c r="F1916">
        <v>2804</v>
      </c>
      <c r="G1916">
        <v>9486</v>
      </c>
      <c r="H1916" t="s">
        <v>13</v>
      </c>
      <c r="I1916" t="s">
        <v>23</v>
      </c>
      <c r="J1916" t="s">
        <v>29</v>
      </c>
    </row>
    <row r="1917" spans="1:10" x14ac:dyDescent="0.25">
      <c r="A1917" t="s">
        <v>1954</v>
      </c>
      <c r="B1917" s="1">
        <v>45172</v>
      </c>
      <c r="C1917" t="s">
        <v>44</v>
      </c>
      <c r="D1917" t="s">
        <v>12</v>
      </c>
      <c r="E1917">
        <v>11907</v>
      </c>
      <c r="F1917">
        <v>1178</v>
      </c>
      <c r="G1917">
        <v>10729</v>
      </c>
      <c r="H1917" t="s">
        <v>38</v>
      </c>
      <c r="I1917" t="s">
        <v>23</v>
      </c>
      <c r="J1917" t="s">
        <v>24</v>
      </c>
    </row>
    <row r="1918" spans="1:10" x14ac:dyDescent="0.25">
      <c r="A1918" t="s">
        <v>1955</v>
      </c>
      <c r="B1918" s="1">
        <v>46125</v>
      </c>
      <c r="C1918" t="s">
        <v>17</v>
      </c>
      <c r="D1918" t="s">
        <v>41</v>
      </c>
      <c r="E1918">
        <v>29471</v>
      </c>
      <c r="F1918">
        <v>17599</v>
      </c>
      <c r="G1918">
        <v>11872</v>
      </c>
      <c r="H1918" t="s">
        <v>13</v>
      </c>
      <c r="I1918" t="s">
        <v>34</v>
      </c>
      <c r="J1918" t="s">
        <v>15</v>
      </c>
    </row>
    <row r="1919" spans="1:10" x14ac:dyDescent="0.25">
      <c r="A1919" t="s">
        <v>1956</v>
      </c>
      <c r="B1919" s="1">
        <v>46142</v>
      </c>
      <c r="C1919" t="s">
        <v>17</v>
      </c>
      <c r="D1919" t="s">
        <v>18</v>
      </c>
      <c r="E1919">
        <v>14438</v>
      </c>
      <c r="F1919">
        <v>12302</v>
      </c>
      <c r="G1919">
        <v>2136</v>
      </c>
      <c r="H1919" t="s">
        <v>19</v>
      </c>
      <c r="I1919" t="s">
        <v>34</v>
      </c>
      <c r="J1919" t="s">
        <v>53</v>
      </c>
    </row>
    <row r="1920" spans="1:10" x14ac:dyDescent="0.25">
      <c r="A1920" t="s">
        <v>1957</v>
      </c>
      <c r="B1920" s="1">
        <v>45942</v>
      </c>
      <c r="C1920" t="s">
        <v>44</v>
      </c>
      <c r="D1920" t="s">
        <v>41</v>
      </c>
      <c r="E1920">
        <v>29360</v>
      </c>
      <c r="F1920">
        <v>17141</v>
      </c>
      <c r="G1920">
        <v>12219</v>
      </c>
      <c r="H1920" t="s">
        <v>27</v>
      </c>
      <c r="I1920" t="s">
        <v>31</v>
      </c>
      <c r="J1920" t="s">
        <v>29</v>
      </c>
    </row>
    <row r="1921" spans="1:10" x14ac:dyDescent="0.25">
      <c r="A1921" t="s">
        <v>1958</v>
      </c>
      <c r="B1921" s="1">
        <v>45246</v>
      </c>
      <c r="C1921" t="s">
        <v>17</v>
      </c>
      <c r="D1921" t="s">
        <v>18</v>
      </c>
      <c r="E1921">
        <v>15681</v>
      </c>
      <c r="F1921">
        <v>974</v>
      </c>
      <c r="G1921">
        <v>14707</v>
      </c>
      <c r="H1921" t="s">
        <v>27</v>
      </c>
      <c r="I1921" t="s">
        <v>20</v>
      </c>
      <c r="J1921" t="s">
        <v>42</v>
      </c>
    </row>
    <row r="1922" spans="1:10" x14ac:dyDescent="0.25">
      <c r="A1922" t="s">
        <v>1959</v>
      </c>
      <c r="B1922" s="1">
        <v>46210</v>
      </c>
      <c r="C1922" t="s">
        <v>17</v>
      </c>
      <c r="D1922" t="s">
        <v>36</v>
      </c>
      <c r="E1922">
        <v>14005</v>
      </c>
      <c r="F1922">
        <v>8883</v>
      </c>
      <c r="G1922">
        <v>5122</v>
      </c>
      <c r="H1922" t="s">
        <v>27</v>
      </c>
      <c r="I1922" t="s">
        <v>45</v>
      </c>
      <c r="J1922" t="s">
        <v>29</v>
      </c>
    </row>
    <row r="1923" spans="1:10" x14ac:dyDescent="0.25">
      <c r="A1923" t="s">
        <v>1960</v>
      </c>
      <c r="B1923" s="1">
        <v>45291</v>
      </c>
      <c r="C1923" t="s">
        <v>11</v>
      </c>
      <c r="D1923" t="s">
        <v>12</v>
      </c>
      <c r="E1923">
        <v>14068</v>
      </c>
      <c r="F1923">
        <v>4355</v>
      </c>
      <c r="G1923">
        <v>9713</v>
      </c>
      <c r="H1923" t="s">
        <v>38</v>
      </c>
      <c r="I1923" t="s">
        <v>63</v>
      </c>
      <c r="J1923" t="s">
        <v>53</v>
      </c>
    </row>
    <row r="1924" spans="1:10" x14ac:dyDescent="0.25">
      <c r="A1924" t="s">
        <v>1961</v>
      </c>
      <c r="B1924" s="1">
        <v>46135</v>
      </c>
      <c r="C1924" t="s">
        <v>44</v>
      </c>
      <c r="D1924" t="s">
        <v>18</v>
      </c>
      <c r="E1924">
        <v>6384</v>
      </c>
      <c r="F1924">
        <v>617</v>
      </c>
      <c r="G1924">
        <v>5767</v>
      </c>
      <c r="H1924" t="s">
        <v>27</v>
      </c>
      <c r="I1924" t="s">
        <v>23</v>
      </c>
      <c r="J1924" t="s">
        <v>29</v>
      </c>
    </row>
    <row r="1925" spans="1:10" x14ac:dyDescent="0.25">
      <c r="A1925" t="s">
        <v>1962</v>
      </c>
      <c r="B1925" s="1">
        <v>45444</v>
      </c>
      <c r="C1925" t="s">
        <v>22</v>
      </c>
      <c r="D1925" t="s">
        <v>33</v>
      </c>
      <c r="E1925">
        <v>10984</v>
      </c>
      <c r="F1925">
        <v>30</v>
      </c>
      <c r="G1925">
        <v>10954</v>
      </c>
      <c r="H1925" t="s">
        <v>19</v>
      </c>
      <c r="I1925" t="s">
        <v>63</v>
      </c>
      <c r="J1925" t="s">
        <v>15</v>
      </c>
    </row>
    <row r="1926" spans="1:10" x14ac:dyDescent="0.25">
      <c r="A1926" t="s">
        <v>1963</v>
      </c>
      <c r="B1926" s="1">
        <v>45630</v>
      </c>
      <c r="C1926" t="s">
        <v>26</v>
      </c>
      <c r="D1926" t="s">
        <v>12</v>
      </c>
      <c r="E1926">
        <v>14279</v>
      </c>
      <c r="F1926">
        <v>1737</v>
      </c>
      <c r="G1926">
        <v>12542</v>
      </c>
      <c r="H1926" t="s">
        <v>19</v>
      </c>
      <c r="I1926" t="s">
        <v>63</v>
      </c>
      <c r="J1926" t="s">
        <v>29</v>
      </c>
    </row>
    <row r="1927" spans="1:10" x14ac:dyDescent="0.25">
      <c r="A1927" t="s">
        <v>1964</v>
      </c>
      <c r="B1927" s="1">
        <v>45442</v>
      </c>
      <c r="C1927" t="s">
        <v>22</v>
      </c>
      <c r="D1927" t="s">
        <v>18</v>
      </c>
      <c r="E1927">
        <v>33210</v>
      </c>
      <c r="F1927">
        <v>19138</v>
      </c>
      <c r="G1927">
        <v>14072</v>
      </c>
      <c r="H1927" t="s">
        <v>38</v>
      </c>
      <c r="I1927" t="s">
        <v>28</v>
      </c>
      <c r="J1927" t="s">
        <v>15</v>
      </c>
    </row>
    <row r="1928" spans="1:10" x14ac:dyDescent="0.25">
      <c r="A1928" t="s">
        <v>1965</v>
      </c>
      <c r="B1928" s="1">
        <v>45607</v>
      </c>
      <c r="C1928" t="s">
        <v>11</v>
      </c>
      <c r="D1928" t="s">
        <v>33</v>
      </c>
      <c r="E1928">
        <v>12956</v>
      </c>
      <c r="F1928">
        <v>5600</v>
      </c>
      <c r="G1928">
        <v>7356</v>
      </c>
      <c r="H1928" t="s">
        <v>19</v>
      </c>
      <c r="I1928" t="s">
        <v>78</v>
      </c>
      <c r="J1928" t="s">
        <v>42</v>
      </c>
    </row>
    <row r="1929" spans="1:10" x14ac:dyDescent="0.25">
      <c r="A1929" t="s">
        <v>1966</v>
      </c>
      <c r="B1929" s="1">
        <v>46021</v>
      </c>
      <c r="C1929" t="s">
        <v>11</v>
      </c>
      <c r="D1929" t="s">
        <v>33</v>
      </c>
      <c r="E1929">
        <v>18906</v>
      </c>
      <c r="F1929">
        <v>2293</v>
      </c>
      <c r="G1929">
        <v>16613</v>
      </c>
      <c r="H1929" t="s">
        <v>27</v>
      </c>
      <c r="I1929" t="s">
        <v>31</v>
      </c>
      <c r="J1929" t="s">
        <v>29</v>
      </c>
    </row>
    <row r="1930" spans="1:10" x14ac:dyDescent="0.25">
      <c r="A1930" t="s">
        <v>1967</v>
      </c>
      <c r="B1930" s="1">
        <v>45788</v>
      </c>
      <c r="C1930" t="s">
        <v>44</v>
      </c>
      <c r="D1930" t="s">
        <v>36</v>
      </c>
      <c r="E1930">
        <v>37369</v>
      </c>
      <c r="F1930">
        <v>29135</v>
      </c>
      <c r="G1930">
        <v>8234</v>
      </c>
      <c r="H1930" t="s">
        <v>13</v>
      </c>
      <c r="I1930" t="s">
        <v>28</v>
      </c>
      <c r="J1930" t="s">
        <v>24</v>
      </c>
    </row>
    <row r="1931" spans="1:10" x14ac:dyDescent="0.25">
      <c r="A1931" t="s">
        <v>1968</v>
      </c>
      <c r="B1931" s="1">
        <v>45658</v>
      </c>
      <c r="C1931" t="s">
        <v>26</v>
      </c>
      <c r="D1931" t="s">
        <v>12</v>
      </c>
      <c r="E1931">
        <v>46375</v>
      </c>
      <c r="F1931">
        <v>43810</v>
      </c>
      <c r="G1931">
        <v>2565</v>
      </c>
      <c r="H1931" t="s">
        <v>38</v>
      </c>
      <c r="I1931" t="s">
        <v>14</v>
      </c>
      <c r="J1931" t="s">
        <v>15</v>
      </c>
    </row>
    <row r="1932" spans="1:10" x14ac:dyDescent="0.25">
      <c r="A1932" t="s">
        <v>1969</v>
      </c>
      <c r="B1932" s="1">
        <v>45158</v>
      </c>
      <c r="C1932" t="s">
        <v>17</v>
      </c>
      <c r="D1932" t="s">
        <v>12</v>
      </c>
      <c r="E1932">
        <v>49996</v>
      </c>
      <c r="F1932">
        <v>43120</v>
      </c>
      <c r="G1932">
        <v>6876</v>
      </c>
      <c r="H1932" t="s">
        <v>19</v>
      </c>
      <c r="I1932" t="s">
        <v>20</v>
      </c>
      <c r="J1932" t="s">
        <v>29</v>
      </c>
    </row>
    <row r="1933" spans="1:10" x14ac:dyDescent="0.25">
      <c r="A1933" t="s">
        <v>1970</v>
      </c>
      <c r="B1933" s="1">
        <v>45392</v>
      </c>
      <c r="C1933" t="s">
        <v>22</v>
      </c>
      <c r="D1933" t="s">
        <v>33</v>
      </c>
      <c r="E1933">
        <v>18581</v>
      </c>
      <c r="F1933">
        <v>6840</v>
      </c>
      <c r="G1933">
        <v>11741</v>
      </c>
      <c r="H1933" t="s">
        <v>19</v>
      </c>
      <c r="I1933" t="s">
        <v>63</v>
      </c>
      <c r="J1933" t="s">
        <v>53</v>
      </c>
    </row>
    <row r="1934" spans="1:10" x14ac:dyDescent="0.25">
      <c r="A1934" t="s">
        <v>1971</v>
      </c>
      <c r="B1934" s="1">
        <v>45362</v>
      </c>
      <c r="C1934" t="s">
        <v>17</v>
      </c>
      <c r="D1934" t="s">
        <v>12</v>
      </c>
      <c r="E1934">
        <v>22612</v>
      </c>
      <c r="F1934">
        <v>16689</v>
      </c>
      <c r="G1934">
        <v>5923</v>
      </c>
      <c r="H1934" t="s">
        <v>13</v>
      </c>
      <c r="I1934" t="s">
        <v>34</v>
      </c>
      <c r="J1934" t="s">
        <v>29</v>
      </c>
    </row>
    <row r="1935" spans="1:10" x14ac:dyDescent="0.25">
      <c r="A1935" t="s">
        <v>1972</v>
      </c>
      <c r="B1935" s="1">
        <v>45250</v>
      </c>
      <c r="C1935" t="s">
        <v>11</v>
      </c>
      <c r="D1935" t="s">
        <v>33</v>
      </c>
      <c r="E1935">
        <v>12800</v>
      </c>
      <c r="F1935">
        <v>12132</v>
      </c>
      <c r="G1935">
        <v>668</v>
      </c>
      <c r="H1935" t="s">
        <v>13</v>
      </c>
      <c r="I1935" t="s">
        <v>60</v>
      </c>
      <c r="J1935" t="s">
        <v>24</v>
      </c>
    </row>
    <row r="1936" spans="1:10" x14ac:dyDescent="0.25">
      <c r="A1936" t="s">
        <v>1973</v>
      </c>
      <c r="B1936" s="1">
        <v>45326</v>
      </c>
      <c r="C1936" t="s">
        <v>26</v>
      </c>
      <c r="D1936" t="s">
        <v>33</v>
      </c>
      <c r="E1936">
        <v>31038</v>
      </c>
      <c r="F1936">
        <v>12576</v>
      </c>
      <c r="G1936">
        <v>18462</v>
      </c>
      <c r="H1936" t="s">
        <v>19</v>
      </c>
      <c r="I1936" t="s">
        <v>23</v>
      </c>
      <c r="J1936" t="s">
        <v>24</v>
      </c>
    </row>
    <row r="1937" spans="1:10" x14ac:dyDescent="0.25">
      <c r="A1937" t="s">
        <v>1974</v>
      </c>
      <c r="B1937" s="1">
        <v>45594</v>
      </c>
      <c r="C1937" t="s">
        <v>22</v>
      </c>
      <c r="D1937" t="s">
        <v>12</v>
      </c>
      <c r="E1937">
        <v>44993</v>
      </c>
      <c r="F1937">
        <v>40371</v>
      </c>
      <c r="G1937">
        <v>4622</v>
      </c>
      <c r="H1937" t="s">
        <v>27</v>
      </c>
      <c r="I1937" t="s">
        <v>31</v>
      </c>
      <c r="J1937" t="s">
        <v>42</v>
      </c>
    </row>
    <row r="1938" spans="1:10" x14ac:dyDescent="0.25">
      <c r="A1938" t="s">
        <v>1975</v>
      </c>
      <c r="B1938" s="1">
        <v>45362</v>
      </c>
      <c r="C1938" t="s">
        <v>44</v>
      </c>
      <c r="D1938" t="s">
        <v>12</v>
      </c>
      <c r="E1938">
        <v>34704</v>
      </c>
      <c r="F1938">
        <v>24620</v>
      </c>
      <c r="G1938">
        <v>10084</v>
      </c>
      <c r="H1938" t="s">
        <v>27</v>
      </c>
      <c r="I1938" t="s">
        <v>45</v>
      </c>
      <c r="J1938" t="s">
        <v>15</v>
      </c>
    </row>
    <row r="1939" spans="1:10" x14ac:dyDescent="0.25">
      <c r="A1939" t="s">
        <v>1976</v>
      </c>
      <c r="B1939" s="1">
        <v>45695</v>
      </c>
      <c r="C1939" t="s">
        <v>11</v>
      </c>
      <c r="D1939" t="s">
        <v>41</v>
      </c>
      <c r="E1939">
        <v>28157</v>
      </c>
      <c r="F1939">
        <v>22327</v>
      </c>
      <c r="G1939">
        <v>5830</v>
      </c>
      <c r="H1939" t="s">
        <v>19</v>
      </c>
      <c r="I1939" t="s">
        <v>14</v>
      </c>
      <c r="J1939" t="s">
        <v>24</v>
      </c>
    </row>
    <row r="1940" spans="1:10" x14ac:dyDescent="0.25">
      <c r="A1940" t="s">
        <v>1977</v>
      </c>
      <c r="B1940" s="1">
        <v>45683</v>
      </c>
      <c r="C1940" t="s">
        <v>26</v>
      </c>
      <c r="D1940" t="s">
        <v>41</v>
      </c>
      <c r="E1940">
        <v>40067</v>
      </c>
      <c r="F1940">
        <v>32192</v>
      </c>
      <c r="G1940">
        <v>7875</v>
      </c>
      <c r="H1940" t="s">
        <v>38</v>
      </c>
      <c r="I1940" t="s">
        <v>63</v>
      </c>
      <c r="J1940" t="s">
        <v>42</v>
      </c>
    </row>
    <row r="1941" spans="1:10" x14ac:dyDescent="0.25">
      <c r="A1941" t="s">
        <v>1978</v>
      </c>
      <c r="B1941" s="1">
        <v>45274</v>
      </c>
      <c r="C1941" t="s">
        <v>26</v>
      </c>
      <c r="D1941" t="s">
        <v>36</v>
      </c>
      <c r="E1941">
        <v>49390</v>
      </c>
      <c r="F1941">
        <v>46834</v>
      </c>
      <c r="G1941">
        <v>2556</v>
      </c>
      <c r="H1941" t="s">
        <v>13</v>
      </c>
      <c r="I1941" t="s">
        <v>20</v>
      </c>
      <c r="J1941" t="s">
        <v>24</v>
      </c>
    </row>
    <row r="1942" spans="1:10" x14ac:dyDescent="0.25">
      <c r="A1942" t="s">
        <v>1979</v>
      </c>
      <c r="B1942" s="1">
        <v>45152</v>
      </c>
      <c r="C1942" t="s">
        <v>44</v>
      </c>
      <c r="D1942" t="s">
        <v>41</v>
      </c>
      <c r="E1942">
        <v>11177</v>
      </c>
      <c r="F1942">
        <v>1175</v>
      </c>
      <c r="G1942">
        <v>10002</v>
      </c>
      <c r="H1942" t="s">
        <v>38</v>
      </c>
      <c r="I1942" t="s">
        <v>20</v>
      </c>
      <c r="J1942" t="s">
        <v>15</v>
      </c>
    </row>
    <row r="1943" spans="1:10" x14ac:dyDescent="0.25">
      <c r="A1943" t="s">
        <v>1980</v>
      </c>
      <c r="B1943" s="1">
        <v>45589</v>
      </c>
      <c r="C1943" t="s">
        <v>17</v>
      </c>
      <c r="D1943" t="s">
        <v>41</v>
      </c>
      <c r="E1943">
        <v>16677</v>
      </c>
      <c r="F1943">
        <v>798</v>
      </c>
      <c r="G1943">
        <v>15879</v>
      </c>
      <c r="H1943" t="s">
        <v>13</v>
      </c>
      <c r="I1943" t="s">
        <v>14</v>
      </c>
      <c r="J1943" t="s">
        <v>42</v>
      </c>
    </row>
    <row r="1944" spans="1:10" x14ac:dyDescent="0.25">
      <c r="A1944" t="s">
        <v>1981</v>
      </c>
      <c r="B1944" s="1">
        <v>45194</v>
      </c>
      <c r="C1944" t="s">
        <v>17</v>
      </c>
      <c r="D1944" t="s">
        <v>12</v>
      </c>
      <c r="E1944">
        <v>8833</v>
      </c>
      <c r="F1944">
        <v>702</v>
      </c>
      <c r="G1944">
        <v>8131</v>
      </c>
      <c r="H1944" t="s">
        <v>13</v>
      </c>
      <c r="I1944" t="s">
        <v>31</v>
      </c>
      <c r="J1944" t="s">
        <v>53</v>
      </c>
    </row>
    <row r="1945" spans="1:10" x14ac:dyDescent="0.25">
      <c r="A1945" t="s">
        <v>1982</v>
      </c>
      <c r="B1945" s="1">
        <v>46204</v>
      </c>
      <c r="C1945" t="s">
        <v>22</v>
      </c>
      <c r="D1945" t="s">
        <v>41</v>
      </c>
      <c r="E1945">
        <v>9860</v>
      </c>
      <c r="F1945">
        <v>5922</v>
      </c>
      <c r="G1945">
        <v>3938</v>
      </c>
      <c r="H1945" t="s">
        <v>27</v>
      </c>
      <c r="I1945" t="s">
        <v>31</v>
      </c>
      <c r="J1945" t="s">
        <v>29</v>
      </c>
    </row>
    <row r="1946" spans="1:10" x14ac:dyDescent="0.25">
      <c r="A1946" t="s">
        <v>1983</v>
      </c>
      <c r="B1946" s="1">
        <v>45488</v>
      </c>
      <c r="C1946" t="s">
        <v>22</v>
      </c>
      <c r="D1946" t="s">
        <v>18</v>
      </c>
      <c r="E1946">
        <v>49966</v>
      </c>
      <c r="F1946">
        <v>33839</v>
      </c>
      <c r="G1946">
        <v>16127</v>
      </c>
      <c r="H1946" t="s">
        <v>19</v>
      </c>
      <c r="I1946" t="s">
        <v>34</v>
      </c>
      <c r="J1946" t="s">
        <v>15</v>
      </c>
    </row>
    <row r="1947" spans="1:10" x14ac:dyDescent="0.25">
      <c r="A1947" t="s">
        <v>1984</v>
      </c>
      <c r="B1947" s="1">
        <v>45900</v>
      </c>
      <c r="C1947" t="s">
        <v>26</v>
      </c>
      <c r="D1947" t="s">
        <v>33</v>
      </c>
      <c r="E1947">
        <v>47360</v>
      </c>
      <c r="F1947">
        <v>39373</v>
      </c>
      <c r="G1947">
        <v>7987</v>
      </c>
      <c r="H1947" t="s">
        <v>27</v>
      </c>
      <c r="I1947" t="s">
        <v>23</v>
      </c>
      <c r="J1947" t="s">
        <v>15</v>
      </c>
    </row>
    <row r="1948" spans="1:10" x14ac:dyDescent="0.25">
      <c r="A1948" t="s">
        <v>1985</v>
      </c>
      <c r="B1948" s="1">
        <v>45718</v>
      </c>
      <c r="C1948" t="s">
        <v>17</v>
      </c>
      <c r="D1948" t="s">
        <v>41</v>
      </c>
      <c r="E1948">
        <v>21869</v>
      </c>
      <c r="F1948">
        <v>8413</v>
      </c>
      <c r="G1948">
        <v>13456</v>
      </c>
      <c r="H1948" t="s">
        <v>38</v>
      </c>
      <c r="I1948" t="s">
        <v>34</v>
      </c>
      <c r="J1948" t="s">
        <v>42</v>
      </c>
    </row>
    <row r="1949" spans="1:10" x14ac:dyDescent="0.25">
      <c r="A1949" t="s">
        <v>1986</v>
      </c>
      <c r="B1949" s="1">
        <v>45652</v>
      </c>
      <c r="C1949" t="s">
        <v>17</v>
      </c>
      <c r="D1949" t="s">
        <v>12</v>
      </c>
      <c r="E1949">
        <v>44756</v>
      </c>
      <c r="F1949">
        <v>33612</v>
      </c>
      <c r="G1949">
        <v>11144</v>
      </c>
      <c r="H1949" t="s">
        <v>38</v>
      </c>
      <c r="I1949" t="s">
        <v>60</v>
      </c>
      <c r="J1949" t="s">
        <v>15</v>
      </c>
    </row>
    <row r="1950" spans="1:10" x14ac:dyDescent="0.25">
      <c r="A1950" t="s">
        <v>1987</v>
      </c>
      <c r="B1950" s="1">
        <v>46063</v>
      </c>
      <c r="C1950" t="s">
        <v>17</v>
      </c>
      <c r="D1950" t="s">
        <v>33</v>
      </c>
      <c r="E1950">
        <v>9800</v>
      </c>
      <c r="F1950">
        <v>2793</v>
      </c>
      <c r="G1950">
        <v>7007</v>
      </c>
      <c r="H1950" t="s">
        <v>19</v>
      </c>
      <c r="I1950" t="s">
        <v>31</v>
      </c>
      <c r="J1950" t="s">
        <v>15</v>
      </c>
    </row>
    <row r="1951" spans="1:10" x14ac:dyDescent="0.25">
      <c r="A1951" t="s">
        <v>1988</v>
      </c>
      <c r="B1951" s="1">
        <v>45699</v>
      </c>
      <c r="C1951" t="s">
        <v>26</v>
      </c>
      <c r="D1951" t="s">
        <v>18</v>
      </c>
      <c r="E1951">
        <v>33598</v>
      </c>
      <c r="F1951">
        <v>29601</v>
      </c>
      <c r="G1951">
        <v>3997</v>
      </c>
      <c r="H1951" t="s">
        <v>27</v>
      </c>
      <c r="I1951" t="s">
        <v>14</v>
      </c>
      <c r="J1951" t="s">
        <v>15</v>
      </c>
    </row>
    <row r="1952" spans="1:10" x14ac:dyDescent="0.25">
      <c r="A1952" t="s">
        <v>1989</v>
      </c>
      <c r="B1952" s="1">
        <v>45598</v>
      </c>
      <c r="C1952" t="s">
        <v>44</v>
      </c>
      <c r="D1952" t="s">
        <v>18</v>
      </c>
      <c r="E1952">
        <v>29901</v>
      </c>
      <c r="F1952">
        <v>27632</v>
      </c>
      <c r="G1952">
        <v>2269</v>
      </c>
      <c r="H1952" t="s">
        <v>27</v>
      </c>
      <c r="I1952" t="s">
        <v>60</v>
      </c>
      <c r="J1952" t="s">
        <v>53</v>
      </c>
    </row>
    <row r="1953" spans="1:10" x14ac:dyDescent="0.25">
      <c r="A1953" t="s">
        <v>1990</v>
      </c>
      <c r="B1953" s="1">
        <v>45447</v>
      </c>
      <c r="C1953" t="s">
        <v>44</v>
      </c>
      <c r="D1953" t="s">
        <v>36</v>
      </c>
      <c r="E1953">
        <v>10661</v>
      </c>
      <c r="F1953">
        <v>8116</v>
      </c>
      <c r="G1953">
        <v>2545</v>
      </c>
      <c r="H1953" t="s">
        <v>19</v>
      </c>
      <c r="I1953" t="s">
        <v>14</v>
      </c>
      <c r="J1953" t="s">
        <v>29</v>
      </c>
    </row>
    <row r="1954" spans="1:10" x14ac:dyDescent="0.25">
      <c r="A1954" t="s">
        <v>1991</v>
      </c>
      <c r="B1954" s="1">
        <v>45484</v>
      </c>
      <c r="C1954" t="s">
        <v>26</v>
      </c>
      <c r="D1954" t="s">
        <v>18</v>
      </c>
      <c r="E1954">
        <v>15700</v>
      </c>
      <c r="F1954">
        <v>8966</v>
      </c>
      <c r="G1954">
        <v>6734</v>
      </c>
      <c r="H1954" t="s">
        <v>13</v>
      </c>
      <c r="I1954" t="s">
        <v>20</v>
      </c>
      <c r="J1954" t="s">
        <v>15</v>
      </c>
    </row>
    <row r="1955" spans="1:10" x14ac:dyDescent="0.25">
      <c r="A1955" t="s">
        <v>1992</v>
      </c>
      <c r="B1955" s="1">
        <v>46152</v>
      </c>
      <c r="C1955" t="s">
        <v>44</v>
      </c>
      <c r="D1955" t="s">
        <v>33</v>
      </c>
      <c r="E1955">
        <v>20115</v>
      </c>
      <c r="F1955">
        <v>8159</v>
      </c>
      <c r="G1955">
        <v>11956</v>
      </c>
      <c r="H1955" t="s">
        <v>19</v>
      </c>
      <c r="I1955" t="s">
        <v>23</v>
      </c>
      <c r="J1955" t="s">
        <v>29</v>
      </c>
    </row>
    <row r="1956" spans="1:10" x14ac:dyDescent="0.25">
      <c r="A1956" t="s">
        <v>1993</v>
      </c>
      <c r="B1956" s="1">
        <v>45118</v>
      </c>
      <c r="C1956" t="s">
        <v>22</v>
      </c>
      <c r="D1956" t="s">
        <v>12</v>
      </c>
      <c r="E1956">
        <v>43340</v>
      </c>
      <c r="F1956">
        <v>35274</v>
      </c>
      <c r="G1956">
        <v>8066</v>
      </c>
      <c r="H1956" t="s">
        <v>27</v>
      </c>
      <c r="I1956" t="s">
        <v>78</v>
      </c>
      <c r="J1956" t="s">
        <v>15</v>
      </c>
    </row>
    <row r="1957" spans="1:10" x14ac:dyDescent="0.25">
      <c r="A1957" t="s">
        <v>1994</v>
      </c>
      <c r="B1957" s="1">
        <v>45979</v>
      </c>
      <c r="C1957" t="s">
        <v>17</v>
      </c>
      <c r="D1957" t="s">
        <v>12</v>
      </c>
      <c r="E1957">
        <v>6545</v>
      </c>
      <c r="F1957">
        <v>4876</v>
      </c>
      <c r="G1957">
        <v>1669</v>
      </c>
      <c r="H1957" t="s">
        <v>13</v>
      </c>
      <c r="I1957" t="s">
        <v>63</v>
      </c>
      <c r="J1957" t="s">
        <v>42</v>
      </c>
    </row>
    <row r="1958" spans="1:10" x14ac:dyDescent="0.25">
      <c r="A1958" t="s">
        <v>1995</v>
      </c>
      <c r="B1958" s="1">
        <v>45631</v>
      </c>
      <c r="C1958" t="s">
        <v>17</v>
      </c>
      <c r="D1958" t="s">
        <v>33</v>
      </c>
      <c r="E1958">
        <v>9002</v>
      </c>
      <c r="F1958">
        <v>341</v>
      </c>
      <c r="G1958">
        <v>8661</v>
      </c>
      <c r="H1958" t="s">
        <v>27</v>
      </c>
      <c r="I1958" t="s">
        <v>14</v>
      </c>
      <c r="J1958" t="s">
        <v>29</v>
      </c>
    </row>
    <row r="1959" spans="1:10" x14ac:dyDescent="0.25">
      <c r="A1959" t="s">
        <v>1996</v>
      </c>
      <c r="B1959" s="1">
        <v>45867</v>
      </c>
      <c r="C1959" t="s">
        <v>11</v>
      </c>
      <c r="D1959" t="s">
        <v>41</v>
      </c>
      <c r="E1959">
        <v>14833</v>
      </c>
      <c r="F1959">
        <v>11877</v>
      </c>
      <c r="G1959">
        <v>2956</v>
      </c>
      <c r="H1959" t="s">
        <v>38</v>
      </c>
      <c r="I1959" t="s">
        <v>20</v>
      </c>
      <c r="J1959" t="s">
        <v>29</v>
      </c>
    </row>
    <row r="1960" spans="1:10" x14ac:dyDescent="0.25">
      <c r="A1960" t="s">
        <v>1997</v>
      </c>
      <c r="B1960" s="1">
        <v>45842</v>
      </c>
      <c r="C1960" t="s">
        <v>22</v>
      </c>
      <c r="D1960" t="s">
        <v>18</v>
      </c>
      <c r="E1960">
        <v>13821</v>
      </c>
      <c r="F1960">
        <v>8579</v>
      </c>
      <c r="G1960">
        <v>5242</v>
      </c>
      <c r="H1960" t="s">
        <v>27</v>
      </c>
      <c r="I1960" t="s">
        <v>45</v>
      </c>
      <c r="J1960" t="s">
        <v>53</v>
      </c>
    </row>
    <row r="1961" spans="1:10" x14ac:dyDescent="0.25">
      <c r="A1961" t="s">
        <v>1998</v>
      </c>
      <c r="B1961" s="1">
        <v>45265</v>
      </c>
      <c r="C1961" t="s">
        <v>26</v>
      </c>
      <c r="D1961" t="s">
        <v>12</v>
      </c>
      <c r="E1961">
        <v>25691</v>
      </c>
      <c r="F1961">
        <v>7163</v>
      </c>
      <c r="G1961">
        <v>18528</v>
      </c>
      <c r="H1961" t="s">
        <v>13</v>
      </c>
      <c r="I1961" t="s">
        <v>23</v>
      </c>
      <c r="J1961" t="s">
        <v>53</v>
      </c>
    </row>
    <row r="1962" spans="1:10" x14ac:dyDescent="0.25">
      <c r="A1962" t="s">
        <v>1999</v>
      </c>
      <c r="B1962" s="1">
        <v>46084</v>
      </c>
      <c r="C1962" t="s">
        <v>26</v>
      </c>
      <c r="D1962" t="s">
        <v>41</v>
      </c>
      <c r="E1962">
        <v>19680</v>
      </c>
      <c r="F1962">
        <v>10287</v>
      </c>
      <c r="G1962">
        <v>9393</v>
      </c>
      <c r="H1962" t="s">
        <v>19</v>
      </c>
      <c r="I1962" t="s">
        <v>20</v>
      </c>
      <c r="J1962" t="s">
        <v>42</v>
      </c>
    </row>
    <row r="1963" spans="1:10" x14ac:dyDescent="0.25">
      <c r="A1963" t="s">
        <v>2000</v>
      </c>
      <c r="B1963" s="1">
        <v>45156</v>
      </c>
      <c r="C1963" t="s">
        <v>11</v>
      </c>
      <c r="D1963" t="s">
        <v>36</v>
      </c>
      <c r="E1963">
        <v>40533</v>
      </c>
      <c r="F1963">
        <v>33611</v>
      </c>
      <c r="G1963">
        <v>6922</v>
      </c>
      <c r="H1963" t="s">
        <v>13</v>
      </c>
      <c r="I1963" t="s">
        <v>60</v>
      </c>
      <c r="J1963" t="s">
        <v>15</v>
      </c>
    </row>
    <row r="1964" spans="1:10" x14ac:dyDescent="0.25">
      <c r="A1964" t="s">
        <v>2001</v>
      </c>
      <c r="B1964" s="1">
        <v>45825</v>
      </c>
      <c r="C1964" t="s">
        <v>11</v>
      </c>
      <c r="D1964" t="s">
        <v>18</v>
      </c>
      <c r="E1964">
        <v>26552</v>
      </c>
      <c r="F1964">
        <v>7914</v>
      </c>
      <c r="G1964">
        <v>18638</v>
      </c>
      <c r="H1964" t="s">
        <v>19</v>
      </c>
      <c r="I1964" t="s">
        <v>45</v>
      </c>
      <c r="J1964" t="s">
        <v>24</v>
      </c>
    </row>
    <row r="1965" spans="1:10" x14ac:dyDescent="0.25">
      <c r="A1965" t="s">
        <v>2002</v>
      </c>
      <c r="B1965" s="1">
        <v>45586</v>
      </c>
      <c r="C1965" t="s">
        <v>11</v>
      </c>
      <c r="D1965" t="s">
        <v>41</v>
      </c>
      <c r="E1965">
        <v>27385</v>
      </c>
      <c r="F1965">
        <v>13803</v>
      </c>
      <c r="G1965">
        <v>13582</v>
      </c>
      <c r="H1965" t="s">
        <v>27</v>
      </c>
      <c r="I1965" t="s">
        <v>14</v>
      </c>
      <c r="J1965" t="s">
        <v>15</v>
      </c>
    </row>
    <row r="1966" spans="1:10" x14ac:dyDescent="0.25">
      <c r="A1966" t="s">
        <v>2003</v>
      </c>
      <c r="B1966" s="1">
        <v>45534</v>
      </c>
      <c r="C1966" t="s">
        <v>26</v>
      </c>
      <c r="D1966" t="s">
        <v>12</v>
      </c>
      <c r="E1966">
        <v>6784</v>
      </c>
      <c r="F1966">
        <v>3348</v>
      </c>
      <c r="G1966">
        <v>3436</v>
      </c>
      <c r="H1966" t="s">
        <v>13</v>
      </c>
      <c r="I1966" t="s">
        <v>63</v>
      </c>
      <c r="J1966" t="s">
        <v>42</v>
      </c>
    </row>
    <row r="1967" spans="1:10" x14ac:dyDescent="0.25">
      <c r="A1967" t="s">
        <v>2004</v>
      </c>
      <c r="B1967" s="1">
        <v>45697</v>
      </c>
      <c r="C1967" t="s">
        <v>11</v>
      </c>
      <c r="D1967" t="s">
        <v>18</v>
      </c>
      <c r="E1967">
        <v>39755</v>
      </c>
      <c r="F1967">
        <v>33319</v>
      </c>
      <c r="G1967">
        <v>6436</v>
      </c>
      <c r="H1967" t="s">
        <v>38</v>
      </c>
      <c r="I1967" t="s">
        <v>60</v>
      </c>
      <c r="J1967" t="s">
        <v>15</v>
      </c>
    </row>
    <row r="1968" spans="1:10" x14ac:dyDescent="0.25">
      <c r="A1968" t="s">
        <v>2005</v>
      </c>
      <c r="B1968" s="1">
        <v>45779</v>
      </c>
      <c r="C1968" t="s">
        <v>26</v>
      </c>
      <c r="D1968" t="s">
        <v>18</v>
      </c>
      <c r="E1968">
        <v>36089</v>
      </c>
      <c r="F1968">
        <v>32926</v>
      </c>
      <c r="G1968">
        <v>3163</v>
      </c>
      <c r="H1968" t="s">
        <v>19</v>
      </c>
      <c r="I1968" t="s">
        <v>23</v>
      </c>
      <c r="J1968" t="s">
        <v>24</v>
      </c>
    </row>
    <row r="1969" spans="1:10" x14ac:dyDescent="0.25">
      <c r="A1969" t="s">
        <v>2006</v>
      </c>
      <c r="B1969" s="1">
        <v>45989</v>
      </c>
      <c r="C1969" t="s">
        <v>44</v>
      </c>
      <c r="D1969" t="s">
        <v>18</v>
      </c>
      <c r="E1969">
        <v>33813</v>
      </c>
      <c r="F1969">
        <v>26654</v>
      </c>
      <c r="G1969">
        <v>7159</v>
      </c>
      <c r="H1969" t="s">
        <v>38</v>
      </c>
      <c r="I1969" t="s">
        <v>45</v>
      </c>
      <c r="J1969" t="s">
        <v>29</v>
      </c>
    </row>
    <row r="1970" spans="1:10" x14ac:dyDescent="0.25">
      <c r="A1970" t="s">
        <v>2007</v>
      </c>
      <c r="B1970" s="1">
        <v>46202</v>
      </c>
      <c r="C1970" t="s">
        <v>22</v>
      </c>
      <c r="D1970" t="s">
        <v>33</v>
      </c>
      <c r="E1970">
        <v>20418</v>
      </c>
      <c r="F1970">
        <v>2837</v>
      </c>
      <c r="G1970">
        <v>17581</v>
      </c>
      <c r="H1970" t="s">
        <v>38</v>
      </c>
      <c r="I1970" t="s">
        <v>23</v>
      </c>
      <c r="J1970" t="s">
        <v>42</v>
      </c>
    </row>
    <row r="1971" spans="1:10" x14ac:dyDescent="0.25">
      <c r="A1971" t="s">
        <v>2008</v>
      </c>
      <c r="B1971" s="1">
        <v>45668</v>
      </c>
      <c r="C1971" t="s">
        <v>44</v>
      </c>
      <c r="D1971" t="s">
        <v>41</v>
      </c>
      <c r="E1971">
        <v>18812</v>
      </c>
      <c r="F1971">
        <v>3527</v>
      </c>
      <c r="G1971">
        <v>15285</v>
      </c>
      <c r="H1971" t="s">
        <v>38</v>
      </c>
      <c r="I1971" t="s">
        <v>31</v>
      </c>
      <c r="J1971" t="s">
        <v>15</v>
      </c>
    </row>
    <row r="1972" spans="1:10" x14ac:dyDescent="0.25">
      <c r="A1972" t="s">
        <v>2009</v>
      </c>
      <c r="B1972" s="1">
        <v>45475</v>
      </c>
      <c r="C1972" t="s">
        <v>44</v>
      </c>
      <c r="D1972" t="s">
        <v>18</v>
      </c>
      <c r="E1972">
        <v>23160</v>
      </c>
      <c r="F1972">
        <v>16524</v>
      </c>
      <c r="G1972">
        <v>6636</v>
      </c>
      <c r="H1972" t="s">
        <v>19</v>
      </c>
      <c r="I1972" t="s">
        <v>63</v>
      </c>
      <c r="J1972" t="s">
        <v>42</v>
      </c>
    </row>
    <row r="1973" spans="1:10" x14ac:dyDescent="0.25">
      <c r="A1973" t="s">
        <v>2010</v>
      </c>
      <c r="B1973" s="1">
        <v>45595</v>
      </c>
      <c r="C1973" t="s">
        <v>22</v>
      </c>
      <c r="D1973" t="s">
        <v>18</v>
      </c>
      <c r="E1973">
        <v>7671</v>
      </c>
      <c r="F1973">
        <v>433</v>
      </c>
      <c r="G1973">
        <v>7238</v>
      </c>
      <c r="H1973" t="s">
        <v>19</v>
      </c>
      <c r="I1973" t="s">
        <v>20</v>
      </c>
      <c r="J1973" t="s">
        <v>24</v>
      </c>
    </row>
    <row r="1974" spans="1:10" x14ac:dyDescent="0.25">
      <c r="A1974" t="s">
        <v>2011</v>
      </c>
      <c r="B1974" s="1">
        <v>45373</v>
      </c>
      <c r="C1974" t="s">
        <v>22</v>
      </c>
      <c r="D1974" t="s">
        <v>41</v>
      </c>
      <c r="E1974">
        <v>29492</v>
      </c>
      <c r="F1974">
        <v>18008</v>
      </c>
      <c r="G1974">
        <v>11484</v>
      </c>
      <c r="H1974" t="s">
        <v>38</v>
      </c>
      <c r="I1974" t="s">
        <v>20</v>
      </c>
      <c r="J1974" t="s">
        <v>24</v>
      </c>
    </row>
    <row r="1975" spans="1:10" x14ac:dyDescent="0.25">
      <c r="A1975" t="s">
        <v>2012</v>
      </c>
      <c r="B1975" s="1">
        <v>45796</v>
      </c>
      <c r="C1975" t="s">
        <v>17</v>
      </c>
      <c r="D1975" t="s">
        <v>33</v>
      </c>
      <c r="E1975">
        <v>9851</v>
      </c>
      <c r="F1975">
        <v>7998</v>
      </c>
      <c r="G1975">
        <v>1853</v>
      </c>
      <c r="H1975" t="s">
        <v>13</v>
      </c>
      <c r="I1975" t="s">
        <v>28</v>
      </c>
      <c r="J1975" t="s">
        <v>42</v>
      </c>
    </row>
    <row r="1976" spans="1:10" x14ac:dyDescent="0.25">
      <c r="A1976" t="s">
        <v>2013</v>
      </c>
      <c r="B1976" s="1">
        <v>45207</v>
      </c>
      <c r="C1976" t="s">
        <v>17</v>
      </c>
      <c r="D1976" t="s">
        <v>18</v>
      </c>
      <c r="E1976">
        <v>6778</v>
      </c>
      <c r="F1976">
        <v>5426</v>
      </c>
      <c r="G1976">
        <v>1352</v>
      </c>
      <c r="H1976" t="s">
        <v>19</v>
      </c>
      <c r="I1976" t="s">
        <v>31</v>
      </c>
      <c r="J1976" t="s">
        <v>53</v>
      </c>
    </row>
    <row r="1977" spans="1:10" x14ac:dyDescent="0.25">
      <c r="A1977" t="s">
        <v>2014</v>
      </c>
      <c r="B1977" s="1">
        <v>46005</v>
      </c>
      <c r="C1977" t="s">
        <v>44</v>
      </c>
      <c r="D1977" t="s">
        <v>18</v>
      </c>
      <c r="E1977">
        <v>48815</v>
      </c>
      <c r="F1977">
        <v>43024</v>
      </c>
      <c r="G1977">
        <v>5791</v>
      </c>
      <c r="H1977" t="s">
        <v>27</v>
      </c>
      <c r="I1977" t="s">
        <v>20</v>
      </c>
      <c r="J1977" t="s">
        <v>53</v>
      </c>
    </row>
    <row r="1978" spans="1:10" x14ac:dyDescent="0.25">
      <c r="A1978" t="s">
        <v>2015</v>
      </c>
      <c r="B1978" s="1">
        <v>45150</v>
      </c>
      <c r="C1978" t="s">
        <v>22</v>
      </c>
      <c r="D1978" t="s">
        <v>18</v>
      </c>
      <c r="E1978">
        <v>32075</v>
      </c>
      <c r="F1978">
        <v>21600</v>
      </c>
      <c r="G1978">
        <v>10475</v>
      </c>
      <c r="H1978" t="s">
        <v>19</v>
      </c>
      <c r="I1978" t="s">
        <v>31</v>
      </c>
      <c r="J1978" t="s">
        <v>53</v>
      </c>
    </row>
    <row r="1979" spans="1:10" x14ac:dyDescent="0.25">
      <c r="A1979" t="s">
        <v>2016</v>
      </c>
      <c r="B1979" s="1">
        <v>45652</v>
      </c>
      <c r="C1979" t="s">
        <v>44</v>
      </c>
      <c r="D1979" t="s">
        <v>18</v>
      </c>
      <c r="E1979">
        <v>38692</v>
      </c>
      <c r="F1979">
        <v>20543</v>
      </c>
      <c r="G1979">
        <v>18149</v>
      </c>
      <c r="H1979" t="s">
        <v>38</v>
      </c>
      <c r="I1979" t="s">
        <v>45</v>
      </c>
      <c r="J1979" t="s">
        <v>15</v>
      </c>
    </row>
    <row r="1980" spans="1:10" x14ac:dyDescent="0.25">
      <c r="A1980" t="s">
        <v>2017</v>
      </c>
      <c r="B1980" s="1">
        <v>46041</v>
      </c>
      <c r="C1980" t="s">
        <v>26</v>
      </c>
      <c r="D1980" t="s">
        <v>36</v>
      </c>
      <c r="E1980">
        <v>41163</v>
      </c>
      <c r="F1980">
        <v>31121</v>
      </c>
      <c r="G1980">
        <v>10042</v>
      </c>
      <c r="H1980" t="s">
        <v>13</v>
      </c>
      <c r="I1980" t="s">
        <v>23</v>
      </c>
      <c r="J1980" t="s">
        <v>15</v>
      </c>
    </row>
    <row r="1981" spans="1:10" x14ac:dyDescent="0.25">
      <c r="A1981" t="s">
        <v>2018</v>
      </c>
      <c r="B1981" s="1">
        <v>45143</v>
      </c>
      <c r="C1981" t="s">
        <v>11</v>
      </c>
      <c r="D1981" t="s">
        <v>18</v>
      </c>
      <c r="E1981">
        <v>49968</v>
      </c>
      <c r="F1981">
        <v>41955</v>
      </c>
      <c r="G1981">
        <v>8013</v>
      </c>
      <c r="H1981" t="s">
        <v>19</v>
      </c>
      <c r="I1981" t="s">
        <v>45</v>
      </c>
      <c r="J1981" t="s">
        <v>53</v>
      </c>
    </row>
    <row r="1982" spans="1:10" x14ac:dyDescent="0.25">
      <c r="A1982" t="s">
        <v>2019</v>
      </c>
      <c r="B1982" s="1">
        <v>46139</v>
      </c>
      <c r="C1982" t="s">
        <v>22</v>
      </c>
      <c r="D1982" t="s">
        <v>12</v>
      </c>
      <c r="E1982">
        <v>25184</v>
      </c>
      <c r="F1982">
        <v>20738</v>
      </c>
      <c r="G1982">
        <v>4446</v>
      </c>
      <c r="H1982" t="s">
        <v>19</v>
      </c>
      <c r="I1982" t="s">
        <v>23</v>
      </c>
      <c r="J1982" t="s">
        <v>29</v>
      </c>
    </row>
    <row r="1983" spans="1:10" x14ac:dyDescent="0.25">
      <c r="A1983" t="s">
        <v>2020</v>
      </c>
      <c r="B1983" s="1">
        <v>45696</v>
      </c>
      <c r="C1983" t="s">
        <v>26</v>
      </c>
      <c r="D1983" t="s">
        <v>33</v>
      </c>
      <c r="E1983">
        <v>45833</v>
      </c>
      <c r="F1983">
        <v>45185</v>
      </c>
      <c r="G1983">
        <v>648</v>
      </c>
      <c r="H1983" t="s">
        <v>19</v>
      </c>
      <c r="I1983" t="s">
        <v>14</v>
      </c>
      <c r="J1983" t="s">
        <v>53</v>
      </c>
    </row>
    <row r="1984" spans="1:10" x14ac:dyDescent="0.25">
      <c r="A1984" t="s">
        <v>2021</v>
      </c>
      <c r="B1984" s="1">
        <v>45974</v>
      </c>
      <c r="C1984" t="s">
        <v>44</v>
      </c>
      <c r="D1984" t="s">
        <v>33</v>
      </c>
      <c r="E1984">
        <v>34330</v>
      </c>
      <c r="F1984">
        <v>31085</v>
      </c>
      <c r="G1984">
        <v>3245</v>
      </c>
      <c r="H1984" t="s">
        <v>13</v>
      </c>
      <c r="I1984" t="s">
        <v>28</v>
      </c>
      <c r="J1984" t="s">
        <v>29</v>
      </c>
    </row>
    <row r="1985" spans="1:10" x14ac:dyDescent="0.25">
      <c r="A1985" t="s">
        <v>2022</v>
      </c>
      <c r="B1985" s="1">
        <v>45188</v>
      </c>
      <c r="C1985" t="s">
        <v>44</v>
      </c>
      <c r="D1985" t="s">
        <v>12</v>
      </c>
      <c r="E1985">
        <v>48330</v>
      </c>
      <c r="F1985">
        <v>43803</v>
      </c>
      <c r="G1985">
        <v>4527</v>
      </c>
      <c r="H1985" t="s">
        <v>13</v>
      </c>
      <c r="I1985" t="s">
        <v>45</v>
      </c>
      <c r="J1985" t="s">
        <v>15</v>
      </c>
    </row>
    <row r="1986" spans="1:10" x14ac:dyDescent="0.25">
      <c r="A1986" t="s">
        <v>2023</v>
      </c>
      <c r="B1986" s="1">
        <v>45967</v>
      </c>
      <c r="C1986" t="s">
        <v>22</v>
      </c>
      <c r="D1986" t="s">
        <v>33</v>
      </c>
      <c r="E1986">
        <v>18943</v>
      </c>
      <c r="F1986">
        <v>14400</v>
      </c>
      <c r="G1986">
        <v>4543</v>
      </c>
      <c r="H1986" t="s">
        <v>19</v>
      </c>
      <c r="I1986" t="s">
        <v>45</v>
      </c>
      <c r="J1986" t="s">
        <v>29</v>
      </c>
    </row>
    <row r="1987" spans="1:10" x14ac:dyDescent="0.25">
      <c r="A1987" t="s">
        <v>2024</v>
      </c>
      <c r="B1987" s="1">
        <v>46011</v>
      </c>
      <c r="C1987" t="s">
        <v>22</v>
      </c>
      <c r="D1987" t="s">
        <v>33</v>
      </c>
      <c r="E1987">
        <v>45639</v>
      </c>
      <c r="F1987">
        <v>40788</v>
      </c>
      <c r="G1987">
        <v>4851</v>
      </c>
      <c r="H1987" t="s">
        <v>27</v>
      </c>
      <c r="I1987" t="s">
        <v>34</v>
      </c>
      <c r="J1987" t="s">
        <v>53</v>
      </c>
    </row>
    <row r="1988" spans="1:10" x14ac:dyDescent="0.25">
      <c r="A1988" t="s">
        <v>2025</v>
      </c>
      <c r="B1988" s="1">
        <v>46190</v>
      </c>
      <c r="C1988" t="s">
        <v>22</v>
      </c>
      <c r="D1988" t="s">
        <v>18</v>
      </c>
      <c r="E1988">
        <v>22170</v>
      </c>
      <c r="F1988">
        <v>6096</v>
      </c>
      <c r="G1988">
        <v>16074</v>
      </c>
      <c r="H1988" t="s">
        <v>19</v>
      </c>
      <c r="I1988" t="s">
        <v>78</v>
      </c>
      <c r="J1988" t="s">
        <v>15</v>
      </c>
    </row>
    <row r="1989" spans="1:10" x14ac:dyDescent="0.25">
      <c r="A1989" t="s">
        <v>2026</v>
      </c>
      <c r="B1989" s="1">
        <v>45324</v>
      </c>
      <c r="C1989" t="s">
        <v>44</v>
      </c>
      <c r="D1989" t="s">
        <v>12</v>
      </c>
      <c r="E1989">
        <v>30685</v>
      </c>
      <c r="F1989">
        <v>15288</v>
      </c>
      <c r="G1989">
        <v>15397</v>
      </c>
      <c r="H1989" t="s">
        <v>13</v>
      </c>
      <c r="I1989" t="s">
        <v>34</v>
      </c>
      <c r="J1989" t="s">
        <v>15</v>
      </c>
    </row>
    <row r="1990" spans="1:10" x14ac:dyDescent="0.25">
      <c r="A1990" t="s">
        <v>2027</v>
      </c>
      <c r="B1990" s="1">
        <v>45322</v>
      </c>
      <c r="C1990" t="s">
        <v>11</v>
      </c>
      <c r="D1990" t="s">
        <v>33</v>
      </c>
      <c r="E1990">
        <v>16272</v>
      </c>
      <c r="F1990">
        <v>1078</v>
      </c>
      <c r="G1990">
        <v>15194</v>
      </c>
      <c r="H1990" t="s">
        <v>13</v>
      </c>
      <c r="I1990" t="s">
        <v>23</v>
      </c>
      <c r="J1990" t="s">
        <v>24</v>
      </c>
    </row>
    <row r="1991" spans="1:10" x14ac:dyDescent="0.25">
      <c r="A1991" t="s">
        <v>2028</v>
      </c>
      <c r="B1991" s="1">
        <v>45570</v>
      </c>
      <c r="C1991" t="s">
        <v>26</v>
      </c>
      <c r="D1991" t="s">
        <v>12</v>
      </c>
      <c r="E1991">
        <v>20693</v>
      </c>
      <c r="F1991">
        <v>18246</v>
      </c>
      <c r="G1991">
        <v>2447</v>
      </c>
      <c r="H1991" t="s">
        <v>19</v>
      </c>
      <c r="I1991" t="s">
        <v>63</v>
      </c>
      <c r="J1991" t="s">
        <v>15</v>
      </c>
    </row>
    <row r="1992" spans="1:10" x14ac:dyDescent="0.25">
      <c r="A1992" t="s">
        <v>2029</v>
      </c>
      <c r="B1992" s="1">
        <v>45640</v>
      </c>
      <c r="C1992" t="s">
        <v>22</v>
      </c>
      <c r="D1992" t="s">
        <v>36</v>
      </c>
      <c r="E1992">
        <v>25054</v>
      </c>
      <c r="F1992">
        <v>9899</v>
      </c>
      <c r="G1992">
        <v>15155</v>
      </c>
      <c r="H1992" t="s">
        <v>38</v>
      </c>
      <c r="I1992" t="s">
        <v>14</v>
      </c>
      <c r="J1992" t="s">
        <v>53</v>
      </c>
    </row>
    <row r="1993" spans="1:10" x14ac:dyDescent="0.25">
      <c r="A1993" t="s">
        <v>2030</v>
      </c>
      <c r="B1993" s="1">
        <v>46078</v>
      </c>
      <c r="C1993" t="s">
        <v>11</v>
      </c>
      <c r="D1993" t="s">
        <v>18</v>
      </c>
      <c r="E1993">
        <v>13343</v>
      </c>
      <c r="F1993">
        <v>12805</v>
      </c>
      <c r="G1993">
        <v>538</v>
      </c>
      <c r="H1993" t="s">
        <v>27</v>
      </c>
      <c r="I1993" t="s">
        <v>23</v>
      </c>
      <c r="J1993" t="s">
        <v>29</v>
      </c>
    </row>
    <row r="1994" spans="1:10" x14ac:dyDescent="0.25">
      <c r="A1994" t="s">
        <v>2031</v>
      </c>
      <c r="B1994" s="1">
        <v>45503</v>
      </c>
      <c r="C1994" t="s">
        <v>17</v>
      </c>
      <c r="D1994" t="s">
        <v>18</v>
      </c>
      <c r="E1994">
        <v>44173</v>
      </c>
      <c r="F1994">
        <v>34954</v>
      </c>
      <c r="G1994">
        <v>9219</v>
      </c>
      <c r="H1994" t="s">
        <v>19</v>
      </c>
      <c r="I1994" t="s">
        <v>31</v>
      </c>
      <c r="J1994" t="s">
        <v>24</v>
      </c>
    </row>
    <row r="1995" spans="1:10" x14ac:dyDescent="0.25">
      <c r="A1995" t="s">
        <v>2032</v>
      </c>
      <c r="B1995" s="1">
        <v>46148</v>
      </c>
      <c r="C1995" t="s">
        <v>44</v>
      </c>
      <c r="D1995" t="s">
        <v>18</v>
      </c>
      <c r="E1995">
        <v>29159</v>
      </c>
      <c r="F1995">
        <v>15407</v>
      </c>
      <c r="G1995">
        <v>13752</v>
      </c>
      <c r="H1995" t="s">
        <v>27</v>
      </c>
      <c r="I1995" t="s">
        <v>63</v>
      </c>
      <c r="J1995" t="s">
        <v>15</v>
      </c>
    </row>
    <row r="1996" spans="1:10" x14ac:dyDescent="0.25">
      <c r="A1996" t="s">
        <v>2033</v>
      </c>
      <c r="B1996" s="1">
        <v>45115</v>
      </c>
      <c r="C1996" t="s">
        <v>17</v>
      </c>
      <c r="D1996" t="s">
        <v>18</v>
      </c>
      <c r="E1996">
        <v>35012</v>
      </c>
      <c r="F1996">
        <v>21093</v>
      </c>
      <c r="G1996">
        <v>13919</v>
      </c>
      <c r="H1996" t="s">
        <v>13</v>
      </c>
      <c r="I1996" t="s">
        <v>23</v>
      </c>
      <c r="J1996" t="s">
        <v>24</v>
      </c>
    </row>
    <row r="1997" spans="1:10" x14ac:dyDescent="0.25">
      <c r="A1997" t="s">
        <v>2034</v>
      </c>
      <c r="B1997" s="1">
        <v>45192</v>
      </c>
      <c r="C1997" t="s">
        <v>26</v>
      </c>
      <c r="D1997" t="s">
        <v>41</v>
      </c>
      <c r="E1997">
        <v>21009</v>
      </c>
      <c r="F1997">
        <v>16352</v>
      </c>
      <c r="G1997">
        <v>4657</v>
      </c>
      <c r="H1997" t="s">
        <v>13</v>
      </c>
      <c r="I1997" t="s">
        <v>31</v>
      </c>
      <c r="J1997" t="s">
        <v>24</v>
      </c>
    </row>
    <row r="1998" spans="1:10" x14ac:dyDescent="0.25">
      <c r="A1998" t="s">
        <v>2035</v>
      </c>
      <c r="B1998" s="1">
        <v>45863</v>
      </c>
      <c r="C1998" t="s">
        <v>44</v>
      </c>
      <c r="D1998" t="s">
        <v>18</v>
      </c>
      <c r="E1998">
        <v>16730</v>
      </c>
      <c r="F1998">
        <v>13293</v>
      </c>
      <c r="G1998">
        <v>3437</v>
      </c>
      <c r="H1998" t="s">
        <v>27</v>
      </c>
      <c r="I1998" t="s">
        <v>28</v>
      </c>
      <c r="J1998" t="s">
        <v>29</v>
      </c>
    </row>
    <row r="1999" spans="1:10" x14ac:dyDescent="0.25">
      <c r="A1999" t="s">
        <v>2036</v>
      </c>
      <c r="B1999" s="1">
        <v>45248</v>
      </c>
      <c r="C1999" t="s">
        <v>44</v>
      </c>
      <c r="D1999" t="s">
        <v>41</v>
      </c>
      <c r="E1999">
        <v>11485</v>
      </c>
      <c r="F1999">
        <v>4534</v>
      </c>
      <c r="G1999">
        <v>6951</v>
      </c>
      <c r="H1999" t="s">
        <v>19</v>
      </c>
      <c r="I1999" t="s">
        <v>45</v>
      </c>
      <c r="J1999" t="s">
        <v>24</v>
      </c>
    </row>
    <row r="2000" spans="1:10" x14ac:dyDescent="0.25">
      <c r="A2000" t="s">
        <v>2037</v>
      </c>
      <c r="B2000" s="1">
        <v>45714</v>
      </c>
      <c r="C2000" t="s">
        <v>22</v>
      </c>
      <c r="D2000" t="s">
        <v>41</v>
      </c>
      <c r="E2000">
        <v>26132</v>
      </c>
      <c r="F2000">
        <v>9923</v>
      </c>
      <c r="G2000">
        <v>16209</v>
      </c>
      <c r="H2000" t="s">
        <v>38</v>
      </c>
      <c r="I2000" t="s">
        <v>45</v>
      </c>
      <c r="J2000" t="s">
        <v>24</v>
      </c>
    </row>
    <row r="2001" spans="1:10" x14ac:dyDescent="0.25">
      <c r="A2001" t="s">
        <v>2038</v>
      </c>
      <c r="B2001" s="1">
        <v>45508</v>
      </c>
      <c r="C2001" t="s">
        <v>44</v>
      </c>
      <c r="D2001" t="s">
        <v>41</v>
      </c>
      <c r="E2001">
        <v>28187</v>
      </c>
      <c r="F2001">
        <v>12315</v>
      </c>
      <c r="G2001">
        <v>15872</v>
      </c>
      <c r="H2001" t="s">
        <v>27</v>
      </c>
      <c r="I2001" t="s">
        <v>28</v>
      </c>
      <c r="J200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1"/>
  <sheetViews>
    <sheetView workbookViewId="0">
      <selection activeCell="M5" sqref="M5"/>
    </sheetView>
  </sheetViews>
  <sheetFormatPr defaultRowHeight="15" x14ac:dyDescent="0.25"/>
  <cols>
    <col min="1" max="1" width="13.42578125" customWidth="1"/>
    <col min="2" max="2" width="9.28515625" customWidth="1"/>
    <col min="3" max="3" width="18.85546875" customWidth="1"/>
    <col min="4" max="4" width="7.7109375" customWidth="1"/>
    <col min="5" max="5" width="7" customWidth="1"/>
    <col min="6" max="6" width="8.140625" customWidth="1"/>
    <col min="7" max="7" width="20.5703125" customWidth="1"/>
    <col min="8" max="8" width="13.85546875" customWidth="1"/>
    <col min="9" max="9" width="19.140625" customWidth="1"/>
    <col min="10" max="10" width="14.7109375" style="2" bestFit="1" customWidth="1"/>
    <col min="11" max="11" width="16.85546875" bestFit="1" customWidth="1"/>
    <col min="12" max="12" width="15.42578125" bestFit="1" customWidth="1"/>
    <col min="13" max="13" width="14.7109375" bestFit="1" customWidth="1"/>
  </cols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s="2" t="s">
        <v>2041</v>
      </c>
      <c r="K1" t="s">
        <v>2042</v>
      </c>
      <c r="L1" t="s">
        <v>2043</v>
      </c>
      <c r="M1" t="s">
        <v>2039</v>
      </c>
      <c r="N1" t="s">
        <v>2040</v>
      </c>
    </row>
    <row r="2" spans="1:14" x14ac:dyDescent="0.25">
      <c r="A2" s="1">
        <v>45906</v>
      </c>
      <c r="B2" t="s">
        <v>11</v>
      </c>
      <c r="C2" t="s">
        <v>12</v>
      </c>
      <c r="D2">
        <v>21425</v>
      </c>
      <c r="E2">
        <v>12880</v>
      </c>
      <c r="F2">
        <v>8545</v>
      </c>
      <c r="G2" t="s">
        <v>13</v>
      </c>
      <c r="H2" t="s">
        <v>14</v>
      </c>
      <c r="I2" t="s">
        <v>15</v>
      </c>
      <c r="J2" s="2">
        <f>Table1[[#This Row],[Profit]]/Table1[[#This Row],[Sales]]*100</f>
        <v>39.88331388564761</v>
      </c>
      <c r="K2" t="str">
        <f>IF(Table1[[#This Row],[Sales]]&gt;=30000,"High", IF(Table1[[#This Row],[Sales]]&gt;=15000,"Medium","Low"))</f>
        <v>Medium</v>
      </c>
      <c r="L2" t="str">
        <f>TEXT(Table1[[#This Row],[Order_Date]],"MMM")</f>
        <v>Sep</v>
      </c>
      <c r="M2" t="str">
        <f>IF(Table1[[#This Row],[Profit]]&gt;=10000,"Excellent",IF(Table1[[#This Row],[Profit]]&gt;5000,"Good","Low"))</f>
        <v>Good</v>
      </c>
      <c r="N2" t="str">
        <f>TEXT(Table1[[#This Row],[Order_Date]],"YYYY")</f>
        <v>2025</v>
      </c>
    </row>
    <row r="3" spans="1:14" x14ac:dyDescent="0.25">
      <c r="A3" s="1">
        <v>45687</v>
      </c>
      <c r="B3" t="s">
        <v>17</v>
      </c>
      <c r="C3" t="s">
        <v>18</v>
      </c>
      <c r="D3">
        <v>36365</v>
      </c>
      <c r="E3">
        <v>35666</v>
      </c>
      <c r="F3">
        <v>699</v>
      </c>
      <c r="G3" t="s">
        <v>19</v>
      </c>
      <c r="H3" t="s">
        <v>20</v>
      </c>
      <c r="I3" t="s">
        <v>15</v>
      </c>
      <c r="J3" s="2">
        <f>Table1[[#This Row],[Profit]]/Table1[[#This Row],[Sales]]*100</f>
        <v>1.9221779183280627</v>
      </c>
      <c r="K3" t="str">
        <f>IF(Table1[[#This Row],[Sales]]&gt;=30000,"High", IF(Table1[[#This Row],[Sales]]&gt;=15000,"Medium","Low"))</f>
        <v>High</v>
      </c>
      <c r="L3" t="str">
        <f>TEXT(Table1[[#This Row],[Order_Date]],"MMM")</f>
        <v>Jan</v>
      </c>
      <c r="M3" t="str">
        <f>IF(Table1[[#This Row],[Profit]]&gt;=10000,"Excellent",IF(Table1[[#This Row],[Profit]]&gt;5000,"Good","Low"))</f>
        <v>Low</v>
      </c>
      <c r="N3" t="str">
        <f>TEXT(Table1[[#This Row],[Order_Date]],"YYYY")</f>
        <v>2025</v>
      </c>
    </row>
    <row r="4" spans="1:14" x14ac:dyDescent="0.25">
      <c r="A4" s="1">
        <v>45651</v>
      </c>
      <c r="B4" t="s">
        <v>22</v>
      </c>
      <c r="C4" t="s">
        <v>18</v>
      </c>
      <c r="D4">
        <v>39083</v>
      </c>
      <c r="E4">
        <v>22458</v>
      </c>
      <c r="F4">
        <v>16625</v>
      </c>
      <c r="G4" t="s">
        <v>19</v>
      </c>
      <c r="H4" t="s">
        <v>23</v>
      </c>
      <c r="I4" t="s">
        <v>24</v>
      </c>
      <c r="J4" s="2">
        <f>Table1[[#This Row],[Profit]]/Table1[[#This Row],[Sales]]*100</f>
        <v>42.537676227515796</v>
      </c>
      <c r="K4" t="str">
        <f>IF(Table1[[#This Row],[Sales]]&gt;=30000,"High", IF(Table1[[#This Row],[Sales]]&gt;=15000,"Medium","Low"))</f>
        <v>High</v>
      </c>
      <c r="L4" t="str">
        <f>TEXT(Table1[[#This Row],[Order_Date]],"MMM")</f>
        <v>Dec</v>
      </c>
      <c r="M4" t="str">
        <f>IF(Table1[[#This Row],[Profit]]&gt;=10000,"Excellent",IF(Table1[[#This Row],[Profit]]&gt;5000,"Good","Low"))</f>
        <v>Excellent</v>
      </c>
      <c r="N4" t="str">
        <f>TEXT(Table1[[#This Row],[Order_Date]],"YYYY")</f>
        <v>2024</v>
      </c>
    </row>
    <row r="5" spans="1:14" x14ac:dyDescent="0.25">
      <c r="A5" s="1">
        <v>45804</v>
      </c>
      <c r="B5" t="s">
        <v>26</v>
      </c>
      <c r="C5" t="s">
        <v>12</v>
      </c>
      <c r="D5">
        <v>20914</v>
      </c>
      <c r="E5">
        <v>17995</v>
      </c>
      <c r="F5">
        <v>2919</v>
      </c>
      <c r="G5" t="s">
        <v>27</v>
      </c>
      <c r="H5" t="s">
        <v>28</v>
      </c>
      <c r="I5" t="s">
        <v>29</v>
      </c>
      <c r="J5" s="2">
        <f>Table1[[#This Row],[Profit]]/Table1[[#This Row],[Sales]]*100</f>
        <v>13.957157884670558</v>
      </c>
      <c r="K5" t="str">
        <f>IF(Table1[[#This Row],[Sales]]&gt;=30000,"High", IF(Table1[[#This Row],[Sales]]&gt;=15000,"Medium","Low"))</f>
        <v>Medium</v>
      </c>
      <c r="L5" t="str">
        <f>TEXT(Table1[[#This Row],[Order_Date]],"MMM")</f>
        <v>May</v>
      </c>
      <c r="M5" t="str">
        <f>IF(Table1[[#This Row],[Profit]]&gt;=10000,"Excellent",IF(Table1[[#This Row],[Profit]]&gt;5000,"Good","Low"))</f>
        <v>Low</v>
      </c>
      <c r="N5" t="str">
        <f>TEXT(Table1[[#This Row],[Order_Date]],"YYYY")</f>
        <v>2025</v>
      </c>
    </row>
    <row r="6" spans="1:14" x14ac:dyDescent="0.25">
      <c r="A6" s="1">
        <v>45779</v>
      </c>
      <c r="B6" t="s">
        <v>17</v>
      </c>
      <c r="C6" t="s">
        <v>12</v>
      </c>
      <c r="D6">
        <v>13614</v>
      </c>
      <c r="E6">
        <v>12465</v>
      </c>
      <c r="F6">
        <v>1149</v>
      </c>
      <c r="G6" t="s">
        <v>13</v>
      </c>
      <c r="H6" t="s">
        <v>31</v>
      </c>
      <c r="I6" t="s">
        <v>24</v>
      </c>
      <c r="J6" s="2">
        <f>Table1[[#This Row],[Profit]]/Table1[[#This Row],[Sales]]*100</f>
        <v>8.4398413397972671</v>
      </c>
      <c r="K6" t="str">
        <f>IF(Table1[[#This Row],[Sales]]&gt;=30000,"High", IF(Table1[[#This Row],[Sales]]&gt;=15000,"Medium","Low"))</f>
        <v>Low</v>
      </c>
      <c r="L6" t="str">
        <f>TEXT(Table1[[#This Row],[Order_Date]],"MMM")</f>
        <v>May</v>
      </c>
      <c r="M6" t="str">
        <f>IF(Table1[[#This Row],[Profit]]&gt;=10000,"Excellent",IF(Table1[[#This Row],[Profit]]&gt;5000,"Good","Low"))</f>
        <v>Low</v>
      </c>
      <c r="N6" t="str">
        <f>TEXT(Table1[[#This Row],[Order_Date]],"YYYY")</f>
        <v>2025</v>
      </c>
    </row>
    <row r="7" spans="1:14" x14ac:dyDescent="0.25">
      <c r="A7" s="1">
        <v>46024</v>
      </c>
      <c r="B7" t="s">
        <v>22</v>
      </c>
      <c r="C7" t="s">
        <v>33</v>
      </c>
      <c r="D7">
        <v>12452</v>
      </c>
      <c r="E7">
        <v>5159</v>
      </c>
      <c r="F7">
        <v>7293</v>
      </c>
      <c r="G7" t="s">
        <v>19</v>
      </c>
      <c r="H7" t="s">
        <v>34</v>
      </c>
      <c r="I7" t="s">
        <v>24</v>
      </c>
      <c r="J7" s="2">
        <f>Table1[[#This Row],[Profit]]/Table1[[#This Row],[Sales]]*100</f>
        <v>58.56890459363958</v>
      </c>
      <c r="K7" t="str">
        <f>IF(Table1[[#This Row],[Sales]]&gt;=30000,"High", IF(Table1[[#This Row],[Sales]]&gt;=15000,"Medium","Low"))</f>
        <v>Low</v>
      </c>
      <c r="L7" t="str">
        <f>TEXT(Table1[[#This Row],[Order_Date]],"MMM")</f>
        <v>Jan</v>
      </c>
      <c r="M7" t="str">
        <f>IF(Table1[[#This Row],[Profit]]&gt;=10000,"Excellent",IF(Table1[[#This Row],[Profit]]&gt;5000,"Good","Low"))</f>
        <v>Good</v>
      </c>
      <c r="N7" t="str">
        <f>TEXT(Table1[[#This Row],[Order_Date]],"YYYY")</f>
        <v>2026</v>
      </c>
    </row>
    <row r="8" spans="1:14" x14ac:dyDescent="0.25">
      <c r="A8" s="1">
        <v>45829</v>
      </c>
      <c r="B8" t="s">
        <v>11</v>
      </c>
      <c r="C8" t="s">
        <v>36</v>
      </c>
      <c r="D8">
        <v>20707</v>
      </c>
      <c r="E8">
        <v>16390</v>
      </c>
      <c r="F8">
        <v>4317</v>
      </c>
      <c r="G8" t="s">
        <v>19</v>
      </c>
      <c r="H8" t="s">
        <v>28</v>
      </c>
      <c r="I8" t="s">
        <v>29</v>
      </c>
      <c r="J8" s="2">
        <f>Table1[[#This Row],[Profit]]/Table1[[#This Row],[Sales]]*100</f>
        <v>20.848022407881391</v>
      </c>
      <c r="K8" t="str">
        <f>IF(Table1[[#This Row],[Sales]]&gt;=30000,"High", IF(Table1[[#This Row],[Sales]]&gt;=15000,"Medium","Low"))</f>
        <v>Medium</v>
      </c>
      <c r="L8" t="str">
        <f>TEXT(Table1[[#This Row],[Order_Date]],"MMM")</f>
        <v>Jun</v>
      </c>
      <c r="M8" t="str">
        <f>IF(Table1[[#This Row],[Profit]]&gt;=10000,"Excellent",IF(Table1[[#This Row],[Profit]]&gt;5000,"Good","Low"))</f>
        <v>Low</v>
      </c>
      <c r="N8" t="str">
        <f>TEXT(Table1[[#This Row],[Order_Date]],"YYYY")</f>
        <v>2025</v>
      </c>
    </row>
    <row r="9" spans="1:14" x14ac:dyDescent="0.25">
      <c r="A9" s="1">
        <v>46122</v>
      </c>
      <c r="B9" t="s">
        <v>22</v>
      </c>
      <c r="C9" t="s">
        <v>33</v>
      </c>
      <c r="D9">
        <v>46712</v>
      </c>
      <c r="E9">
        <v>42529</v>
      </c>
      <c r="F9">
        <v>4183</v>
      </c>
      <c r="G9" t="s">
        <v>38</v>
      </c>
      <c r="H9" t="s">
        <v>34</v>
      </c>
      <c r="I9" t="s">
        <v>15</v>
      </c>
      <c r="J9" s="2">
        <f>Table1[[#This Row],[Profit]]/Table1[[#This Row],[Sales]]*100</f>
        <v>8.9548724096591883</v>
      </c>
      <c r="K9" t="str">
        <f>IF(Table1[[#This Row],[Sales]]&gt;=30000,"High", IF(Table1[[#This Row],[Sales]]&gt;=15000,"Medium","Low"))</f>
        <v>High</v>
      </c>
      <c r="L9" t="str">
        <f>TEXT(Table1[[#This Row],[Order_Date]],"MMM")</f>
        <v>Apr</v>
      </c>
      <c r="M9" t="str">
        <f>IF(Table1[[#This Row],[Profit]]&gt;=10000,"Excellent",IF(Table1[[#This Row],[Profit]]&gt;5000,"Good","Low"))</f>
        <v>Low</v>
      </c>
      <c r="N9" t="str">
        <f>TEXT(Table1[[#This Row],[Order_Date]],"YYYY")</f>
        <v>2026</v>
      </c>
    </row>
    <row r="10" spans="1:14" x14ac:dyDescent="0.25">
      <c r="A10" s="1">
        <v>45695</v>
      </c>
      <c r="B10" t="s">
        <v>11</v>
      </c>
      <c r="C10" t="s">
        <v>36</v>
      </c>
      <c r="D10">
        <v>38470</v>
      </c>
      <c r="E10">
        <v>20441</v>
      </c>
      <c r="F10">
        <v>18029</v>
      </c>
      <c r="G10" t="s">
        <v>13</v>
      </c>
      <c r="H10" t="s">
        <v>14</v>
      </c>
      <c r="I10" t="s">
        <v>15</v>
      </c>
      <c r="J10" s="2">
        <f>Table1[[#This Row],[Profit]]/Table1[[#This Row],[Sales]]*100</f>
        <v>46.865089680270337</v>
      </c>
      <c r="K10" t="str">
        <f>IF(Table1[[#This Row],[Sales]]&gt;=30000,"High", IF(Table1[[#This Row],[Sales]]&gt;=15000,"Medium","Low"))</f>
        <v>High</v>
      </c>
      <c r="L10" t="str">
        <f>TEXT(Table1[[#This Row],[Order_Date]],"MMM")</f>
        <v>Feb</v>
      </c>
      <c r="M10" t="str">
        <f>IF(Table1[[#This Row],[Profit]]&gt;=10000,"Excellent",IF(Table1[[#This Row],[Profit]]&gt;5000,"Good","Low"))</f>
        <v>Excellent</v>
      </c>
      <c r="N10" t="str">
        <f>TEXT(Table1[[#This Row],[Order_Date]],"YYYY")</f>
        <v>2025</v>
      </c>
    </row>
    <row r="11" spans="1:14" x14ac:dyDescent="0.25">
      <c r="A11" s="1">
        <v>45259</v>
      </c>
      <c r="B11" t="s">
        <v>17</v>
      </c>
      <c r="C11" t="s">
        <v>41</v>
      </c>
      <c r="D11">
        <v>8604</v>
      </c>
      <c r="E11">
        <v>7894</v>
      </c>
      <c r="F11">
        <v>710</v>
      </c>
      <c r="G11" t="s">
        <v>13</v>
      </c>
      <c r="H11" t="s">
        <v>34</v>
      </c>
      <c r="I11" t="s">
        <v>42</v>
      </c>
      <c r="J11" s="2">
        <f>Table1[[#This Row],[Profit]]/Table1[[#This Row],[Sales]]*100</f>
        <v>8.251975825197583</v>
      </c>
      <c r="K11" t="str">
        <f>IF(Table1[[#This Row],[Sales]]&gt;=30000,"High", IF(Table1[[#This Row],[Sales]]&gt;=15000,"Medium","Low"))</f>
        <v>Low</v>
      </c>
      <c r="L11" t="str">
        <f>TEXT(Table1[[#This Row],[Order_Date]],"MMM")</f>
        <v>Nov</v>
      </c>
      <c r="M11" t="str">
        <f>IF(Table1[[#This Row],[Profit]]&gt;=10000,"Excellent",IF(Table1[[#This Row],[Profit]]&gt;5000,"Good","Low"))</f>
        <v>Low</v>
      </c>
      <c r="N11" t="str">
        <f>TEXT(Table1[[#This Row],[Order_Date]],"YYYY")</f>
        <v>2023</v>
      </c>
    </row>
    <row r="12" spans="1:14" x14ac:dyDescent="0.25">
      <c r="A12" s="1">
        <v>46064</v>
      </c>
      <c r="B12" t="s">
        <v>44</v>
      </c>
      <c r="C12" t="s">
        <v>18</v>
      </c>
      <c r="D12">
        <v>41347</v>
      </c>
      <c r="E12">
        <v>26373</v>
      </c>
      <c r="F12">
        <v>14974</v>
      </c>
      <c r="G12" t="s">
        <v>13</v>
      </c>
      <c r="H12" t="s">
        <v>45</v>
      </c>
      <c r="I12" t="s">
        <v>24</v>
      </c>
      <c r="J12" s="2">
        <f>Table1[[#This Row],[Profit]]/Table1[[#This Row],[Sales]]*100</f>
        <v>36.215444893220791</v>
      </c>
      <c r="K12" t="str">
        <f>IF(Table1[[#This Row],[Sales]]&gt;=30000,"High", IF(Table1[[#This Row],[Sales]]&gt;=15000,"Medium","Low"))</f>
        <v>High</v>
      </c>
      <c r="L12" t="str">
        <f>TEXT(Table1[[#This Row],[Order_Date]],"MMM")</f>
        <v>Feb</v>
      </c>
      <c r="M12" t="str">
        <f>IF(Table1[[#This Row],[Profit]]&gt;=10000,"Excellent",IF(Table1[[#This Row],[Profit]]&gt;5000,"Good","Low"))</f>
        <v>Excellent</v>
      </c>
      <c r="N12" t="str">
        <f>TEXT(Table1[[#This Row],[Order_Date]],"YYYY")</f>
        <v>2026</v>
      </c>
    </row>
    <row r="13" spans="1:14" x14ac:dyDescent="0.25">
      <c r="A13" s="1">
        <v>45936</v>
      </c>
      <c r="B13" t="s">
        <v>11</v>
      </c>
      <c r="C13" t="s">
        <v>41</v>
      </c>
      <c r="D13">
        <v>27041</v>
      </c>
      <c r="E13">
        <v>8664</v>
      </c>
      <c r="F13">
        <v>18377</v>
      </c>
      <c r="G13" t="s">
        <v>38</v>
      </c>
      <c r="H13" t="s">
        <v>20</v>
      </c>
      <c r="I13" t="s">
        <v>24</v>
      </c>
      <c r="J13" s="2">
        <f>Table1[[#This Row],[Profit]]/Table1[[#This Row],[Sales]]*100</f>
        <v>67.959764801597572</v>
      </c>
      <c r="K13" t="str">
        <f>IF(Table1[[#This Row],[Sales]]&gt;=30000,"High", IF(Table1[[#This Row],[Sales]]&gt;=15000,"Medium","Low"))</f>
        <v>Medium</v>
      </c>
      <c r="L13" t="str">
        <f>TEXT(Table1[[#This Row],[Order_Date]],"MMM")</f>
        <v>Oct</v>
      </c>
      <c r="M13" t="str">
        <f>IF(Table1[[#This Row],[Profit]]&gt;=10000,"Excellent",IF(Table1[[#This Row],[Profit]]&gt;5000,"Good","Low"))</f>
        <v>Excellent</v>
      </c>
      <c r="N13" t="str">
        <f>TEXT(Table1[[#This Row],[Order_Date]],"YYYY")</f>
        <v>2025</v>
      </c>
    </row>
    <row r="14" spans="1:14" x14ac:dyDescent="0.25">
      <c r="A14" s="1">
        <v>45115</v>
      </c>
      <c r="B14" t="s">
        <v>26</v>
      </c>
      <c r="C14" t="s">
        <v>41</v>
      </c>
      <c r="D14">
        <v>29080</v>
      </c>
      <c r="E14">
        <v>18297</v>
      </c>
      <c r="F14">
        <v>10783</v>
      </c>
      <c r="G14" t="s">
        <v>13</v>
      </c>
      <c r="H14" t="s">
        <v>45</v>
      </c>
      <c r="I14" t="s">
        <v>29</v>
      </c>
      <c r="J14" s="2">
        <f>Table1[[#This Row],[Profit]]/Table1[[#This Row],[Sales]]*100</f>
        <v>37.080467675378266</v>
      </c>
      <c r="K14" t="str">
        <f>IF(Table1[[#This Row],[Sales]]&gt;=30000,"High", IF(Table1[[#This Row],[Sales]]&gt;=15000,"Medium","Low"))</f>
        <v>Medium</v>
      </c>
      <c r="L14" t="str">
        <f>TEXT(Table1[[#This Row],[Order_Date]],"MMM")</f>
        <v>Jul</v>
      </c>
      <c r="M14" t="str">
        <f>IF(Table1[[#This Row],[Profit]]&gt;=10000,"Excellent",IF(Table1[[#This Row],[Profit]]&gt;5000,"Good","Low"))</f>
        <v>Excellent</v>
      </c>
      <c r="N14" t="str">
        <f>TEXT(Table1[[#This Row],[Order_Date]],"YYYY")</f>
        <v>2023</v>
      </c>
    </row>
    <row r="15" spans="1:14" x14ac:dyDescent="0.25">
      <c r="A15" s="1">
        <v>45384</v>
      </c>
      <c r="B15" t="s">
        <v>17</v>
      </c>
      <c r="C15" t="s">
        <v>41</v>
      </c>
      <c r="D15">
        <v>45140</v>
      </c>
      <c r="E15">
        <v>42137</v>
      </c>
      <c r="F15">
        <v>3003</v>
      </c>
      <c r="G15" t="s">
        <v>27</v>
      </c>
      <c r="H15" t="s">
        <v>31</v>
      </c>
      <c r="I15" t="s">
        <v>15</v>
      </c>
      <c r="J15" s="2">
        <f>Table1[[#This Row],[Profit]]/Table1[[#This Row],[Sales]]*100</f>
        <v>6.6526362428001775</v>
      </c>
      <c r="K15" t="str">
        <f>IF(Table1[[#This Row],[Sales]]&gt;=30000,"High", IF(Table1[[#This Row],[Sales]]&gt;=15000,"Medium","Low"))</f>
        <v>High</v>
      </c>
      <c r="L15" t="str">
        <f>TEXT(Table1[[#This Row],[Order_Date]],"MMM")</f>
        <v>Apr</v>
      </c>
      <c r="M15" t="str">
        <f>IF(Table1[[#This Row],[Profit]]&gt;=10000,"Excellent",IF(Table1[[#This Row],[Profit]]&gt;5000,"Good","Low"))</f>
        <v>Low</v>
      </c>
      <c r="N15" t="str">
        <f>TEXT(Table1[[#This Row],[Order_Date]],"YYYY")</f>
        <v>2024</v>
      </c>
    </row>
    <row r="16" spans="1:14" x14ac:dyDescent="0.25">
      <c r="A16" s="1">
        <v>45182</v>
      </c>
      <c r="B16" t="s">
        <v>22</v>
      </c>
      <c r="C16" t="s">
        <v>12</v>
      </c>
      <c r="D16">
        <v>39761</v>
      </c>
      <c r="E16">
        <v>23900</v>
      </c>
      <c r="F16">
        <v>15861</v>
      </c>
      <c r="G16" t="s">
        <v>27</v>
      </c>
      <c r="H16" t="s">
        <v>31</v>
      </c>
      <c r="I16" t="s">
        <v>42</v>
      </c>
      <c r="J16" s="2">
        <f>Table1[[#This Row],[Profit]]/Table1[[#This Row],[Sales]]*100</f>
        <v>39.890847815698798</v>
      </c>
      <c r="K16" t="str">
        <f>IF(Table1[[#This Row],[Sales]]&gt;=30000,"High", IF(Table1[[#This Row],[Sales]]&gt;=15000,"Medium","Low"))</f>
        <v>High</v>
      </c>
      <c r="L16" t="str">
        <f>TEXT(Table1[[#This Row],[Order_Date]],"MMM")</f>
        <v>Sep</v>
      </c>
      <c r="M16" t="str">
        <f>IF(Table1[[#This Row],[Profit]]&gt;=10000,"Excellent",IF(Table1[[#This Row],[Profit]]&gt;5000,"Good","Low"))</f>
        <v>Excellent</v>
      </c>
      <c r="N16" t="str">
        <f>TEXT(Table1[[#This Row],[Order_Date]],"YYYY")</f>
        <v>2023</v>
      </c>
    </row>
    <row r="17" spans="1:14" x14ac:dyDescent="0.25">
      <c r="A17" s="1">
        <v>46092</v>
      </c>
      <c r="B17" t="s">
        <v>11</v>
      </c>
      <c r="C17" t="s">
        <v>18</v>
      </c>
      <c r="D17">
        <v>24230</v>
      </c>
      <c r="E17">
        <v>5977</v>
      </c>
      <c r="F17">
        <v>18253</v>
      </c>
      <c r="G17" t="s">
        <v>38</v>
      </c>
      <c r="H17" t="s">
        <v>28</v>
      </c>
      <c r="I17" t="s">
        <v>42</v>
      </c>
      <c r="J17" s="2">
        <f>Table1[[#This Row],[Profit]]/Table1[[#This Row],[Sales]]*100</f>
        <v>75.332232769294265</v>
      </c>
      <c r="K17" t="str">
        <f>IF(Table1[[#This Row],[Sales]]&gt;=30000,"High", IF(Table1[[#This Row],[Sales]]&gt;=15000,"Medium","Low"))</f>
        <v>Medium</v>
      </c>
      <c r="L17" t="str">
        <f>TEXT(Table1[[#This Row],[Order_Date]],"MMM")</f>
        <v>Mar</v>
      </c>
      <c r="M17" t="str">
        <f>IF(Table1[[#This Row],[Profit]]&gt;=10000,"Excellent",IF(Table1[[#This Row],[Profit]]&gt;5000,"Good","Low"))</f>
        <v>Excellent</v>
      </c>
      <c r="N17" t="str">
        <f>TEXT(Table1[[#This Row],[Order_Date]],"YYYY")</f>
        <v>2026</v>
      </c>
    </row>
    <row r="18" spans="1:14" x14ac:dyDescent="0.25">
      <c r="A18" s="1">
        <v>45418</v>
      </c>
      <c r="B18" t="s">
        <v>17</v>
      </c>
      <c r="C18" t="s">
        <v>33</v>
      </c>
      <c r="D18">
        <v>17449</v>
      </c>
      <c r="E18">
        <v>12135</v>
      </c>
      <c r="F18">
        <v>5314</v>
      </c>
      <c r="G18" t="s">
        <v>38</v>
      </c>
      <c r="H18" t="s">
        <v>31</v>
      </c>
      <c r="I18" t="s">
        <v>15</v>
      </c>
      <c r="J18" s="2">
        <f>Table1[[#This Row],[Profit]]/Table1[[#This Row],[Sales]]*100</f>
        <v>30.454467304716605</v>
      </c>
      <c r="K18" t="str">
        <f>IF(Table1[[#This Row],[Sales]]&gt;=30000,"High", IF(Table1[[#This Row],[Sales]]&gt;=15000,"Medium","Low"))</f>
        <v>Medium</v>
      </c>
      <c r="L18" t="str">
        <f>TEXT(Table1[[#This Row],[Order_Date]],"MMM")</f>
        <v>May</v>
      </c>
      <c r="M18" t="str">
        <f>IF(Table1[[#This Row],[Profit]]&gt;=10000,"Excellent",IF(Table1[[#This Row],[Profit]]&gt;5000,"Good","Low"))</f>
        <v>Good</v>
      </c>
      <c r="N18" t="str">
        <f>TEXT(Table1[[#This Row],[Order_Date]],"YYYY")</f>
        <v>2024</v>
      </c>
    </row>
    <row r="19" spans="1:14" x14ac:dyDescent="0.25">
      <c r="A19" s="1">
        <v>45607</v>
      </c>
      <c r="B19" t="s">
        <v>17</v>
      </c>
      <c r="C19" t="s">
        <v>33</v>
      </c>
      <c r="D19">
        <v>26416</v>
      </c>
      <c r="E19">
        <v>8172</v>
      </c>
      <c r="F19">
        <v>18244</v>
      </c>
      <c r="G19" t="s">
        <v>13</v>
      </c>
      <c r="H19" t="s">
        <v>14</v>
      </c>
      <c r="I19" t="s">
        <v>53</v>
      </c>
      <c r="J19" s="2">
        <f>Table1[[#This Row],[Profit]]/Table1[[#This Row],[Sales]]*100</f>
        <v>69.06420351302242</v>
      </c>
      <c r="K19" t="str">
        <f>IF(Table1[[#This Row],[Sales]]&gt;=30000,"High", IF(Table1[[#This Row],[Sales]]&gt;=15000,"Medium","Low"))</f>
        <v>Medium</v>
      </c>
      <c r="L19" t="str">
        <f>TEXT(Table1[[#This Row],[Order_Date]],"MMM")</f>
        <v>Nov</v>
      </c>
      <c r="M19" t="str">
        <f>IF(Table1[[#This Row],[Profit]]&gt;=10000,"Excellent",IF(Table1[[#This Row],[Profit]]&gt;5000,"Good","Low"))</f>
        <v>Excellent</v>
      </c>
      <c r="N19" t="str">
        <f>TEXT(Table1[[#This Row],[Order_Date]],"YYYY")</f>
        <v>2024</v>
      </c>
    </row>
    <row r="20" spans="1:14" x14ac:dyDescent="0.25">
      <c r="A20" s="1">
        <v>45796</v>
      </c>
      <c r="B20" t="s">
        <v>11</v>
      </c>
      <c r="C20" t="s">
        <v>41</v>
      </c>
      <c r="D20">
        <v>28321</v>
      </c>
      <c r="E20">
        <v>25273</v>
      </c>
      <c r="F20">
        <v>3048</v>
      </c>
      <c r="G20" t="s">
        <v>19</v>
      </c>
      <c r="H20" t="s">
        <v>23</v>
      </c>
      <c r="I20" t="s">
        <v>24</v>
      </c>
      <c r="J20" s="2">
        <f>Table1[[#This Row],[Profit]]/Table1[[#This Row],[Sales]]*100</f>
        <v>10.762331838565023</v>
      </c>
      <c r="K20" t="str">
        <f>IF(Table1[[#This Row],[Sales]]&gt;=30000,"High", IF(Table1[[#This Row],[Sales]]&gt;=15000,"Medium","Low"))</f>
        <v>Medium</v>
      </c>
      <c r="L20" t="str">
        <f>TEXT(Table1[[#This Row],[Order_Date]],"MMM")</f>
        <v>May</v>
      </c>
      <c r="M20" t="str">
        <f>IF(Table1[[#This Row],[Profit]]&gt;=10000,"Excellent",IF(Table1[[#This Row],[Profit]]&gt;5000,"Good","Low"))</f>
        <v>Low</v>
      </c>
      <c r="N20" t="str">
        <f>TEXT(Table1[[#This Row],[Order_Date]],"YYYY")</f>
        <v>2025</v>
      </c>
    </row>
    <row r="21" spans="1:14" x14ac:dyDescent="0.25">
      <c r="A21" s="1">
        <v>46149</v>
      </c>
      <c r="B21" t="s">
        <v>44</v>
      </c>
      <c r="C21" t="s">
        <v>33</v>
      </c>
      <c r="D21">
        <v>36375</v>
      </c>
      <c r="E21">
        <v>30031</v>
      </c>
      <c r="F21">
        <v>6344</v>
      </c>
      <c r="G21" t="s">
        <v>38</v>
      </c>
      <c r="H21" t="s">
        <v>28</v>
      </c>
      <c r="I21" t="s">
        <v>15</v>
      </c>
      <c r="J21" s="2">
        <f>Table1[[#This Row],[Profit]]/Table1[[#This Row],[Sales]]*100</f>
        <v>17.440549828178696</v>
      </c>
      <c r="K21" t="str">
        <f>IF(Table1[[#This Row],[Sales]]&gt;=30000,"High", IF(Table1[[#This Row],[Sales]]&gt;=15000,"Medium","Low"))</f>
        <v>High</v>
      </c>
      <c r="L21" t="str">
        <f>TEXT(Table1[[#This Row],[Order_Date]],"MMM")</f>
        <v>May</v>
      </c>
      <c r="M21" t="str">
        <f>IF(Table1[[#This Row],[Profit]]&gt;=10000,"Excellent",IF(Table1[[#This Row],[Profit]]&gt;5000,"Good","Low"))</f>
        <v>Good</v>
      </c>
      <c r="N21" t="str">
        <f>TEXT(Table1[[#This Row],[Order_Date]],"YYYY")</f>
        <v>2026</v>
      </c>
    </row>
    <row r="22" spans="1:14" x14ac:dyDescent="0.25">
      <c r="A22" s="1">
        <v>45710</v>
      </c>
      <c r="B22" t="s">
        <v>17</v>
      </c>
      <c r="C22" t="s">
        <v>18</v>
      </c>
      <c r="D22">
        <v>43797</v>
      </c>
      <c r="E22">
        <v>42869</v>
      </c>
      <c r="F22">
        <v>928</v>
      </c>
      <c r="G22" t="s">
        <v>13</v>
      </c>
      <c r="H22" t="s">
        <v>20</v>
      </c>
      <c r="I22" t="s">
        <v>53</v>
      </c>
      <c r="J22" s="2">
        <f>Table1[[#This Row],[Profit]]/Table1[[#This Row],[Sales]]*100</f>
        <v>2.1188665890357785</v>
      </c>
      <c r="K22" t="str">
        <f>IF(Table1[[#This Row],[Sales]]&gt;=30000,"High", IF(Table1[[#This Row],[Sales]]&gt;=15000,"Medium","Low"))</f>
        <v>High</v>
      </c>
      <c r="L22" t="str">
        <f>TEXT(Table1[[#This Row],[Order_Date]],"MMM")</f>
        <v>Feb</v>
      </c>
      <c r="M22" t="str">
        <f>IF(Table1[[#This Row],[Profit]]&gt;=10000,"Excellent",IF(Table1[[#This Row],[Profit]]&gt;5000,"Good","Low"))</f>
        <v>Low</v>
      </c>
      <c r="N22" t="str">
        <f>TEXT(Table1[[#This Row],[Order_Date]],"YYYY")</f>
        <v>2025</v>
      </c>
    </row>
    <row r="23" spans="1:14" x14ac:dyDescent="0.25">
      <c r="A23" s="1">
        <v>46026</v>
      </c>
      <c r="B23" t="s">
        <v>22</v>
      </c>
      <c r="C23" t="s">
        <v>33</v>
      </c>
      <c r="D23">
        <v>32649</v>
      </c>
      <c r="E23">
        <v>15083</v>
      </c>
      <c r="F23">
        <v>17566</v>
      </c>
      <c r="G23" t="s">
        <v>13</v>
      </c>
      <c r="H23" t="s">
        <v>23</v>
      </c>
      <c r="I23" t="s">
        <v>24</v>
      </c>
      <c r="J23" s="2">
        <f>Table1[[#This Row],[Profit]]/Table1[[#This Row],[Sales]]*100</f>
        <v>53.802566694232588</v>
      </c>
      <c r="K23" t="str">
        <f>IF(Table1[[#This Row],[Sales]]&gt;=30000,"High", IF(Table1[[#This Row],[Sales]]&gt;=15000,"Medium","Low"))</f>
        <v>High</v>
      </c>
      <c r="L23" t="str">
        <f>TEXT(Table1[[#This Row],[Order_Date]],"MMM")</f>
        <v>Jan</v>
      </c>
      <c r="M23" t="str">
        <f>IF(Table1[[#This Row],[Profit]]&gt;=10000,"Excellent",IF(Table1[[#This Row],[Profit]]&gt;5000,"Good","Low"))</f>
        <v>Excellent</v>
      </c>
      <c r="N23" t="str">
        <f>TEXT(Table1[[#This Row],[Order_Date]],"YYYY")</f>
        <v>2026</v>
      </c>
    </row>
    <row r="24" spans="1:14" x14ac:dyDescent="0.25">
      <c r="A24" s="1">
        <v>46064</v>
      </c>
      <c r="B24" t="s">
        <v>11</v>
      </c>
      <c r="C24" t="s">
        <v>36</v>
      </c>
      <c r="D24">
        <v>9113</v>
      </c>
      <c r="E24">
        <v>2296</v>
      </c>
      <c r="F24">
        <v>6817</v>
      </c>
      <c r="G24" t="s">
        <v>13</v>
      </c>
      <c r="H24" t="s">
        <v>28</v>
      </c>
      <c r="I24" t="s">
        <v>24</v>
      </c>
      <c r="J24" s="2">
        <f>Table1[[#This Row],[Profit]]/Table1[[#This Row],[Sales]]*100</f>
        <v>74.805223307363107</v>
      </c>
      <c r="K24" t="str">
        <f>IF(Table1[[#This Row],[Sales]]&gt;=30000,"High", IF(Table1[[#This Row],[Sales]]&gt;=15000,"Medium","Low"))</f>
        <v>Low</v>
      </c>
      <c r="L24" t="str">
        <f>TEXT(Table1[[#This Row],[Order_Date]],"MMM")</f>
        <v>Feb</v>
      </c>
      <c r="M24" t="str">
        <f>IF(Table1[[#This Row],[Profit]]&gt;=10000,"Excellent",IF(Table1[[#This Row],[Profit]]&gt;5000,"Good","Low"))</f>
        <v>Good</v>
      </c>
      <c r="N24" t="str">
        <f>TEXT(Table1[[#This Row],[Order_Date]],"YYYY")</f>
        <v>2026</v>
      </c>
    </row>
    <row r="25" spans="1:14" x14ac:dyDescent="0.25">
      <c r="A25" s="1">
        <v>45891</v>
      </c>
      <c r="B25" t="s">
        <v>44</v>
      </c>
      <c r="C25" t="s">
        <v>12</v>
      </c>
      <c r="D25">
        <v>37446</v>
      </c>
      <c r="E25">
        <v>33899</v>
      </c>
      <c r="F25">
        <v>3547</v>
      </c>
      <c r="G25" t="s">
        <v>38</v>
      </c>
      <c r="H25" t="s">
        <v>60</v>
      </c>
      <c r="I25" t="s">
        <v>29</v>
      </c>
      <c r="J25" s="2">
        <f>Table1[[#This Row],[Profit]]/Table1[[#This Row],[Sales]]*100</f>
        <v>9.4723067884420225</v>
      </c>
      <c r="K25" t="str">
        <f>IF(Table1[[#This Row],[Sales]]&gt;=30000,"High", IF(Table1[[#This Row],[Sales]]&gt;=15000,"Medium","Low"))</f>
        <v>High</v>
      </c>
      <c r="L25" t="str">
        <f>TEXT(Table1[[#This Row],[Order_Date]],"MMM")</f>
        <v>Aug</v>
      </c>
      <c r="M25" t="str">
        <f>IF(Table1[[#This Row],[Profit]]&gt;=10000,"Excellent",IF(Table1[[#This Row],[Profit]]&gt;5000,"Good","Low"))</f>
        <v>Low</v>
      </c>
      <c r="N25" t="str">
        <f>TEXT(Table1[[#This Row],[Order_Date]],"YYYY")</f>
        <v>2025</v>
      </c>
    </row>
    <row r="26" spans="1:14" x14ac:dyDescent="0.25">
      <c r="A26" s="1">
        <v>45202</v>
      </c>
      <c r="B26" t="s">
        <v>26</v>
      </c>
      <c r="C26" t="s">
        <v>18</v>
      </c>
      <c r="D26">
        <v>28763</v>
      </c>
      <c r="E26">
        <v>26743</v>
      </c>
      <c r="F26">
        <v>2020</v>
      </c>
      <c r="G26" t="s">
        <v>13</v>
      </c>
      <c r="H26" t="s">
        <v>60</v>
      </c>
      <c r="I26" t="s">
        <v>53</v>
      </c>
      <c r="J26" s="2">
        <f>Table1[[#This Row],[Profit]]/Table1[[#This Row],[Sales]]*100</f>
        <v>7.0229113792024469</v>
      </c>
      <c r="K26" t="str">
        <f>IF(Table1[[#This Row],[Sales]]&gt;=30000,"High", IF(Table1[[#This Row],[Sales]]&gt;=15000,"Medium","Low"))</f>
        <v>Medium</v>
      </c>
      <c r="L26" t="str">
        <f>TEXT(Table1[[#This Row],[Order_Date]],"MMM")</f>
        <v>Oct</v>
      </c>
      <c r="M26" t="str">
        <f>IF(Table1[[#This Row],[Profit]]&gt;=10000,"Excellent",IF(Table1[[#This Row],[Profit]]&gt;5000,"Good","Low"))</f>
        <v>Low</v>
      </c>
      <c r="N26" t="str">
        <f>TEXT(Table1[[#This Row],[Order_Date]],"YYYY")</f>
        <v>2023</v>
      </c>
    </row>
    <row r="27" spans="1:14" x14ac:dyDescent="0.25">
      <c r="A27" s="1">
        <v>45966</v>
      </c>
      <c r="B27" t="s">
        <v>26</v>
      </c>
      <c r="C27" t="s">
        <v>36</v>
      </c>
      <c r="D27">
        <v>42659</v>
      </c>
      <c r="E27">
        <v>37320</v>
      </c>
      <c r="F27">
        <v>5339</v>
      </c>
      <c r="G27" t="s">
        <v>19</v>
      </c>
      <c r="H27" t="s">
        <v>63</v>
      </c>
      <c r="I27" t="s">
        <v>29</v>
      </c>
      <c r="J27" s="2">
        <f>Table1[[#This Row],[Profit]]/Table1[[#This Row],[Sales]]*100</f>
        <v>12.515530134321009</v>
      </c>
      <c r="K27" t="str">
        <f>IF(Table1[[#This Row],[Sales]]&gt;=30000,"High", IF(Table1[[#This Row],[Sales]]&gt;=15000,"Medium","Low"))</f>
        <v>High</v>
      </c>
      <c r="L27" t="str">
        <f>TEXT(Table1[[#This Row],[Order_Date]],"MMM")</f>
        <v>Nov</v>
      </c>
      <c r="M27" t="str">
        <f>IF(Table1[[#This Row],[Profit]]&gt;=10000,"Excellent",IF(Table1[[#This Row],[Profit]]&gt;5000,"Good","Low"))</f>
        <v>Good</v>
      </c>
      <c r="N27" t="str">
        <f>TEXT(Table1[[#This Row],[Order_Date]],"YYYY")</f>
        <v>2025</v>
      </c>
    </row>
    <row r="28" spans="1:14" x14ac:dyDescent="0.25">
      <c r="A28" s="1">
        <v>45912</v>
      </c>
      <c r="B28" t="s">
        <v>11</v>
      </c>
      <c r="C28" t="s">
        <v>36</v>
      </c>
      <c r="D28">
        <v>9069</v>
      </c>
      <c r="E28">
        <v>2700</v>
      </c>
      <c r="F28">
        <v>6369</v>
      </c>
      <c r="G28" t="s">
        <v>38</v>
      </c>
      <c r="H28" t="s">
        <v>28</v>
      </c>
      <c r="I28" t="s">
        <v>29</v>
      </c>
      <c r="J28" s="2">
        <f>Table1[[#This Row],[Profit]]/Table1[[#This Row],[Sales]]*100</f>
        <v>70.228250082699304</v>
      </c>
      <c r="K28" t="str">
        <f>IF(Table1[[#This Row],[Sales]]&gt;=30000,"High", IF(Table1[[#This Row],[Sales]]&gt;=15000,"Medium","Low"))</f>
        <v>Low</v>
      </c>
      <c r="L28" t="str">
        <f>TEXT(Table1[[#This Row],[Order_Date]],"MMM")</f>
        <v>Sep</v>
      </c>
      <c r="M28" t="str">
        <f>IF(Table1[[#This Row],[Profit]]&gt;=10000,"Excellent",IF(Table1[[#This Row],[Profit]]&gt;5000,"Good","Low"))</f>
        <v>Good</v>
      </c>
      <c r="N28" t="str">
        <f>TEXT(Table1[[#This Row],[Order_Date]],"YYYY")</f>
        <v>2025</v>
      </c>
    </row>
    <row r="29" spans="1:14" x14ac:dyDescent="0.25">
      <c r="A29" s="1">
        <v>45132</v>
      </c>
      <c r="B29" t="s">
        <v>44</v>
      </c>
      <c r="C29" t="s">
        <v>41</v>
      </c>
      <c r="D29">
        <v>13589</v>
      </c>
      <c r="E29">
        <v>5560</v>
      </c>
      <c r="F29">
        <v>8029</v>
      </c>
      <c r="G29" t="s">
        <v>27</v>
      </c>
      <c r="H29" t="s">
        <v>60</v>
      </c>
      <c r="I29" t="s">
        <v>29</v>
      </c>
      <c r="J29" s="2">
        <f>Table1[[#This Row],[Profit]]/Table1[[#This Row],[Sales]]*100</f>
        <v>59.08455368312606</v>
      </c>
      <c r="K29" t="str">
        <f>IF(Table1[[#This Row],[Sales]]&gt;=30000,"High", IF(Table1[[#This Row],[Sales]]&gt;=15000,"Medium","Low"))</f>
        <v>Low</v>
      </c>
      <c r="L29" t="str">
        <f>TEXT(Table1[[#This Row],[Order_Date]],"MMM")</f>
        <v>Jul</v>
      </c>
      <c r="M29" t="str">
        <f>IF(Table1[[#This Row],[Profit]]&gt;=10000,"Excellent",IF(Table1[[#This Row],[Profit]]&gt;5000,"Good","Low"))</f>
        <v>Good</v>
      </c>
      <c r="N29" t="str">
        <f>TEXT(Table1[[#This Row],[Order_Date]],"YYYY")</f>
        <v>2023</v>
      </c>
    </row>
    <row r="30" spans="1:14" x14ac:dyDescent="0.25">
      <c r="A30" s="1">
        <v>45519</v>
      </c>
      <c r="B30" t="s">
        <v>44</v>
      </c>
      <c r="C30" t="s">
        <v>41</v>
      </c>
      <c r="D30">
        <v>23208</v>
      </c>
      <c r="E30">
        <v>5128</v>
      </c>
      <c r="F30">
        <v>18080</v>
      </c>
      <c r="G30" t="s">
        <v>13</v>
      </c>
      <c r="H30" t="s">
        <v>31</v>
      </c>
      <c r="I30" t="s">
        <v>53</v>
      </c>
      <c r="J30" s="2">
        <f>Table1[[#This Row],[Profit]]/Table1[[#This Row],[Sales]]*100</f>
        <v>77.904170975525673</v>
      </c>
      <c r="K30" t="str">
        <f>IF(Table1[[#This Row],[Sales]]&gt;=30000,"High", IF(Table1[[#This Row],[Sales]]&gt;=15000,"Medium","Low"))</f>
        <v>Medium</v>
      </c>
      <c r="L30" t="str">
        <f>TEXT(Table1[[#This Row],[Order_Date]],"MMM")</f>
        <v>Aug</v>
      </c>
      <c r="M30" t="str">
        <f>IF(Table1[[#This Row],[Profit]]&gt;=10000,"Excellent",IF(Table1[[#This Row],[Profit]]&gt;5000,"Good","Low"))</f>
        <v>Excellent</v>
      </c>
      <c r="N30" t="str">
        <f>TEXT(Table1[[#This Row],[Order_Date]],"YYYY")</f>
        <v>2024</v>
      </c>
    </row>
    <row r="31" spans="1:14" x14ac:dyDescent="0.25">
      <c r="A31" s="1">
        <v>45739</v>
      </c>
      <c r="B31" t="s">
        <v>44</v>
      </c>
      <c r="C31" t="s">
        <v>36</v>
      </c>
      <c r="D31">
        <v>49263</v>
      </c>
      <c r="E31">
        <v>39897</v>
      </c>
      <c r="F31">
        <v>9366</v>
      </c>
      <c r="G31" t="s">
        <v>13</v>
      </c>
      <c r="H31" t="s">
        <v>45</v>
      </c>
      <c r="I31" t="s">
        <v>53</v>
      </c>
      <c r="J31" s="2">
        <f>Table1[[#This Row],[Profit]]/Table1[[#This Row],[Sales]]*100</f>
        <v>19.012240423847512</v>
      </c>
      <c r="K31" t="str">
        <f>IF(Table1[[#This Row],[Sales]]&gt;=30000,"High", IF(Table1[[#This Row],[Sales]]&gt;=15000,"Medium","Low"))</f>
        <v>High</v>
      </c>
      <c r="L31" t="str">
        <f>TEXT(Table1[[#This Row],[Order_Date]],"MMM")</f>
        <v>Mar</v>
      </c>
      <c r="M31" t="str">
        <f>IF(Table1[[#This Row],[Profit]]&gt;=10000,"Excellent",IF(Table1[[#This Row],[Profit]]&gt;5000,"Good","Low"))</f>
        <v>Good</v>
      </c>
      <c r="N31" t="str">
        <f>TEXT(Table1[[#This Row],[Order_Date]],"YYYY")</f>
        <v>2025</v>
      </c>
    </row>
    <row r="32" spans="1:14" x14ac:dyDescent="0.25">
      <c r="A32" s="1">
        <v>46135</v>
      </c>
      <c r="B32" t="s">
        <v>22</v>
      </c>
      <c r="C32" t="s">
        <v>33</v>
      </c>
      <c r="D32">
        <v>47030</v>
      </c>
      <c r="E32">
        <v>29227</v>
      </c>
      <c r="F32">
        <v>17803</v>
      </c>
      <c r="G32" t="s">
        <v>19</v>
      </c>
      <c r="H32" t="s">
        <v>31</v>
      </c>
      <c r="I32" t="s">
        <v>42</v>
      </c>
      <c r="J32" s="2">
        <f>Table1[[#This Row],[Profit]]/Table1[[#This Row],[Sales]]*100</f>
        <v>37.854560918562619</v>
      </c>
      <c r="K32" t="str">
        <f>IF(Table1[[#This Row],[Sales]]&gt;=30000,"High", IF(Table1[[#This Row],[Sales]]&gt;=15000,"Medium","Low"))</f>
        <v>High</v>
      </c>
      <c r="L32" t="str">
        <f>TEXT(Table1[[#This Row],[Order_Date]],"MMM")</f>
        <v>Apr</v>
      </c>
      <c r="M32" t="str">
        <f>IF(Table1[[#This Row],[Profit]]&gt;=10000,"Excellent",IF(Table1[[#This Row],[Profit]]&gt;5000,"Good","Low"))</f>
        <v>Excellent</v>
      </c>
      <c r="N32" t="str">
        <f>TEXT(Table1[[#This Row],[Order_Date]],"YYYY")</f>
        <v>2026</v>
      </c>
    </row>
    <row r="33" spans="1:14" x14ac:dyDescent="0.25">
      <c r="A33" s="1">
        <v>45260</v>
      </c>
      <c r="B33" t="s">
        <v>11</v>
      </c>
      <c r="C33" t="s">
        <v>41</v>
      </c>
      <c r="D33">
        <v>48358</v>
      </c>
      <c r="E33">
        <v>39602</v>
      </c>
      <c r="F33">
        <v>8756</v>
      </c>
      <c r="G33" t="s">
        <v>27</v>
      </c>
      <c r="H33" t="s">
        <v>23</v>
      </c>
      <c r="I33" t="s">
        <v>29</v>
      </c>
      <c r="J33" s="2">
        <f>Table1[[#This Row],[Profit]]/Table1[[#This Row],[Sales]]*100</f>
        <v>18.106621448364283</v>
      </c>
      <c r="K33" t="str">
        <f>IF(Table1[[#This Row],[Sales]]&gt;=30000,"High", IF(Table1[[#This Row],[Sales]]&gt;=15000,"Medium","Low"))</f>
        <v>High</v>
      </c>
      <c r="L33" t="str">
        <f>TEXT(Table1[[#This Row],[Order_Date]],"MMM")</f>
        <v>Nov</v>
      </c>
      <c r="M33" t="str">
        <f>IF(Table1[[#This Row],[Profit]]&gt;=10000,"Excellent",IF(Table1[[#This Row],[Profit]]&gt;5000,"Good","Low"))</f>
        <v>Good</v>
      </c>
      <c r="N33" t="str">
        <f>TEXT(Table1[[#This Row],[Order_Date]],"YYYY")</f>
        <v>2023</v>
      </c>
    </row>
    <row r="34" spans="1:14" x14ac:dyDescent="0.25">
      <c r="A34" s="1">
        <v>45614</v>
      </c>
      <c r="B34" t="s">
        <v>17</v>
      </c>
      <c r="C34" t="s">
        <v>41</v>
      </c>
      <c r="D34">
        <v>36382</v>
      </c>
      <c r="E34">
        <v>22046</v>
      </c>
      <c r="F34">
        <v>14336</v>
      </c>
      <c r="G34" t="s">
        <v>38</v>
      </c>
      <c r="H34" t="s">
        <v>45</v>
      </c>
      <c r="I34" t="s">
        <v>42</v>
      </c>
      <c r="J34" s="2">
        <f>Table1[[#This Row],[Profit]]/Table1[[#This Row],[Sales]]*100</f>
        <v>39.404100929030839</v>
      </c>
      <c r="K34" t="str">
        <f>IF(Table1[[#This Row],[Sales]]&gt;=30000,"High", IF(Table1[[#This Row],[Sales]]&gt;=15000,"Medium","Low"))</f>
        <v>High</v>
      </c>
      <c r="L34" t="str">
        <f>TEXT(Table1[[#This Row],[Order_Date]],"MMM")</f>
        <v>Nov</v>
      </c>
      <c r="M34" t="str">
        <f>IF(Table1[[#This Row],[Profit]]&gt;=10000,"Excellent",IF(Table1[[#This Row],[Profit]]&gt;5000,"Good","Low"))</f>
        <v>Excellent</v>
      </c>
      <c r="N34" t="str">
        <f>TEXT(Table1[[#This Row],[Order_Date]],"YYYY")</f>
        <v>2024</v>
      </c>
    </row>
    <row r="35" spans="1:14" x14ac:dyDescent="0.25">
      <c r="A35" s="1">
        <v>46166</v>
      </c>
      <c r="B35" t="s">
        <v>11</v>
      </c>
      <c r="C35" t="s">
        <v>41</v>
      </c>
      <c r="D35">
        <v>44730</v>
      </c>
      <c r="E35">
        <v>30931</v>
      </c>
      <c r="F35">
        <v>13799</v>
      </c>
      <c r="G35" t="s">
        <v>19</v>
      </c>
      <c r="H35" t="s">
        <v>28</v>
      </c>
      <c r="I35" t="s">
        <v>29</v>
      </c>
      <c r="J35" s="2">
        <f>Table1[[#This Row],[Profit]]/Table1[[#This Row],[Sales]]*100</f>
        <v>30.849541694612114</v>
      </c>
      <c r="K35" t="str">
        <f>IF(Table1[[#This Row],[Sales]]&gt;=30000,"High", IF(Table1[[#This Row],[Sales]]&gt;=15000,"Medium","Low"))</f>
        <v>High</v>
      </c>
      <c r="L35" t="str">
        <f>TEXT(Table1[[#This Row],[Order_Date]],"MMM")</f>
        <v>May</v>
      </c>
      <c r="M35" t="str">
        <f>IF(Table1[[#This Row],[Profit]]&gt;=10000,"Excellent",IF(Table1[[#This Row],[Profit]]&gt;5000,"Good","Low"))</f>
        <v>Excellent</v>
      </c>
      <c r="N35" t="str">
        <f>TEXT(Table1[[#This Row],[Order_Date]],"YYYY")</f>
        <v>2026</v>
      </c>
    </row>
    <row r="36" spans="1:14" x14ac:dyDescent="0.25">
      <c r="A36" s="1">
        <v>45150</v>
      </c>
      <c r="B36" t="s">
        <v>26</v>
      </c>
      <c r="C36" t="s">
        <v>33</v>
      </c>
      <c r="D36">
        <v>37179</v>
      </c>
      <c r="E36">
        <v>21385</v>
      </c>
      <c r="F36">
        <v>15794</v>
      </c>
      <c r="G36" t="s">
        <v>19</v>
      </c>
      <c r="H36" t="s">
        <v>45</v>
      </c>
      <c r="I36" t="s">
        <v>24</v>
      </c>
      <c r="J36" s="2">
        <f>Table1[[#This Row],[Profit]]/Table1[[#This Row],[Sales]]*100</f>
        <v>42.480970440302322</v>
      </c>
      <c r="K36" t="str">
        <f>IF(Table1[[#This Row],[Sales]]&gt;=30000,"High", IF(Table1[[#This Row],[Sales]]&gt;=15000,"Medium","Low"))</f>
        <v>High</v>
      </c>
      <c r="L36" t="str">
        <f>TEXT(Table1[[#This Row],[Order_Date]],"MMM")</f>
        <v>Aug</v>
      </c>
      <c r="M36" t="str">
        <f>IF(Table1[[#This Row],[Profit]]&gt;=10000,"Excellent",IF(Table1[[#This Row],[Profit]]&gt;5000,"Good","Low"))</f>
        <v>Excellent</v>
      </c>
      <c r="N36" t="str">
        <f>TEXT(Table1[[#This Row],[Order_Date]],"YYYY")</f>
        <v>2023</v>
      </c>
    </row>
    <row r="37" spans="1:14" x14ac:dyDescent="0.25">
      <c r="A37" s="1">
        <v>45255</v>
      </c>
      <c r="B37" t="s">
        <v>11</v>
      </c>
      <c r="C37" t="s">
        <v>18</v>
      </c>
      <c r="D37">
        <v>45959</v>
      </c>
      <c r="E37">
        <v>34280</v>
      </c>
      <c r="F37">
        <v>11679</v>
      </c>
      <c r="G37" t="s">
        <v>13</v>
      </c>
      <c r="H37" t="s">
        <v>14</v>
      </c>
      <c r="I37" t="s">
        <v>42</v>
      </c>
      <c r="J37" s="2">
        <f>Table1[[#This Row],[Profit]]/Table1[[#This Row],[Sales]]*100</f>
        <v>25.4117800648404</v>
      </c>
      <c r="K37" t="str">
        <f>IF(Table1[[#This Row],[Sales]]&gt;=30000,"High", IF(Table1[[#This Row],[Sales]]&gt;=15000,"Medium","Low"))</f>
        <v>High</v>
      </c>
      <c r="L37" t="str">
        <f>TEXT(Table1[[#This Row],[Order_Date]],"MMM")</f>
        <v>Nov</v>
      </c>
      <c r="M37" t="str">
        <f>IF(Table1[[#This Row],[Profit]]&gt;=10000,"Excellent",IF(Table1[[#This Row],[Profit]]&gt;5000,"Good","Low"))</f>
        <v>Excellent</v>
      </c>
      <c r="N37" t="str">
        <f>TEXT(Table1[[#This Row],[Order_Date]],"YYYY")</f>
        <v>2023</v>
      </c>
    </row>
    <row r="38" spans="1:14" x14ac:dyDescent="0.25">
      <c r="A38" s="1">
        <v>45158</v>
      </c>
      <c r="B38" t="s">
        <v>22</v>
      </c>
      <c r="C38" t="s">
        <v>33</v>
      </c>
      <c r="D38">
        <v>46895</v>
      </c>
      <c r="E38">
        <v>39181</v>
      </c>
      <c r="F38">
        <v>7714</v>
      </c>
      <c r="G38" t="s">
        <v>27</v>
      </c>
      <c r="H38" t="s">
        <v>31</v>
      </c>
      <c r="I38" t="s">
        <v>29</v>
      </c>
      <c r="J38" s="2">
        <f>Table1[[#This Row],[Profit]]/Table1[[#This Row],[Sales]]*100</f>
        <v>16.449514873653907</v>
      </c>
      <c r="K38" t="str">
        <f>IF(Table1[[#This Row],[Sales]]&gt;=30000,"High", IF(Table1[[#This Row],[Sales]]&gt;=15000,"Medium","Low"))</f>
        <v>High</v>
      </c>
      <c r="L38" t="str">
        <f>TEXT(Table1[[#This Row],[Order_Date]],"MMM")</f>
        <v>Aug</v>
      </c>
      <c r="M38" t="str">
        <f>IF(Table1[[#This Row],[Profit]]&gt;=10000,"Excellent",IF(Table1[[#This Row],[Profit]]&gt;5000,"Good","Low"))</f>
        <v>Good</v>
      </c>
      <c r="N38" t="str">
        <f>TEXT(Table1[[#This Row],[Order_Date]],"YYYY")</f>
        <v>2023</v>
      </c>
    </row>
    <row r="39" spans="1:14" x14ac:dyDescent="0.25">
      <c r="A39" s="1">
        <v>45616</v>
      </c>
      <c r="B39" t="s">
        <v>22</v>
      </c>
      <c r="C39" t="s">
        <v>33</v>
      </c>
      <c r="D39">
        <v>32906</v>
      </c>
      <c r="E39">
        <v>18508</v>
      </c>
      <c r="F39">
        <v>14398</v>
      </c>
      <c r="G39" t="s">
        <v>27</v>
      </c>
      <c r="H39" t="s">
        <v>60</v>
      </c>
      <c r="I39" t="s">
        <v>42</v>
      </c>
      <c r="J39" s="2">
        <f>Table1[[#This Row],[Profit]]/Table1[[#This Row],[Sales]]*100</f>
        <v>43.754938309122956</v>
      </c>
      <c r="K39" t="str">
        <f>IF(Table1[[#This Row],[Sales]]&gt;=30000,"High", IF(Table1[[#This Row],[Sales]]&gt;=15000,"Medium","Low"))</f>
        <v>High</v>
      </c>
      <c r="L39" t="str">
        <f>TEXT(Table1[[#This Row],[Order_Date]],"MMM")</f>
        <v>Nov</v>
      </c>
      <c r="M39" t="str">
        <f>IF(Table1[[#This Row],[Profit]]&gt;=10000,"Excellent",IF(Table1[[#This Row],[Profit]]&gt;5000,"Good","Low"))</f>
        <v>Excellent</v>
      </c>
      <c r="N39" t="str">
        <f>TEXT(Table1[[#This Row],[Order_Date]],"YYYY")</f>
        <v>2024</v>
      </c>
    </row>
    <row r="40" spans="1:14" x14ac:dyDescent="0.25">
      <c r="A40" s="1">
        <v>46207</v>
      </c>
      <c r="B40" t="s">
        <v>11</v>
      </c>
      <c r="C40" t="s">
        <v>18</v>
      </c>
      <c r="D40">
        <v>36769</v>
      </c>
      <c r="E40">
        <v>26608</v>
      </c>
      <c r="F40">
        <v>10161</v>
      </c>
      <c r="G40" t="s">
        <v>13</v>
      </c>
      <c r="H40" t="s">
        <v>14</v>
      </c>
      <c r="I40" t="s">
        <v>29</v>
      </c>
      <c r="J40" s="2">
        <f>Table1[[#This Row],[Profit]]/Table1[[#This Row],[Sales]]*100</f>
        <v>27.634692267943105</v>
      </c>
      <c r="K40" t="str">
        <f>IF(Table1[[#This Row],[Sales]]&gt;=30000,"High", IF(Table1[[#This Row],[Sales]]&gt;=15000,"Medium","Low"))</f>
        <v>High</v>
      </c>
      <c r="L40" t="str">
        <f>TEXT(Table1[[#This Row],[Order_Date]],"MMM")</f>
        <v>Jul</v>
      </c>
      <c r="M40" t="str">
        <f>IF(Table1[[#This Row],[Profit]]&gt;=10000,"Excellent",IF(Table1[[#This Row],[Profit]]&gt;5000,"Good","Low"))</f>
        <v>Excellent</v>
      </c>
      <c r="N40" t="str">
        <f>TEXT(Table1[[#This Row],[Order_Date]],"YYYY")</f>
        <v>2026</v>
      </c>
    </row>
    <row r="41" spans="1:14" x14ac:dyDescent="0.25">
      <c r="A41" s="1">
        <v>45697</v>
      </c>
      <c r="B41" t="s">
        <v>11</v>
      </c>
      <c r="C41" t="s">
        <v>12</v>
      </c>
      <c r="D41">
        <v>32728</v>
      </c>
      <c r="E41">
        <v>13359</v>
      </c>
      <c r="F41">
        <v>19369</v>
      </c>
      <c r="G41" t="s">
        <v>27</v>
      </c>
      <c r="H41" t="s">
        <v>78</v>
      </c>
      <c r="I41" t="s">
        <v>53</v>
      </c>
      <c r="J41" s="2">
        <f>Table1[[#This Row],[Profit]]/Table1[[#This Row],[Sales]]*100</f>
        <v>59.181740405768757</v>
      </c>
      <c r="K41" t="str">
        <f>IF(Table1[[#This Row],[Sales]]&gt;=30000,"High", IF(Table1[[#This Row],[Sales]]&gt;=15000,"Medium","Low"))</f>
        <v>High</v>
      </c>
      <c r="L41" t="str">
        <f>TEXT(Table1[[#This Row],[Order_Date]],"MMM")</f>
        <v>Feb</v>
      </c>
      <c r="M41" t="str">
        <f>IF(Table1[[#This Row],[Profit]]&gt;=10000,"Excellent",IF(Table1[[#This Row],[Profit]]&gt;5000,"Good","Low"))</f>
        <v>Excellent</v>
      </c>
      <c r="N41" t="str">
        <f>TEXT(Table1[[#This Row],[Order_Date]],"YYYY")</f>
        <v>2025</v>
      </c>
    </row>
    <row r="42" spans="1:14" x14ac:dyDescent="0.25">
      <c r="A42" s="1">
        <v>46042</v>
      </c>
      <c r="B42" t="s">
        <v>17</v>
      </c>
      <c r="C42" t="s">
        <v>33</v>
      </c>
      <c r="D42">
        <v>5248</v>
      </c>
      <c r="E42">
        <v>1766</v>
      </c>
      <c r="F42">
        <v>3482</v>
      </c>
      <c r="G42" t="s">
        <v>38</v>
      </c>
      <c r="H42" t="s">
        <v>63</v>
      </c>
      <c r="I42" t="s">
        <v>24</v>
      </c>
      <c r="J42" s="2">
        <f>Table1[[#This Row],[Profit]]/Table1[[#This Row],[Sales]]*100</f>
        <v>66.349085365853654</v>
      </c>
      <c r="K42" t="str">
        <f>IF(Table1[[#This Row],[Sales]]&gt;=30000,"High", IF(Table1[[#This Row],[Sales]]&gt;=15000,"Medium","Low"))</f>
        <v>Low</v>
      </c>
      <c r="L42" t="str">
        <f>TEXT(Table1[[#This Row],[Order_Date]],"MMM")</f>
        <v>Jan</v>
      </c>
      <c r="M42" t="str">
        <f>IF(Table1[[#This Row],[Profit]]&gt;=10000,"Excellent",IF(Table1[[#This Row],[Profit]]&gt;5000,"Good","Low"))</f>
        <v>Low</v>
      </c>
      <c r="N42" t="str">
        <f>TEXT(Table1[[#This Row],[Order_Date]],"YYYY")</f>
        <v>2026</v>
      </c>
    </row>
    <row r="43" spans="1:14" x14ac:dyDescent="0.25">
      <c r="A43" s="1">
        <v>45454</v>
      </c>
      <c r="B43" t="s">
        <v>22</v>
      </c>
      <c r="C43" t="s">
        <v>33</v>
      </c>
      <c r="D43">
        <v>49143</v>
      </c>
      <c r="E43">
        <v>44094</v>
      </c>
      <c r="F43">
        <v>5049</v>
      </c>
      <c r="G43" t="s">
        <v>38</v>
      </c>
      <c r="H43" t="s">
        <v>28</v>
      </c>
      <c r="I43" t="s">
        <v>24</v>
      </c>
      <c r="J43" s="2">
        <f>Table1[[#This Row],[Profit]]/Table1[[#This Row],[Sales]]*100</f>
        <v>10.274098040412673</v>
      </c>
      <c r="K43" t="str">
        <f>IF(Table1[[#This Row],[Sales]]&gt;=30000,"High", IF(Table1[[#This Row],[Sales]]&gt;=15000,"Medium","Low"))</f>
        <v>High</v>
      </c>
      <c r="L43" t="str">
        <f>TEXT(Table1[[#This Row],[Order_Date]],"MMM")</f>
        <v>Jun</v>
      </c>
      <c r="M43" t="str">
        <f>IF(Table1[[#This Row],[Profit]]&gt;=10000,"Excellent",IF(Table1[[#This Row],[Profit]]&gt;5000,"Good","Low"))</f>
        <v>Good</v>
      </c>
      <c r="N43" t="str">
        <f>TEXT(Table1[[#This Row],[Order_Date]],"YYYY")</f>
        <v>2024</v>
      </c>
    </row>
    <row r="44" spans="1:14" x14ac:dyDescent="0.25">
      <c r="A44" s="1">
        <v>45967</v>
      </c>
      <c r="B44" t="s">
        <v>44</v>
      </c>
      <c r="C44" t="s">
        <v>36</v>
      </c>
      <c r="D44">
        <v>35245</v>
      </c>
      <c r="E44">
        <v>24456</v>
      </c>
      <c r="F44">
        <v>10789</v>
      </c>
      <c r="G44" t="s">
        <v>19</v>
      </c>
      <c r="H44" t="s">
        <v>31</v>
      </c>
      <c r="I44" t="s">
        <v>24</v>
      </c>
      <c r="J44" s="2">
        <f>Table1[[#This Row],[Profit]]/Table1[[#This Row],[Sales]]*100</f>
        <v>30.611434245992342</v>
      </c>
      <c r="K44" t="str">
        <f>IF(Table1[[#This Row],[Sales]]&gt;=30000,"High", IF(Table1[[#This Row],[Sales]]&gt;=15000,"Medium","Low"))</f>
        <v>High</v>
      </c>
      <c r="L44" t="str">
        <f>TEXT(Table1[[#This Row],[Order_Date]],"MMM")</f>
        <v>Nov</v>
      </c>
      <c r="M44" t="str">
        <f>IF(Table1[[#This Row],[Profit]]&gt;=10000,"Excellent",IF(Table1[[#This Row],[Profit]]&gt;5000,"Good","Low"))</f>
        <v>Excellent</v>
      </c>
      <c r="N44" t="str">
        <f>TEXT(Table1[[#This Row],[Order_Date]],"YYYY")</f>
        <v>2025</v>
      </c>
    </row>
    <row r="45" spans="1:14" x14ac:dyDescent="0.25">
      <c r="A45" s="1">
        <v>46106</v>
      </c>
      <c r="B45" t="s">
        <v>26</v>
      </c>
      <c r="C45" t="s">
        <v>36</v>
      </c>
      <c r="D45">
        <v>6195</v>
      </c>
      <c r="E45">
        <v>1377</v>
      </c>
      <c r="F45">
        <v>4818</v>
      </c>
      <c r="G45" t="s">
        <v>27</v>
      </c>
      <c r="H45" t="s">
        <v>34</v>
      </c>
      <c r="I45" t="s">
        <v>29</v>
      </c>
      <c r="J45" s="2">
        <f>Table1[[#This Row],[Profit]]/Table1[[#This Row],[Sales]]*100</f>
        <v>77.772397094430985</v>
      </c>
      <c r="K45" t="str">
        <f>IF(Table1[[#This Row],[Sales]]&gt;=30000,"High", IF(Table1[[#This Row],[Sales]]&gt;=15000,"Medium","Low"))</f>
        <v>Low</v>
      </c>
      <c r="L45" t="str">
        <f>TEXT(Table1[[#This Row],[Order_Date]],"MMM")</f>
        <v>Mar</v>
      </c>
      <c r="M45" t="str">
        <f>IF(Table1[[#This Row],[Profit]]&gt;=10000,"Excellent",IF(Table1[[#This Row],[Profit]]&gt;5000,"Good","Low"))</f>
        <v>Low</v>
      </c>
      <c r="N45" t="str">
        <f>TEXT(Table1[[#This Row],[Order_Date]],"YYYY")</f>
        <v>2026</v>
      </c>
    </row>
    <row r="46" spans="1:14" x14ac:dyDescent="0.25">
      <c r="A46" s="1">
        <v>45262</v>
      </c>
      <c r="B46" t="s">
        <v>26</v>
      </c>
      <c r="C46" t="s">
        <v>12</v>
      </c>
      <c r="D46">
        <v>33208</v>
      </c>
      <c r="E46">
        <v>32124</v>
      </c>
      <c r="F46">
        <v>1084</v>
      </c>
      <c r="G46" t="s">
        <v>27</v>
      </c>
      <c r="H46" t="s">
        <v>63</v>
      </c>
      <c r="I46" t="s">
        <v>53</v>
      </c>
      <c r="J46" s="2">
        <f>Table1[[#This Row],[Profit]]/Table1[[#This Row],[Sales]]*100</f>
        <v>3.2642736689954233</v>
      </c>
      <c r="K46" t="str">
        <f>IF(Table1[[#This Row],[Sales]]&gt;=30000,"High", IF(Table1[[#This Row],[Sales]]&gt;=15000,"Medium","Low"))</f>
        <v>High</v>
      </c>
      <c r="L46" t="str">
        <f>TEXT(Table1[[#This Row],[Order_Date]],"MMM")</f>
        <v>Dec</v>
      </c>
      <c r="M46" t="str">
        <f>IF(Table1[[#This Row],[Profit]]&gt;=10000,"Excellent",IF(Table1[[#This Row],[Profit]]&gt;5000,"Good","Low"))</f>
        <v>Low</v>
      </c>
      <c r="N46" t="str">
        <f>TEXT(Table1[[#This Row],[Order_Date]],"YYYY")</f>
        <v>2023</v>
      </c>
    </row>
    <row r="47" spans="1:14" x14ac:dyDescent="0.25">
      <c r="A47" s="1">
        <v>45757</v>
      </c>
      <c r="B47" t="s">
        <v>44</v>
      </c>
      <c r="C47" t="s">
        <v>36</v>
      </c>
      <c r="D47">
        <v>7142</v>
      </c>
      <c r="E47">
        <v>2337</v>
      </c>
      <c r="F47">
        <v>4805</v>
      </c>
      <c r="G47" t="s">
        <v>19</v>
      </c>
      <c r="H47" t="s">
        <v>60</v>
      </c>
      <c r="I47" t="s">
        <v>53</v>
      </c>
      <c r="J47" s="2">
        <f>Table1[[#This Row],[Profit]]/Table1[[#This Row],[Sales]]*100</f>
        <v>67.278073368804257</v>
      </c>
      <c r="K47" t="str">
        <f>IF(Table1[[#This Row],[Sales]]&gt;=30000,"High", IF(Table1[[#This Row],[Sales]]&gt;=15000,"Medium","Low"))</f>
        <v>Low</v>
      </c>
      <c r="L47" t="str">
        <f>TEXT(Table1[[#This Row],[Order_Date]],"MMM")</f>
        <v>Apr</v>
      </c>
      <c r="M47" t="str">
        <f>IF(Table1[[#This Row],[Profit]]&gt;=10000,"Excellent",IF(Table1[[#This Row],[Profit]]&gt;5000,"Good","Low"))</f>
        <v>Low</v>
      </c>
      <c r="N47" t="str">
        <f>TEXT(Table1[[#This Row],[Order_Date]],"YYYY")</f>
        <v>2025</v>
      </c>
    </row>
    <row r="48" spans="1:14" x14ac:dyDescent="0.25">
      <c r="A48" s="1">
        <v>45454</v>
      </c>
      <c r="B48" t="s">
        <v>11</v>
      </c>
      <c r="C48" t="s">
        <v>36</v>
      </c>
      <c r="D48">
        <v>43896</v>
      </c>
      <c r="E48">
        <v>36481</v>
      </c>
      <c r="F48">
        <v>7415</v>
      </c>
      <c r="G48" t="s">
        <v>38</v>
      </c>
      <c r="H48" t="s">
        <v>34</v>
      </c>
      <c r="I48" t="s">
        <v>29</v>
      </c>
      <c r="J48" s="2">
        <f>Table1[[#This Row],[Profit]]/Table1[[#This Row],[Sales]]*100</f>
        <v>16.892199744851467</v>
      </c>
      <c r="K48" t="str">
        <f>IF(Table1[[#This Row],[Sales]]&gt;=30000,"High", IF(Table1[[#This Row],[Sales]]&gt;=15000,"Medium","Low"))</f>
        <v>High</v>
      </c>
      <c r="L48" t="str">
        <f>TEXT(Table1[[#This Row],[Order_Date]],"MMM")</f>
        <v>Jun</v>
      </c>
      <c r="M48" t="str">
        <f>IF(Table1[[#This Row],[Profit]]&gt;=10000,"Excellent",IF(Table1[[#This Row],[Profit]]&gt;5000,"Good","Low"))</f>
        <v>Good</v>
      </c>
      <c r="N48" t="str">
        <f>TEXT(Table1[[#This Row],[Order_Date]],"YYYY")</f>
        <v>2024</v>
      </c>
    </row>
    <row r="49" spans="1:14" x14ac:dyDescent="0.25">
      <c r="A49" s="1">
        <v>46104</v>
      </c>
      <c r="B49" t="s">
        <v>22</v>
      </c>
      <c r="C49" t="s">
        <v>41</v>
      </c>
      <c r="D49">
        <v>41008</v>
      </c>
      <c r="E49">
        <v>29787</v>
      </c>
      <c r="F49">
        <v>11221</v>
      </c>
      <c r="G49" t="s">
        <v>38</v>
      </c>
      <c r="H49" t="s">
        <v>45</v>
      </c>
      <c r="I49" t="s">
        <v>29</v>
      </c>
      <c r="J49" s="2">
        <f>Table1[[#This Row],[Profit]]/Table1[[#This Row],[Sales]]*100</f>
        <v>27.362953570035113</v>
      </c>
      <c r="K49" t="str">
        <f>IF(Table1[[#This Row],[Sales]]&gt;=30000,"High", IF(Table1[[#This Row],[Sales]]&gt;=15000,"Medium","Low"))</f>
        <v>High</v>
      </c>
      <c r="L49" t="str">
        <f>TEXT(Table1[[#This Row],[Order_Date]],"MMM")</f>
        <v>Mar</v>
      </c>
      <c r="M49" t="str">
        <f>IF(Table1[[#This Row],[Profit]]&gt;=10000,"Excellent",IF(Table1[[#This Row],[Profit]]&gt;5000,"Good","Low"))</f>
        <v>Excellent</v>
      </c>
      <c r="N49" t="str">
        <f>TEXT(Table1[[#This Row],[Order_Date]],"YYYY")</f>
        <v>2026</v>
      </c>
    </row>
    <row r="50" spans="1:14" x14ac:dyDescent="0.25">
      <c r="A50" s="1">
        <v>46054</v>
      </c>
      <c r="B50" t="s">
        <v>17</v>
      </c>
      <c r="C50" t="s">
        <v>18</v>
      </c>
      <c r="D50">
        <v>24012</v>
      </c>
      <c r="E50">
        <v>16505</v>
      </c>
      <c r="F50">
        <v>7507</v>
      </c>
      <c r="G50" t="s">
        <v>13</v>
      </c>
      <c r="H50" t="s">
        <v>20</v>
      </c>
      <c r="I50" t="s">
        <v>29</v>
      </c>
      <c r="J50" s="2">
        <f>Table1[[#This Row],[Profit]]/Table1[[#This Row],[Sales]]*100</f>
        <v>31.26353489921706</v>
      </c>
      <c r="K50" t="str">
        <f>IF(Table1[[#This Row],[Sales]]&gt;=30000,"High", IF(Table1[[#This Row],[Sales]]&gt;=15000,"Medium","Low"))</f>
        <v>Medium</v>
      </c>
      <c r="L50" t="str">
        <f>TEXT(Table1[[#This Row],[Order_Date]],"MMM")</f>
        <v>Feb</v>
      </c>
      <c r="M50" t="str">
        <f>IF(Table1[[#This Row],[Profit]]&gt;=10000,"Excellent",IF(Table1[[#This Row],[Profit]]&gt;5000,"Good","Low"))</f>
        <v>Good</v>
      </c>
      <c r="N50" t="str">
        <f>TEXT(Table1[[#This Row],[Order_Date]],"YYYY")</f>
        <v>2026</v>
      </c>
    </row>
    <row r="51" spans="1:14" x14ac:dyDescent="0.25">
      <c r="A51" s="1">
        <v>45980</v>
      </c>
      <c r="B51" t="s">
        <v>11</v>
      </c>
      <c r="C51" t="s">
        <v>33</v>
      </c>
      <c r="D51">
        <v>17542</v>
      </c>
      <c r="E51">
        <v>705</v>
      </c>
      <c r="F51">
        <v>16837</v>
      </c>
      <c r="G51" t="s">
        <v>19</v>
      </c>
      <c r="H51" t="s">
        <v>63</v>
      </c>
      <c r="I51" t="s">
        <v>42</v>
      </c>
      <c r="J51" s="2">
        <f>Table1[[#This Row],[Profit]]/Table1[[#This Row],[Sales]]*100</f>
        <v>95.981073993843353</v>
      </c>
      <c r="K51" t="str">
        <f>IF(Table1[[#This Row],[Sales]]&gt;=30000,"High", IF(Table1[[#This Row],[Sales]]&gt;=15000,"Medium","Low"))</f>
        <v>Medium</v>
      </c>
      <c r="L51" t="str">
        <f>TEXT(Table1[[#This Row],[Order_Date]],"MMM")</f>
        <v>Nov</v>
      </c>
      <c r="M51" t="str">
        <f>IF(Table1[[#This Row],[Profit]]&gt;=10000,"Excellent",IF(Table1[[#This Row],[Profit]]&gt;5000,"Good","Low"))</f>
        <v>Excellent</v>
      </c>
      <c r="N51" t="str">
        <f>TEXT(Table1[[#This Row],[Order_Date]],"YYYY")</f>
        <v>2025</v>
      </c>
    </row>
    <row r="52" spans="1:14" x14ac:dyDescent="0.25">
      <c r="A52" s="1">
        <v>45959</v>
      </c>
      <c r="B52" t="s">
        <v>17</v>
      </c>
      <c r="C52" t="s">
        <v>12</v>
      </c>
      <c r="D52">
        <v>46497</v>
      </c>
      <c r="E52">
        <v>37510</v>
      </c>
      <c r="F52">
        <v>8987</v>
      </c>
      <c r="G52" t="s">
        <v>27</v>
      </c>
      <c r="H52" t="s">
        <v>14</v>
      </c>
      <c r="I52" t="s">
        <v>53</v>
      </c>
      <c r="J52" s="2">
        <f>Table1[[#This Row],[Profit]]/Table1[[#This Row],[Sales]]*100</f>
        <v>19.328128696475041</v>
      </c>
      <c r="K52" t="str">
        <f>IF(Table1[[#This Row],[Sales]]&gt;=30000,"High", IF(Table1[[#This Row],[Sales]]&gt;=15000,"Medium","Low"))</f>
        <v>High</v>
      </c>
      <c r="L52" t="str">
        <f>TEXT(Table1[[#This Row],[Order_Date]],"MMM")</f>
        <v>Oct</v>
      </c>
      <c r="M52" t="str">
        <f>IF(Table1[[#This Row],[Profit]]&gt;=10000,"Excellent",IF(Table1[[#This Row],[Profit]]&gt;5000,"Good","Low"))</f>
        <v>Good</v>
      </c>
      <c r="N52" t="str">
        <f>TEXT(Table1[[#This Row],[Order_Date]],"YYYY")</f>
        <v>2025</v>
      </c>
    </row>
    <row r="53" spans="1:14" x14ac:dyDescent="0.25">
      <c r="A53" s="1">
        <v>45438</v>
      </c>
      <c r="B53" t="s">
        <v>17</v>
      </c>
      <c r="C53" t="s">
        <v>33</v>
      </c>
      <c r="D53">
        <v>13457</v>
      </c>
      <c r="E53">
        <v>7721</v>
      </c>
      <c r="F53">
        <v>5736</v>
      </c>
      <c r="G53" t="s">
        <v>38</v>
      </c>
      <c r="H53" t="s">
        <v>31</v>
      </c>
      <c r="I53" t="s">
        <v>24</v>
      </c>
      <c r="J53" s="2">
        <f>Table1[[#This Row],[Profit]]/Table1[[#This Row],[Sales]]*100</f>
        <v>42.624656312699713</v>
      </c>
      <c r="K53" t="str">
        <f>IF(Table1[[#This Row],[Sales]]&gt;=30000,"High", IF(Table1[[#This Row],[Sales]]&gt;=15000,"Medium","Low"))</f>
        <v>Low</v>
      </c>
      <c r="L53" t="str">
        <f>TEXT(Table1[[#This Row],[Order_Date]],"MMM")</f>
        <v>May</v>
      </c>
      <c r="M53" t="str">
        <f>IF(Table1[[#This Row],[Profit]]&gt;=10000,"Excellent",IF(Table1[[#This Row],[Profit]]&gt;5000,"Good","Low"))</f>
        <v>Good</v>
      </c>
      <c r="N53" t="str">
        <f>TEXT(Table1[[#This Row],[Order_Date]],"YYYY")</f>
        <v>2024</v>
      </c>
    </row>
    <row r="54" spans="1:14" x14ac:dyDescent="0.25">
      <c r="A54" s="1">
        <v>45833</v>
      </c>
      <c r="B54" t="s">
        <v>26</v>
      </c>
      <c r="C54" t="s">
        <v>41</v>
      </c>
      <c r="D54">
        <v>23992</v>
      </c>
      <c r="E54">
        <v>11909</v>
      </c>
      <c r="F54">
        <v>12083</v>
      </c>
      <c r="G54" t="s">
        <v>19</v>
      </c>
      <c r="H54" t="s">
        <v>60</v>
      </c>
      <c r="I54" t="s">
        <v>24</v>
      </c>
      <c r="J54" s="2">
        <f>Table1[[#This Row],[Profit]]/Table1[[#This Row],[Sales]]*100</f>
        <v>50.362620873624543</v>
      </c>
      <c r="K54" t="str">
        <f>IF(Table1[[#This Row],[Sales]]&gt;=30000,"High", IF(Table1[[#This Row],[Sales]]&gt;=15000,"Medium","Low"))</f>
        <v>Medium</v>
      </c>
      <c r="L54" t="str">
        <f>TEXT(Table1[[#This Row],[Order_Date]],"MMM")</f>
        <v>Jun</v>
      </c>
      <c r="M54" t="str">
        <f>IF(Table1[[#This Row],[Profit]]&gt;=10000,"Excellent",IF(Table1[[#This Row],[Profit]]&gt;5000,"Good","Low"))</f>
        <v>Excellent</v>
      </c>
      <c r="N54" t="str">
        <f>TEXT(Table1[[#This Row],[Order_Date]],"YYYY")</f>
        <v>2025</v>
      </c>
    </row>
    <row r="55" spans="1:14" x14ac:dyDescent="0.25">
      <c r="A55" s="1">
        <v>45725</v>
      </c>
      <c r="B55" t="s">
        <v>22</v>
      </c>
      <c r="C55" t="s">
        <v>33</v>
      </c>
      <c r="D55">
        <v>27359</v>
      </c>
      <c r="E55">
        <v>24661</v>
      </c>
      <c r="F55">
        <v>2698</v>
      </c>
      <c r="G55" t="s">
        <v>38</v>
      </c>
      <c r="H55" t="s">
        <v>23</v>
      </c>
      <c r="I55" t="s">
        <v>24</v>
      </c>
      <c r="J55" s="2">
        <f>Table1[[#This Row],[Profit]]/Table1[[#This Row],[Sales]]*100</f>
        <v>9.8614715450126091</v>
      </c>
      <c r="K55" t="str">
        <f>IF(Table1[[#This Row],[Sales]]&gt;=30000,"High", IF(Table1[[#This Row],[Sales]]&gt;=15000,"Medium","Low"))</f>
        <v>Medium</v>
      </c>
      <c r="L55" t="str">
        <f>TEXT(Table1[[#This Row],[Order_Date]],"MMM")</f>
        <v>Mar</v>
      </c>
      <c r="M55" t="str">
        <f>IF(Table1[[#This Row],[Profit]]&gt;=10000,"Excellent",IF(Table1[[#This Row],[Profit]]&gt;5000,"Good","Low"))</f>
        <v>Low</v>
      </c>
      <c r="N55" t="str">
        <f>TEXT(Table1[[#This Row],[Order_Date]],"YYYY")</f>
        <v>2025</v>
      </c>
    </row>
    <row r="56" spans="1:14" x14ac:dyDescent="0.25">
      <c r="A56" s="1">
        <v>45212</v>
      </c>
      <c r="B56" t="s">
        <v>11</v>
      </c>
      <c r="C56" t="s">
        <v>36</v>
      </c>
      <c r="D56">
        <v>40574</v>
      </c>
      <c r="E56">
        <v>39316</v>
      </c>
      <c r="F56">
        <v>1258</v>
      </c>
      <c r="G56" t="s">
        <v>38</v>
      </c>
      <c r="H56" t="s">
        <v>20</v>
      </c>
      <c r="I56" t="s">
        <v>29</v>
      </c>
      <c r="J56" s="2">
        <f>Table1[[#This Row],[Profit]]/Table1[[#This Row],[Sales]]*100</f>
        <v>3.1005077142997979</v>
      </c>
      <c r="K56" t="str">
        <f>IF(Table1[[#This Row],[Sales]]&gt;=30000,"High", IF(Table1[[#This Row],[Sales]]&gt;=15000,"Medium","Low"))</f>
        <v>High</v>
      </c>
      <c r="L56" t="str">
        <f>TEXT(Table1[[#This Row],[Order_Date]],"MMM")</f>
        <v>Oct</v>
      </c>
      <c r="M56" t="str">
        <f>IF(Table1[[#This Row],[Profit]]&gt;=10000,"Excellent",IF(Table1[[#This Row],[Profit]]&gt;5000,"Good","Low"))</f>
        <v>Low</v>
      </c>
      <c r="N56" t="str">
        <f>TEXT(Table1[[#This Row],[Order_Date]],"YYYY")</f>
        <v>2023</v>
      </c>
    </row>
    <row r="57" spans="1:14" x14ac:dyDescent="0.25">
      <c r="A57" s="1">
        <v>45301</v>
      </c>
      <c r="B57" t="s">
        <v>11</v>
      </c>
      <c r="C57" t="s">
        <v>36</v>
      </c>
      <c r="D57">
        <v>13029</v>
      </c>
      <c r="E57">
        <v>2500</v>
      </c>
      <c r="F57">
        <v>10529</v>
      </c>
      <c r="G57" t="s">
        <v>27</v>
      </c>
      <c r="H57" t="s">
        <v>20</v>
      </c>
      <c r="I57" t="s">
        <v>53</v>
      </c>
      <c r="J57" s="2">
        <f>Table1[[#This Row],[Profit]]/Table1[[#This Row],[Sales]]*100</f>
        <v>80.812034691841276</v>
      </c>
      <c r="K57" t="str">
        <f>IF(Table1[[#This Row],[Sales]]&gt;=30000,"High", IF(Table1[[#This Row],[Sales]]&gt;=15000,"Medium","Low"))</f>
        <v>Low</v>
      </c>
      <c r="L57" t="str">
        <f>TEXT(Table1[[#This Row],[Order_Date]],"MMM")</f>
        <v>Jan</v>
      </c>
      <c r="M57" t="str">
        <f>IF(Table1[[#This Row],[Profit]]&gt;=10000,"Excellent",IF(Table1[[#This Row],[Profit]]&gt;5000,"Good","Low"))</f>
        <v>Excellent</v>
      </c>
      <c r="N57" t="str">
        <f>TEXT(Table1[[#This Row],[Order_Date]],"YYYY")</f>
        <v>2024</v>
      </c>
    </row>
    <row r="58" spans="1:14" x14ac:dyDescent="0.25">
      <c r="A58" s="1">
        <v>45960</v>
      </c>
      <c r="B58" t="s">
        <v>11</v>
      </c>
      <c r="C58" t="s">
        <v>12</v>
      </c>
      <c r="D58">
        <v>45583</v>
      </c>
      <c r="E58">
        <v>27319</v>
      </c>
      <c r="F58">
        <v>18264</v>
      </c>
      <c r="G58" t="s">
        <v>38</v>
      </c>
      <c r="H58" t="s">
        <v>34</v>
      </c>
      <c r="I58" t="s">
        <v>42</v>
      </c>
      <c r="J58" s="2">
        <f>Table1[[#This Row],[Profit]]/Table1[[#This Row],[Sales]]*100</f>
        <v>40.067569049865085</v>
      </c>
      <c r="K58" t="str">
        <f>IF(Table1[[#This Row],[Sales]]&gt;=30000,"High", IF(Table1[[#This Row],[Sales]]&gt;=15000,"Medium","Low"))</f>
        <v>High</v>
      </c>
      <c r="L58" t="str">
        <f>TEXT(Table1[[#This Row],[Order_Date]],"MMM")</f>
        <v>Oct</v>
      </c>
      <c r="M58" t="str">
        <f>IF(Table1[[#This Row],[Profit]]&gt;=10000,"Excellent",IF(Table1[[#This Row],[Profit]]&gt;5000,"Good","Low"))</f>
        <v>Excellent</v>
      </c>
      <c r="N58" t="str">
        <f>TEXT(Table1[[#This Row],[Order_Date]],"YYYY")</f>
        <v>2025</v>
      </c>
    </row>
    <row r="59" spans="1:14" x14ac:dyDescent="0.25">
      <c r="A59" s="1">
        <v>45718</v>
      </c>
      <c r="B59" t="s">
        <v>26</v>
      </c>
      <c r="C59" t="s">
        <v>12</v>
      </c>
      <c r="D59">
        <v>22218</v>
      </c>
      <c r="E59">
        <v>6224</v>
      </c>
      <c r="F59">
        <v>15994</v>
      </c>
      <c r="G59" t="s">
        <v>38</v>
      </c>
      <c r="H59" t="s">
        <v>60</v>
      </c>
      <c r="I59" t="s">
        <v>42</v>
      </c>
      <c r="J59" s="2">
        <f>Table1[[#This Row],[Profit]]/Table1[[#This Row],[Sales]]*100</f>
        <v>71.986677468719051</v>
      </c>
      <c r="K59" t="str">
        <f>IF(Table1[[#This Row],[Sales]]&gt;=30000,"High", IF(Table1[[#This Row],[Sales]]&gt;=15000,"Medium","Low"))</f>
        <v>Medium</v>
      </c>
      <c r="L59" t="str">
        <f>TEXT(Table1[[#This Row],[Order_Date]],"MMM")</f>
        <v>Mar</v>
      </c>
      <c r="M59" t="str">
        <f>IF(Table1[[#This Row],[Profit]]&gt;=10000,"Excellent",IF(Table1[[#This Row],[Profit]]&gt;5000,"Good","Low"))</f>
        <v>Excellent</v>
      </c>
      <c r="N59" t="str">
        <f>TEXT(Table1[[#This Row],[Order_Date]],"YYYY")</f>
        <v>2025</v>
      </c>
    </row>
    <row r="60" spans="1:14" x14ac:dyDescent="0.25">
      <c r="A60" s="1">
        <v>45718</v>
      </c>
      <c r="B60" t="s">
        <v>17</v>
      </c>
      <c r="C60" t="s">
        <v>41</v>
      </c>
      <c r="D60">
        <v>13731</v>
      </c>
      <c r="E60">
        <v>6435</v>
      </c>
      <c r="F60">
        <v>7296</v>
      </c>
      <c r="G60" t="s">
        <v>13</v>
      </c>
      <c r="H60" t="s">
        <v>31</v>
      </c>
      <c r="I60" t="s">
        <v>15</v>
      </c>
      <c r="J60" s="2">
        <f>Table1[[#This Row],[Profit]]/Table1[[#This Row],[Sales]]*100</f>
        <v>53.135241424513865</v>
      </c>
      <c r="K60" t="str">
        <f>IF(Table1[[#This Row],[Sales]]&gt;=30000,"High", IF(Table1[[#This Row],[Sales]]&gt;=15000,"Medium","Low"))</f>
        <v>Low</v>
      </c>
      <c r="L60" t="str">
        <f>TEXT(Table1[[#This Row],[Order_Date]],"MMM")</f>
        <v>Mar</v>
      </c>
      <c r="M60" t="str">
        <f>IF(Table1[[#This Row],[Profit]]&gt;=10000,"Excellent",IF(Table1[[#This Row],[Profit]]&gt;5000,"Good","Low"))</f>
        <v>Good</v>
      </c>
      <c r="N60" t="str">
        <f>TEXT(Table1[[#This Row],[Order_Date]],"YYYY")</f>
        <v>2025</v>
      </c>
    </row>
    <row r="61" spans="1:14" x14ac:dyDescent="0.25">
      <c r="A61" s="1">
        <v>45554</v>
      </c>
      <c r="B61" t="s">
        <v>22</v>
      </c>
      <c r="C61" t="s">
        <v>33</v>
      </c>
      <c r="D61">
        <v>43161</v>
      </c>
      <c r="E61">
        <v>32410</v>
      </c>
      <c r="F61">
        <v>10751</v>
      </c>
      <c r="G61" t="s">
        <v>13</v>
      </c>
      <c r="H61" t="s">
        <v>60</v>
      </c>
      <c r="I61" t="s">
        <v>29</v>
      </c>
      <c r="J61" s="2">
        <f>Table1[[#This Row],[Profit]]/Table1[[#This Row],[Sales]]*100</f>
        <v>24.909061421190426</v>
      </c>
      <c r="K61" t="str">
        <f>IF(Table1[[#This Row],[Sales]]&gt;=30000,"High", IF(Table1[[#This Row],[Sales]]&gt;=15000,"Medium","Low"))</f>
        <v>High</v>
      </c>
      <c r="L61" t="str">
        <f>TEXT(Table1[[#This Row],[Order_Date]],"MMM")</f>
        <v>Sep</v>
      </c>
      <c r="M61" t="str">
        <f>IF(Table1[[#This Row],[Profit]]&gt;=10000,"Excellent",IF(Table1[[#This Row],[Profit]]&gt;5000,"Good","Low"))</f>
        <v>Excellent</v>
      </c>
      <c r="N61" t="str">
        <f>TEXT(Table1[[#This Row],[Order_Date]],"YYYY")</f>
        <v>2024</v>
      </c>
    </row>
    <row r="62" spans="1:14" x14ac:dyDescent="0.25">
      <c r="A62" s="1">
        <v>45963</v>
      </c>
      <c r="B62" t="s">
        <v>26</v>
      </c>
      <c r="C62" t="s">
        <v>41</v>
      </c>
      <c r="D62">
        <v>12406</v>
      </c>
      <c r="E62">
        <v>6371</v>
      </c>
      <c r="F62">
        <v>6035</v>
      </c>
      <c r="G62" t="s">
        <v>27</v>
      </c>
      <c r="H62" t="s">
        <v>23</v>
      </c>
      <c r="I62" t="s">
        <v>53</v>
      </c>
      <c r="J62" s="2">
        <f>Table1[[#This Row],[Profit]]/Table1[[#This Row],[Sales]]*100</f>
        <v>48.645816540383684</v>
      </c>
      <c r="K62" t="str">
        <f>IF(Table1[[#This Row],[Sales]]&gt;=30000,"High", IF(Table1[[#This Row],[Sales]]&gt;=15000,"Medium","Low"))</f>
        <v>Low</v>
      </c>
      <c r="L62" t="str">
        <f>TEXT(Table1[[#This Row],[Order_Date]],"MMM")</f>
        <v>Nov</v>
      </c>
      <c r="M62" t="str">
        <f>IF(Table1[[#This Row],[Profit]]&gt;=10000,"Excellent",IF(Table1[[#This Row],[Profit]]&gt;5000,"Good","Low"))</f>
        <v>Good</v>
      </c>
      <c r="N62" t="str">
        <f>TEXT(Table1[[#This Row],[Order_Date]],"YYYY")</f>
        <v>2025</v>
      </c>
    </row>
    <row r="63" spans="1:14" x14ac:dyDescent="0.25">
      <c r="A63" s="1">
        <v>45653</v>
      </c>
      <c r="B63" t="s">
        <v>17</v>
      </c>
      <c r="C63" t="s">
        <v>41</v>
      </c>
      <c r="D63">
        <v>37256</v>
      </c>
      <c r="E63">
        <v>25241</v>
      </c>
      <c r="F63">
        <v>12015</v>
      </c>
      <c r="G63" t="s">
        <v>27</v>
      </c>
      <c r="H63" t="s">
        <v>45</v>
      </c>
      <c r="I63" t="s">
        <v>15</v>
      </c>
      <c r="J63" s="2">
        <f>Table1[[#This Row],[Profit]]/Table1[[#This Row],[Sales]]*100</f>
        <v>32.249838952115098</v>
      </c>
      <c r="K63" t="str">
        <f>IF(Table1[[#This Row],[Sales]]&gt;=30000,"High", IF(Table1[[#This Row],[Sales]]&gt;=15000,"Medium","Low"))</f>
        <v>High</v>
      </c>
      <c r="L63" t="str">
        <f>TEXT(Table1[[#This Row],[Order_Date]],"MMM")</f>
        <v>Dec</v>
      </c>
      <c r="M63" t="str">
        <f>IF(Table1[[#This Row],[Profit]]&gt;=10000,"Excellent",IF(Table1[[#This Row],[Profit]]&gt;5000,"Good","Low"))</f>
        <v>Excellent</v>
      </c>
      <c r="N63" t="str">
        <f>TEXT(Table1[[#This Row],[Order_Date]],"YYYY")</f>
        <v>2024</v>
      </c>
    </row>
    <row r="64" spans="1:14" x14ac:dyDescent="0.25">
      <c r="A64" s="1">
        <v>46206</v>
      </c>
      <c r="B64" t="s">
        <v>17</v>
      </c>
      <c r="C64" t="s">
        <v>18</v>
      </c>
      <c r="D64">
        <v>25152</v>
      </c>
      <c r="E64">
        <v>15567</v>
      </c>
      <c r="F64">
        <v>9585</v>
      </c>
      <c r="G64" t="s">
        <v>13</v>
      </c>
      <c r="H64" t="s">
        <v>60</v>
      </c>
      <c r="I64" t="s">
        <v>29</v>
      </c>
      <c r="J64" s="2">
        <f>Table1[[#This Row],[Profit]]/Table1[[#This Row],[Sales]]*100</f>
        <v>38.108301526717561</v>
      </c>
      <c r="K64" t="str">
        <f>IF(Table1[[#This Row],[Sales]]&gt;=30000,"High", IF(Table1[[#This Row],[Sales]]&gt;=15000,"Medium","Low"))</f>
        <v>Medium</v>
      </c>
      <c r="L64" t="str">
        <f>TEXT(Table1[[#This Row],[Order_Date]],"MMM")</f>
        <v>Jul</v>
      </c>
      <c r="M64" t="str">
        <f>IF(Table1[[#This Row],[Profit]]&gt;=10000,"Excellent",IF(Table1[[#This Row],[Profit]]&gt;5000,"Good","Low"))</f>
        <v>Good</v>
      </c>
      <c r="N64" t="str">
        <f>TEXT(Table1[[#This Row],[Order_Date]],"YYYY")</f>
        <v>2026</v>
      </c>
    </row>
    <row r="65" spans="1:14" x14ac:dyDescent="0.25">
      <c r="A65" s="1">
        <v>45240</v>
      </c>
      <c r="B65" t="s">
        <v>22</v>
      </c>
      <c r="C65" t="s">
        <v>41</v>
      </c>
      <c r="D65">
        <v>27217</v>
      </c>
      <c r="E65">
        <v>12307</v>
      </c>
      <c r="F65">
        <v>14910</v>
      </c>
      <c r="G65" t="s">
        <v>38</v>
      </c>
      <c r="H65" t="s">
        <v>31</v>
      </c>
      <c r="I65" t="s">
        <v>29</v>
      </c>
      <c r="J65" s="2">
        <f>Table1[[#This Row],[Profit]]/Table1[[#This Row],[Sales]]*100</f>
        <v>54.781937759488549</v>
      </c>
      <c r="K65" t="str">
        <f>IF(Table1[[#This Row],[Sales]]&gt;=30000,"High", IF(Table1[[#This Row],[Sales]]&gt;=15000,"Medium","Low"))</f>
        <v>Medium</v>
      </c>
      <c r="L65" t="str">
        <f>TEXT(Table1[[#This Row],[Order_Date]],"MMM")</f>
        <v>Nov</v>
      </c>
      <c r="M65" t="str">
        <f>IF(Table1[[#This Row],[Profit]]&gt;=10000,"Excellent",IF(Table1[[#This Row],[Profit]]&gt;5000,"Good","Low"))</f>
        <v>Excellent</v>
      </c>
      <c r="N65" t="str">
        <f>TEXT(Table1[[#This Row],[Order_Date]],"YYYY")</f>
        <v>2023</v>
      </c>
    </row>
    <row r="66" spans="1:14" x14ac:dyDescent="0.25">
      <c r="A66" s="1">
        <v>45848</v>
      </c>
      <c r="B66" t="s">
        <v>44</v>
      </c>
      <c r="C66" t="s">
        <v>18</v>
      </c>
      <c r="D66">
        <v>20714</v>
      </c>
      <c r="E66">
        <v>6025</v>
      </c>
      <c r="F66">
        <v>14689</v>
      </c>
      <c r="G66" t="s">
        <v>19</v>
      </c>
      <c r="H66" t="s">
        <v>31</v>
      </c>
      <c r="I66" t="s">
        <v>29</v>
      </c>
      <c r="J66" s="2">
        <f>Table1[[#This Row],[Profit]]/Table1[[#This Row],[Sales]]*100</f>
        <v>70.913391908853924</v>
      </c>
      <c r="K66" t="str">
        <f>IF(Table1[[#This Row],[Sales]]&gt;=30000,"High", IF(Table1[[#This Row],[Sales]]&gt;=15000,"Medium","Low"))</f>
        <v>Medium</v>
      </c>
      <c r="L66" t="str">
        <f>TEXT(Table1[[#This Row],[Order_Date]],"MMM")</f>
        <v>Jul</v>
      </c>
      <c r="M66" t="str">
        <f>IF(Table1[[#This Row],[Profit]]&gt;=10000,"Excellent",IF(Table1[[#This Row],[Profit]]&gt;5000,"Good","Low"))</f>
        <v>Excellent</v>
      </c>
      <c r="N66" t="str">
        <f>TEXT(Table1[[#This Row],[Order_Date]],"YYYY")</f>
        <v>2025</v>
      </c>
    </row>
    <row r="67" spans="1:14" x14ac:dyDescent="0.25">
      <c r="A67" s="1">
        <v>46067</v>
      </c>
      <c r="B67" t="s">
        <v>26</v>
      </c>
      <c r="C67" t="s">
        <v>12</v>
      </c>
      <c r="D67">
        <v>8679</v>
      </c>
      <c r="E67">
        <v>4484</v>
      </c>
      <c r="F67">
        <v>4195</v>
      </c>
      <c r="G67" t="s">
        <v>19</v>
      </c>
      <c r="H67" t="s">
        <v>60</v>
      </c>
      <c r="I67" t="s">
        <v>15</v>
      </c>
      <c r="J67" s="2">
        <f>Table1[[#This Row],[Profit]]/Table1[[#This Row],[Sales]]*100</f>
        <v>48.335061643046437</v>
      </c>
      <c r="K67" t="str">
        <f>IF(Table1[[#This Row],[Sales]]&gt;=30000,"High", IF(Table1[[#This Row],[Sales]]&gt;=15000,"Medium","Low"))</f>
        <v>Low</v>
      </c>
      <c r="L67" t="str">
        <f>TEXT(Table1[[#This Row],[Order_Date]],"MMM")</f>
        <v>Feb</v>
      </c>
      <c r="M67" t="str">
        <f>IF(Table1[[#This Row],[Profit]]&gt;=10000,"Excellent",IF(Table1[[#This Row],[Profit]]&gt;5000,"Good","Low"))</f>
        <v>Low</v>
      </c>
      <c r="N67" t="str">
        <f>TEXT(Table1[[#This Row],[Order_Date]],"YYYY")</f>
        <v>2026</v>
      </c>
    </row>
    <row r="68" spans="1:14" x14ac:dyDescent="0.25">
      <c r="A68" s="1">
        <v>45390</v>
      </c>
      <c r="B68" t="s">
        <v>11</v>
      </c>
      <c r="C68" t="s">
        <v>12</v>
      </c>
      <c r="D68">
        <v>40079</v>
      </c>
      <c r="E68">
        <v>29291</v>
      </c>
      <c r="F68">
        <v>10788</v>
      </c>
      <c r="G68" t="s">
        <v>13</v>
      </c>
      <c r="H68" t="s">
        <v>78</v>
      </c>
      <c r="I68" t="s">
        <v>42</v>
      </c>
      <c r="J68" s="2">
        <f>Table1[[#This Row],[Profit]]/Table1[[#This Row],[Sales]]*100</f>
        <v>26.916839242496071</v>
      </c>
      <c r="K68" t="str">
        <f>IF(Table1[[#This Row],[Sales]]&gt;=30000,"High", IF(Table1[[#This Row],[Sales]]&gt;=15000,"Medium","Low"))</f>
        <v>High</v>
      </c>
      <c r="L68" t="str">
        <f>TEXT(Table1[[#This Row],[Order_Date]],"MMM")</f>
        <v>Apr</v>
      </c>
      <c r="M68" t="str">
        <f>IF(Table1[[#This Row],[Profit]]&gt;=10000,"Excellent",IF(Table1[[#This Row],[Profit]]&gt;5000,"Good","Low"))</f>
        <v>Excellent</v>
      </c>
      <c r="N68" t="str">
        <f>TEXT(Table1[[#This Row],[Order_Date]],"YYYY")</f>
        <v>2024</v>
      </c>
    </row>
    <row r="69" spans="1:14" x14ac:dyDescent="0.25">
      <c r="A69" s="1">
        <v>45514</v>
      </c>
      <c r="B69" t="s">
        <v>44</v>
      </c>
      <c r="C69" t="s">
        <v>33</v>
      </c>
      <c r="D69">
        <v>48138</v>
      </c>
      <c r="E69">
        <v>41248</v>
      </c>
      <c r="F69">
        <v>6890</v>
      </c>
      <c r="G69" t="s">
        <v>13</v>
      </c>
      <c r="H69" t="s">
        <v>14</v>
      </c>
      <c r="I69" t="s">
        <v>15</v>
      </c>
      <c r="J69" s="2">
        <f>Table1[[#This Row],[Profit]]/Table1[[#This Row],[Sales]]*100</f>
        <v>14.313016743529019</v>
      </c>
      <c r="K69" t="str">
        <f>IF(Table1[[#This Row],[Sales]]&gt;=30000,"High", IF(Table1[[#This Row],[Sales]]&gt;=15000,"Medium","Low"))</f>
        <v>High</v>
      </c>
      <c r="L69" t="str">
        <f>TEXT(Table1[[#This Row],[Order_Date]],"MMM")</f>
        <v>Aug</v>
      </c>
      <c r="M69" t="str">
        <f>IF(Table1[[#This Row],[Profit]]&gt;=10000,"Excellent",IF(Table1[[#This Row],[Profit]]&gt;5000,"Good","Low"))</f>
        <v>Good</v>
      </c>
      <c r="N69" t="str">
        <f>TEXT(Table1[[#This Row],[Order_Date]],"YYYY")</f>
        <v>2024</v>
      </c>
    </row>
    <row r="70" spans="1:14" x14ac:dyDescent="0.25">
      <c r="A70" s="1">
        <v>45439</v>
      </c>
      <c r="B70" t="s">
        <v>17</v>
      </c>
      <c r="C70" t="s">
        <v>36</v>
      </c>
      <c r="D70">
        <v>29301</v>
      </c>
      <c r="E70">
        <v>27418</v>
      </c>
      <c r="F70">
        <v>1883</v>
      </c>
      <c r="G70" t="s">
        <v>27</v>
      </c>
      <c r="H70" t="s">
        <v>34</v>
      </c>
      <c r="I70" t="s">
        <v>42</v>
      </c>
      <c r="J70" s="2">
        <f>Table1[[#This Row],[Profit]]/Table1[[#This Row],[Sales]]*100</f>
        <v>6.4264018292891025</v>
      </c>
      <c r="K70" t="str">
        <f>IF(Table1[[#This Row],[Sales]]&gt;=30000,"High", IF(Table1[[#This Row],[Sales]]&gt;=15000,"Medium","Low"))</f>
        <v>Medium</v>
      </c>
      <c r="L70" t="str">
        <f>TEXT(Table1[[#This Row],[Order_Date]],"MMM")</f>
        <v>May</v>
      </c>
      <c r="M70" t="str">
        <f>IF(Table1[[#This Row],[Profit]]&gt;=10000,"Excellent",IF(Table1[[#This Row],[Profit]]&gt;5000,"Good","Low"))</f>
        <v>Low</v>
      </c>
      <c r="N70" t="str">
        <f>TEXT(Table1[[#This Row],[Order_Date]],"YYYY")</f>
        <v>2024</v>
      </c>
    </row>
    <row r="71" spans="1:14" x14ac:dyDescent="0.25">
      <c r="A71" s="1">
        <v>45533</v>
      </c>
      <c r="B71" t="s">
        <v>11</v>
      </c>
      <c r="C71" t="s">
        <v>18</v>
      </c>
      <c r="D71">
        <v>47046</v>
      </c>
      <c r="E71">
        <v>27858</v>
      </c>
      <c r="F71">
        <v>19188</v>
      </c>
      <c r="G71" t="s">
        <v>38</v>
      </c>
      <c r="H71" t="s">
        <v>31</v>
      </c>
      <c r="I71" t="s">
        <v>42</v>
      </c>
      <c r="J71" s="2">
        <f>Table1[[#This Row],[Profit]]/Table1[[#This Row],[Sales]]*100</f>
        <v>40.785614079836755</v>
      </c>
      <c r="K71" t="str">
        <f>IF(Table1[[#This Row],[Sales]]&gt;=30000,"High", IF(Table1[[#This Row],[Sales]]&gt;=15000,"Medium","Low"))</f>
        <v>High</v>
      </c>
      <c r="L71" t="str">
        <f>TEXT(Table1[[#This Row],[Order_Date]],"MMM")</f>
        <v>Aug</v>
      </c>
      <c r="M71" t="str">
        <f>IF(Table1[[#This Row],[Profit]]&gt;=10000,"Excellent",IF(Table1[[#This Row],[Profit]]&gt;5000,"Good","Low"))</f>
        <v>Excellent</v>
      </c>
      <c r="N71" t="str">
        <f>TEXT(Table1[[#This Row],[Order_Date]],"YYYY")</f>
        <v>2024</v>
      </c>
    </row>
    <row r="72" spans="1:14" x14ac:dyDescent="0.25">
      <c r="A72" s="1">
        <v>45360</v>
      </c>
      <c r="B72" t="s">
        <v>44</v>
      </c>
      <c r="C72" t="s">
        <v>36</v>
      </c>
      <c r="D72">
        <v>29189</v>
      </c>
      <c r="E72">
        <v>21366</v>
      </c>
      <c r="F72">
        <v>7823</v>
      </c>
      <c r="G72" t="s">
        <v>13</v>
      </c>
      <c r="H72" t="s">
        <v>78</v>
      </c>
      <c r="I72" t="s">
        <v>29</v>
      </c>
      <c r="J72" s="2">
        <f>Table1[[#This Row],[Profit]]/Table1[[#This Row],[Sales]]*100</f>
        <v>26.801192229949638</v>
      </c>
      <c r="K72" t="str">
        <f>IF(Table1[[#This Row],[Sales]]&gt;=30000,"High", IF(Table1[[#This Row],[Sales]]&gt;=15000,"Medium","Low"))</f>
        <v>Medium</v>
      </c>
      <c r="L72" t="str">
        <f>TEXT(Table1[[#This Row],[Order_Date]],"MMM")</f>
        <v>Mar</v>
      </c>
      <c r="M72" t="str">
        <f>IF(Table1[[#This Row],[Profit]]&gt;=10000,"Excellent",IF(Table1[[#This Row],[Profit]]&gt;5000,"Good","Low"))</f>
        <v>Good</v>
      </c>
      <c r="N72" t="str">
        <f>TEXT(Table1[[#This Row],[Order_Date]],"YYYY")</f>
        <v>2024</v>
      </c>
    </row>
    <row r="73" spans="1:14" x14ac:dyDescent="0.25">
      <c r="A73" s="1">
        <v>45807</v>
      </c>
      <c r="B73" t="s">
        <v>22</v>
      </c>
      <c r="C73" t="s">
        <v>33</v>
      </c>
      <c r="D73">
        <v>28369</v>
      </c>
      <c r="E73">
        <v>22188</v>
      </c>
      <c r="F73">
        <v>6181</v>
      </c>
      <c r="G73" t="s">
        <v>27</v>
      </c>
      <c r="H73" t="s">
        <v>63</v>
      </c>
      <c r="I73" t="s">
        <v>24</v>
      </c>
      <c r="J73" s="2">
        <f>Table1[[#This Row],[Profit]]/Table1[[#This Row],[Sales]]*100</f>
        <v>21.787867037963977</v>
      </c>
      <c r="K73" t="str">
        <f>IF(Table1[[#This Row],[Sales]]&gt;=30000,"High", IF(Table1[[#This Row],[Sales]]&gt;=15000,"Medium","Low"))</f>
        <v>Medium</v>
      </c>
      <c r="L73" t="str">
        <f>TEXT(Table1[[#This Row],[Order_Date]],"MMM")</f>
        <v>May</v>
      </c>
      <c r="M73" t="str">
        <f>IF(Table1[[#This Row],[Profit]]&gt;=10000,"Excellent",IF(Table1[[#This Row],[Profit]]&gt;5000,"Good","Low"))</f>
        <v>Good</v>
      </c>
      <c r="N73" t="str">
        <f>TEXT(Table1[[#This Row],[Order_Date]],"YYYY")</f>
        <v>2025</v>
      </c>
    </row>
    <row r="74" spans="1:14" x14ac:dyDescent="0.25">
      <c r="A74" s="1">
        <v>45146</v>
      </c>
      <c r="B74" t="s">
        <v>44</v>
      </c>
      <c r="C74" t="s">
        <v>41</v>
      </c>
      <c r="D74">
        <v>34304</v>
      </c>
      <c r="E74">
        <v>17435</v>
      </c>
      <c r="F74">
        <v>16869</v>
      </c>
      <c r="G74" t="s">
        <v>27</v>
      </c>
      <c r="H74" t="s">
        <v>60</v>
      </c>
      <c r="I74" t="s">
        <v>24</v>
      </c>
      <c r="J74" s="2">
        <f>Table1[[#This Row],[Profit]]/Table1[[#This Row],[Sales]]*100</f>
        <v>49.175023320895519</v>
      </c>
      <c r="K74" t="str">
        <f>IF(Table1[[#This Row],[Sales]]&gt;=30000,"High", IF(Table1[[#This Row],[Sales]]&gt;=15000,"Medium","Low"))</f>
        <v>High</v>
      </c>
      <c r="L74" t="str">
        <f>TEXT(Table1[[#This Row],[Order_Date]],"MMM")</f>
        <v>Aug</v>
      </c>
      <c r="M74" t="str">
        <f>IF(Table1[[#This Row],[Profit]]&gt;=10000,"Excellent",IF(Table1[[#This Row],[Profit]]&gt;5000,"Good","Low"))</f>
        <v>Excellent</v>
      </c>
      <c r="N74" t="str">
        <f>TEXT(Table1[[#This Row],[Order_Date]],"YYYY")</f>
        <v>2023</v>
      </c>
    </row>
    <row r="75" spans="1:14" x14ac:dyDescent="0.25">
      <c r="A75" s="1">
        <v>45413</v>
      </c>
      <c r="B75" t="s">
        <v>44</v>
      </c>
      <c r="C75" t="s">
        <v>41</v>
      </c>
      <c r="D75">
        <v>26755</v>
      </c>
      <c r="E75">
        <v>7361</v>
      </c>
      <c r="F75">
        <v>19394</v>
      </c>
      <c r="G75" t="s">
        <v>19</v>
      </c>
      <c r="H75" t="s">
        <v>34</v>
      </c>
      <c r="I75" t="s">
        <v>42</v>
      </c>
      <c r="J75" s="2">
        <f>Table1[[#This Row],[Profit]]/Table1[[#This Row],[Sales]]*100</f>
        <v>72.487385535413935</v>
      </c>
      <c r="K75" t="str">
        <f>IF(Table1[[#This Row],[Sales]]&gt;=30000,"High", IF(Table1[[#This Row],[Sales]]&gt;=15000,"Medium","Low"))</f>
        <v>Medium</v>
      </c>
      <c r="L75" t="str">
        <f>TEXT(Table1[[#This Row],[Order_Date]],"MMM")</f>
        <v>May</v>
      </c>
      <c r="M75" t="str">
        <f>IF(Table1[[#This Row],[Profit]]&gt;=10000,"Excellent",IF(Table1[[#This Row],[Profit]]&gt;5000,"Good","Low"))</f>
        <v>Excellent</v>
      </c>
      <c r="N75" t="str">
        <f>TEXT(Table1[[#This Row],[Order_Date]],"YYYY")</f>
        <v>2024</v>
      </c>
    </row>
    <row r="76" spans="1:14" x14ac:dyDescent="0.25">
      <c r="A76" s="1">
        <v>45230</v>
      </c>
      <c r="B76" t="s">
        <v>11</v>
      </c>
      <c r="C76" t="s">
        <v>33</v>
      </c>
      <c r="D76">
        <v>14298</v>
      </c>
      <c r="E76">
        <v>2680</v>
      </c>
      <c r="F76">
        <v>11618</v>
      </c>
      <c r="G76" t="s">
        <v>38</v>
      </c>
      <c r="H76" t="s">
        <v>34</v>
      </c>
      <c r="I76" t="s">
        <v>24</v>
      </c>
      <c r="J76" s="2">
        <f>Table1[[#This Row],[Profit]]/Table1[[#This Row],[Sales]]*100</f>
        <v>81.256119737026154</v>
      </c>
      <c r="K76" t="str">
        <f>IF(Table1[[#This Row],[Sales]]&gt;=30000,"High", IF(Table1[[#This Row],[Sales]]&gt;=15000,"Medium","Low"))</f>
        <v>Low</v>
      </c>
      <c r="L76" t="str">
        <f>TEXT(Table1[[#This Row],[Order_Date]],"MMM")</f>
        <v>Oct</v>
      </c>
      <c r="M76" t="str">
        <f>IF(Table1[[#This Row],[Profit]]&gt;=10000,"Excellent",IF(Table1[[#This Row],[Profit]]&gt;5000,"Good","Low"))</f>
        <v>Excellent</v>
      </c>
      <c r="N76" t="str">
        <f>TEXT(Table1[[#This Row],[Order_Date]],"YYYY")</f>
        <v>2023</v>
      </c>
    </row>
    <row r="77" spans="1:14" x14ac:dyDescent="0.25">
      <c r="A77" s="1">
        <v>45964</v>
      </c>
      <c r="B77" t="s">
        <v>11</v>
      </c>
      <c r="C77" t="s">
        <v>18</v>
      </c>
      <c r="D77">
        <v>35959</v>
      </c>
      <c r="E77">
        <v>30962</v>
      </c>
      <c r="F77">
        <v>4997</v>
      </c>
      <c r="G77" t="s">
        <v>13</v>
      </c>
      <c r="H77" t="s">
        <v>45</v>
      </c>
      <c r="I77" t="s">
        <v>42</v>
      </c>
      <c r="J77" s="2">
        <f>Table1[[#This Row],[Profit]]/Table1[[#This Row],[Sales]]*100</f>
        <v>13.896381990600407</v>
      </c>
      <c r="K77" t="str">
        <f>IF(Table1[[#This Row],[Sales]]&gt;=30000,"High", IF(Table1[[#This Row],[Sales]]&gt;=15000,"Medium","Low"))</f>
        <v>High</v>
      </c>
      <c r="L77" t="str">
        <f>TEXT(Table1[[#This Row],[Order_Date]],"MMM")</f>
        <v>Nov</v>
      </c>
      <c r="M77" t="str">
        <f>IF(Table1[[#This Row],[Profit]]&gt;=10000,"Excellent",IF(Table1[[#This Row],[Profit]]&gt;5000,"Good","Low"))</f>
        <v>Low</v>
      </c>
      <c r="N77" t="str">
        <f>TEXT(Table1[[#This Row],[Order_Date]],"YYYY")</f>
        <v>2025</v>
      </c>
    </row>
    <row r="78" spans="1:14" x14ac:dyDescent="0.25">
      <c r="A78" s="1">
        <v>45354</v>
      </c>
      <c r="B78" t="s">
        <v>17</v>
      </c>
      <c r="C78" t="s">
        <v>33</v>
      </c>
      <c r="D78">
        <v>11932</v>
      </c>
      <c r="E78">
        <v>4376</v>
      </c>
      <c r="F78">
        <v>7556</v>
      </c>
      <c r="G78" t="s">
        <v>38</v>
      </c>
      <c r="H78" t="s">
        <v>23</v>
      </c>
      <c r="I78" t="s">
        <v>15</v>
      </c>
      <c r="J78" s="2">
        <f>Table1[[#This Row],[Profit]]/Table1[[#This Row],[Sales]]*100</f>
        <v>63.325511230305068</v>
      </c>
      <c r="K78" t="str">
        <f>IF(Table1[[#This Row],[Sales]]&gt;=30000,"High", IF(Table1[[#This Row],[Sales]]&gt;=15000,"Medium","Low"))</f>
        <v>Low</v>
      </c>
      <c r="L78" t="str">
        <f>TEXT(Table1[[#This Row],[Order_Date]],"MMM")</f>
        <v>Mar</v>
      </c>
      <c r="M78" t="str">
        <f>IF(Table1[[#This Row],[Profit]]&gt;=10000,"Excellent",IF(Table1[[#This Row],[Profit]]&gt;5000,"Good","Low"))</f>
        <v>Good</v>
      </c>
      <c r="N78" t="str">
        <f>TEXT(Table1[[#This Row],[Order_Date]],"YYYY")</f>
        <v>2024</v>
      </c>
    </row>
    <row r="79" spans="1:14" x14ac:dyDescent="0.25">
      <c r="A79" s="1">
        <v>46157</v>
      </c>
      <c r="B79" t="s">
        <v>11</v>
      </c>
      <c r="C79" t="s">
        <v>33</v>
      </c>
      <c r="D79">
        <v>31039</v>
      </c>
      <c r="E79">
        <v>26709</v>
      </c>
      <c r="F79">
        <v>4330</v>
      </c>
      <c r="G79" t="s">
        <v>13</v>
      </c>
      <c r="H79" t="s">
        <v>14</v>
      </c>
      <c r="I79" t="s">
        <v>53</v>
      </c>
      <c r="J79" s="2">
        <f>Table1[[#This Row],[Profit]]/Table1[[#This Row],[Sales]]*100</f>
        <v>13.950191694320049</v>
      </c>
      <c r="K79" t="str">
        <f>IF(Table1[[#This Row],[Sales]]&gt;=30000,"High", IF(Table1[[#This Row],[Sales]]&gt;=15000,"Medium","Low"))</f>
        <v>High</v>
      </c>
      <c r="L79" t="str">
        <f>TEXT(Table1[[#This Row],[Order_Date]],"MMM")</f>
        <v>May</v>
      </c>
      <c r="M79" t="str">
        <f>IF(Table1[[#This Row],[Profit]]&gt;=10000,"Excellent",IF(Table1[[#This Row],[Profit]]&gt;5000,"Good","Low"))</f>
        <v>Low</v>
      </c>
      <c r="N79" t="str">
        <f>TEXT(Table1[[#This Row],[Order_Date]],"YYYY")</f>
        <v>2026</v>
      </c>
    </row>
    <row r="80" spans="1:14" x14ac:dyDescent="0.25">
      <c r="A80" s="1">
        <v>45149</v>
      </c>
      <c r="B80" t="s">
        <v>11</v>
      </c>
      <c r="C80" t="s">
        <v>33</v>
      </c>
      <c r="D80">
        <v>37354</v>
      </c>
      <c r="E80">
        <v>33221</v>
      </c>
      <c r="F80">
        <v>4133</v>
      </c>
      <c r="G80" t="s">
        <v>13</v>
      </c>
      <c r="H80" t="s">
        <v>14</v>
      </c>
      <c r="I80" t="s">
        <v>29</v>
      </c>
      <c r="J80" s="2">
        <f>Table1[[#This Row],[Profit]]/Table1[[#This Row],[Sales]]*100</f>
        <v>11.064410772608021</v>
      </c>
      <c r="K80" t="str">
        <f>IF(Table1[[#This Row],[Sales]]&gt;=30000,"High", IF(Table1[[#This Row],[Sales]]&gt;=15000,"Medium","Low"))</f>
        <v>High</v>
      </c>
      <c r="L80" t="str">
        <f>TEXT(Table1[[#This Row],[Order_Date]],"MMM")</f>
        <v>Aug</v>
      </c>
      <c r="M80" t="str">
        <f>IF(Table1[[#This Row],[Profit]]&gt;=10000,"Excellent",IF(Table1[[#This Row],[Profit]]&gt;5000,"Good","Low"))</f>
        <v>Low</v>
      </c>
      <c r="N80" t="str">
        <f>TEXT(Table1[[#This Row],[Order_Date]],"YYYY")</f>
        <v>2023</v>
      </c>
    </row>
    <row r="81" spans="1:14" x14ac:dyDescent="0.25">
      <c r="A81" s="1">
        <v>45503</v>
      </c>
      <c r="B81" t="s">
        <v>11</v>
      </c>
      <c r="C81" t="s">
        <v>41</v>
      </c>
      <c r="D81">
        <v>18892</v>
      </c>
      <c r="E81">
        <v>14771</v>
      </c>
      <c r="F81">
        <v>4121</v>
      </c>
      <c r="G81" t="s">
        <v>19</v>
      </c>
      <c r="H81" t="s">
        <v>20</v>
      </c>
      <c r="I81" t="s">
        <v>29</v>
      </c>
      <c r="J81" s="2">
        <f>Table1[[#This Row],[Profit]]/Table1[[#This Row],[Sales]]*100</f>
        <v>21.813466017361847</v>
      </c>
      <c r="K81" t="str">
        <f>IF(Table1[[#This Row],[Sales]]&gt;=30000,"High", IF(Table1[[#This Row],[Sales]]&gt;=15000,"Medium","Low"))</f>
        <v>Medium</v>
      </c>
      <c r="L81" t="str">
        <f>TEXT(Table1[[#This Row],[Order_Date]],"MMM")</f>
        <v>Jul</v>
      </c>
      <c r="M81" t="str">
        <f>IF(Table1[[#This Row],[Profit]]&gt;=10000,"Excellent",IF(Table1[[#This Row],[Profit]]&gt;5000,"Good","Low"))</f>
        <v>Low</v>
      </c>
      <c r="N81" t="str">
        <f>TEXT(Table1[[#This Row],[Order_Date]],"YYYY")</f>
        <v>2024</v>
      </c>
    </row>
    <row r="82" spans="1:14" x14ac:dyDescent="0.25">
      <c r="A82" s="1">
        <v>45274</v>
      </c>
      <c r="B82" t="s">
        <v>44</v>
      </c>
      <c r="C82" t="s">
        <v>41</v>
      </c>
      <c r="D82">
        <v>49254</v>
      </c>
      <c r="E82">
        <v>40744</v>
      </c>
      <c r="F82">
        <v>8510</v>
      </c>
      <c r="G82" t="s">
        <v>13</v>
      </c>
      <c r="H82" t="s">
        <v>23</v>
      </c>
      <c r="I82" t="s">
        <v>53</v>
      </c>
      <c r="J82" s="2">
        <f>Table1[[#This Row],[Profit]]/Table1[[#This Row],[Sales]]*100</f>
        <v>17.277784545417632</v>
      </c>
      <c r="K82" t="str">
        <f>IF(Table1[[#This Row],[Sales]]&gt;=30000,"High", IF(Table1[[#This Row],[Sales]]&gt;=15000,"Medium","Low"))</f>
        <v>High</v>
      </c>
      <c r="L82" t="str">
        <f>TEXT(Table1[[#This Row],[Order_Date]],"MMM")</f>
        <v>Dec</v>
      </c>
      <c r="M82" t="str">
        <f>IF(Table1[[#This Row],[Profit]]&gt;=10000,"Excellent",IF(Table1[[#This Row],[Profit]]&gt;5000,"Good","Low"))</f>
        <v>Good</v>
      </c>
      <c r="N82" t="str">
        <f>TEXT(Table1[[#This Row],[Order_Date]],"YYYY")</f>
        <v>2023</v>
      </c>
    </row>
    <row r="83" spans="1:14" x14ac:dyDescent="0.25">
      <c r="A83" s="1">
        <v>45692</v>
      </c>
      <c r="B83" t="s">
        <v>17</v>
      </c>
      <c r="C83" t="s">
        <v>41</v>
      </c>
      <c r="D83">
        <v>16236</v>
      </c>
      <c r="E83">
        <v>10183</v>
      </c>
      <c r="F83">
        <v>6053</v>
      </c>
      <c r="G83" t="s">
        <v>27</v>
      </c>
      <c r="H83" t="s">
        <v>28</v>
      </c>
      <c r="I83" t="s">
        <v>29</v>
      </c>
      <c r="J83" s="2">
        <f>Table1[[#This Row],[Profit]]/Table1[[#This Row],[Sales]]*100</f>
        <v>37.281350086228137</v>
      </c>
      <c r="K83" t="str">
        <f>IF(Table1[[#This Row],[Sales]]&gt;=30000,"High", IF(Table1[[#This Row],[Sales]]&gt;=15000,"Medium","Low"))</f>
        <v>Medium</v>
      </c>
      <c r="L83" t="str">
        <f>TEXT(Table1[[#This Row],[Order_Date]],"MMM")</f>
        <v>Feb</v>
      </c>
      <c r="M83" t="str">
        <f>IF(Table1[[#This Row],[Profit]]&gt;=10000,"Excellent",IF(Table1[[#This Row],[Profit]]&gt;5000,"Good","Low"))</f>
        <v>Good</v>
      </c>
      <c r="N83" t="str">
        <f>TEXT(Table1[[#This Row],[Order_Date]],"YYYY")</f>
        <v>2025</v>
      </c>
    </row>
    <row r="84" spans="1:14" x14ac:dyDescent="0.25">
      <c r="A84" s="1">
        <v>45558</v>
      </c>
      <c r="B84" t="s">
        <v>17</v>
      </c>
      <c r="C84" t="s">
        <v>33</v>
      </c>
      <c r="D84">
        <v>26467</v>
      </c>
      <c r="E84">
        <v>10760</v>
      </c>
      <c r="F84">
        <v>15707</v>
      </c>
      <c r="G84" t="s">
        <v>13</v>
      </c>
      <c r="H84" t="s">
        <v>34</v>
      </c>
      <c r="I84" t="s">
        <v>24</v>
      </c>
      <c r="J84" s="2">
        <f>Table1[[#This Row],[Profit]]/Table1[[#This Row],[Sales]]*100</f>
        <v>59.345600181357916</v>
      </c>
      <c r="K84" t="str">
        <f>IF(Table1[[#This Row],[Sales]]&gt;=30000,"High", IF(Table1[[#This Row],[Sales]]&gt;=15000,"Medium","Low"))</f>
        <v>Medium</v>
      </c>
      <c r="L84" t="str">
        <f>TEXT(Table1[[#This Row],[Order_Date]],"MMM")</f>
        <v>Sep</v>
      </c>
      <c r="M84" t="str">
        <f>IF(Table1[[#This Row],[Profit]]&gt;=10000,"Excellent",IF(Table1[[#This Row],[Profit]]&gt;5000,"Good","Low"))</f>
        <v>Excellent</v>
      </c>
      <c r="N84" t="str">
        <f>TEXT(Table1[[#This Row],[Order_Date]],"YYYY")</f>
        <v>2024</v>
      </c>
    </row>
    <row r="85" spans="1:14" x14ac:dyDescent="0.25">
      <c r="A85" s="1">
        <v>45582</v>
      </c>
      <c r="B85" t="s">
        <v>22</v>
      </c>
      <c r="C85" t="s">
        <v>18</v>
      </c>
      <c r="D85">
        <v>8911</v>
      </c>
      <c r="E85">
        <v>6023</v>
      </c>
      <c r="F85">
        <v>2888</v>
      </c>
      <c r="G85" t="s">
        <v>38</v>
      </c>
      <c r="H85" t="s">
        <v>28</v>
      </c>
      <c r="I85" t="s">
        <v>29</v>
      </c>
      <c r="J85" s="2">
        <f>Table1[[#This Row],[Profit]]/Table1[[#This Row],[Sales]]*100</f>
        <v>32.40938166311301</v>
      </c>
      <c r="K85" t="str">
        <f>IF(Table1[[#This Row],[Sales]]&gt;=30000,"High", IF(Table1[[#This Row],[Sales]]&gt;=15000,"Medium","Low"))</f>
        <v>Low</v>
      </c>
      <c r="L85" t="str">
        <f>TEXT(Table1[[#This Row],[Order_Date]],"MMM")</f>
        <v>Oct</v>
      </c>
      <c r="M85" t="str">
        <f>IF(Table1[[#This Row],[Profit]]&gt;=10000,"Excellent",IF(Table1[[#This Row],[Profit]]&gt;5000,"Good","Low"))</f>
        <v>Low</v>
      </c>
      <c r="N85" t="str">
        <f>TEXT(Table1[[#This Row],[Order_Date]],"YYYY")</f>
        <v>2024</v>
      </c>
    </row>
    <row r="86" spans="1:14" x14ac:dyDescent="0.25">
      <c r="A86" s="1">
        <v>45426</v>
      </c>
      <c r="B86" t="s">
        <v>26</v>
      </c>
      <c r="C86" t="s">
        <v>41</v>
      </c>
      <c r="D86">
        <v>6554</v>
      </c>
      <c r="E86">
        <v>3682</v>
      </c>
      <c r="F86">
        <v>2872</v>
      </c>
      <c r="G86" t="s">
        <v>19</v>
      </c>
      <c r="H86" t="s">
        <v>20</v>
      </c>
      <c r="I86" t="s">
        <v>29</v>
      </c>
      <c r="J86" s="2">
        <f>Table1[[#This Row],[Profit]]/Table1[[#This Row],[Sales]]*100</f>
        <v>43.820567592310042</v>
      </c>
      <c r="K86" t="str">
        <f>IF(Table1[[#This Row],[Sales]]&gt;=30000,"High", IF(Table1[[#This Row],[Sales]]&gt;=15000,"Medium","Low"))</f>
        <v>Low</v>
      </c>
      <c r="L86" t="str">
        <f>TEXT(Table1[[#This Row],[Order_Date]],"MMM")</f>
        <v>May</v>
      </c>
      <c r="M86" t="str">
        <f>IF(Table1[[#This Row],[Profit]]&gt;=10000,"Excellent",IF(Table1[[#This Row],[Profit]]&gt;5000,"Good","Low"))</f>
        <v>Low</v>
      </c>
      <c r="N86" t="str">
        <f>TEXT(Table1[[#This Row],[Order_Date]],"YYYY")</f>
        <v>2024</v>
      </c>
    </row>
    <row r="87" spans="1:14" x14ac:dyDescent="0.25">
      <c r="A87" s="1">
        <v>45978</v>
      </c>
      <c r="B87" t="s">
        <v>11</v>
      </c>
      <c r="C87" t="s">
        <v>33</v>
      </c>
      <c r="D87">
        <v>40948</v>
      </c>
      <c r="E87">
        <v>23877</v>
      </c>
      <c r="F87">
        <v>17071</v>
      </c>
      <c r="G87" t="s">
        <v>27</v>
      </c>
      <c r="H87" t="s">
        <v>23</v>
      </c>
      <c r="I87" t="s">
        <v>42</v>
      </c>
      <c r="J87" s="2">
        <f>Table1[[#This Row],[Profit]]/Table1[[#This Row],[Sales]]*100</f>
        <v>41.689459802676566</v>
      </c>
      <c r="K87" t="str">
        <f>IF(Table1[[#This Row],[Sales]]&gt;=30000,"High", IF(Table1[[#This Row],[Sales]]&gt;=15000,"Medium","Low"))</f>
        <v>High</v>
      </c>
      <c r="L87" t="str">
        <f>TEXT(Table1[[#This Row],[Order_Date]],"MMM")</f>
        <v>Nov</v>
      </c>
      <c r="M87" t="str">
        <f>IF(Table1[[#This Row],[Profit]]&gt;=10000,"Excellent",IF(Table1[[#This Row],[Profit]]&gt;5000,"Good","Low"))</f>
        <v>Excellent</v>
      </c>
      <c r="N87" t="str">
        <f>TEXT(Table1[[#This Row],[Order_Date]],"YYYY")</f>
        <v>2025</v>
      </c>
    </row>
    <row r="88" spans="1:14" x14ac:dyDescent="0.25">
      <c r="A88" s="1">
        <v>45139</v>
      </c>
      <c r="B88" t="s">
        <v>11</v>
      </c>
      <c r="C88" t="s">
        <v>12</v>
      </c>
      <c r="D88">
        <v>38211</v>
      </c>
      <c r="E88">
        <v>25192</v>
      </c>
      <c r="F88">
        <v>13019</v>
      </c>
      <c r="G88" t="s">
        <v>13</v>
      </c>
      <c r="H88" t="s">
        <v>34</v>
      </c>
      <c r="I88" t="s">
        <v>24</v>
      </c>
      <c r="J88" s="2">
        <f>Table1[[#This Row],[Profit]]/Table1[[#This Row],[Sales]]*100</f>
        <v>34.071340713407132</v>
      </c>
      <c r="K88" t="str">
        <f>IF(Table1[[#This Row],[Sales]]&gt;=30000,"High", IF(Table1[[#This Row],[Sales]]&gt;=15000,"Medium","Low"))</f>
        <v>High</v>
      </c>
      <c r="L88" t="str">
        <f>TEXT(Table1[[#This Row],[Order_Date]],"MMM")</f>
        <v>Aug</v>
      </c>
      <c r="M88" t="str">
        <f>IF(Table1[[#This Row],[Profit]]&gt;=10000,"Excellent",IF(Table1[[#This Row],[Profit]]&gt;5000,"Good","Low"))</f>
        <v>Excellent</v>
      </c>
      <c r="N88" t="str">
        <f>TEXT(Table1[[#This Row],[Order_Date]],"YYYY")</f>
        <v>2023</v>
      </c>
    </row>
    <row r="89" spans="1:14" x14ac:dyDescent="0.25">
      <c r="A89" s="1">
        <v>45546</v>
      </c>
      <c r="B89" t="s">
        <v>17</v>
      </c>
      <c r="C89" t="s">
        <v>36</v>
      </c>
      <c r="D89">
        <v>42378</v>
      </c>
      <c r="E89">
        <v>32168</v>
      </c>
      <c r="F89">
        <v>10210</v>
      </c>
      <c r="G89" t="s">
        <v>27</v>
      </c>
      <c r="H89" t="s">
        <v>28</v>
      </c>
      <c r="I89" t="s">
        <v>42</v>
      </c>
      <c r="J89" s="2">
        <f>Table1[[#This Row],[Profit]]/Table1[[#This Row],[Sales]]*100</f>
        <v>24.092689603095945</v>
      </c>
      <c r="K89" t="str">
        <f>IF(Table1[[#This Row],[Sales]]&gt;=30000,"High", IF(Table1[[#This Row],[Sales]]&gt;=15000,"Medium","Low"))</f>
        <v>High</v>
      </c>
      <c r="L89" t="str">
        <f>TEXT(Table1[[#This Row],[Order_Date]],"MMM")</f>
        <v>Sep</v>
      </c>
      <c r="M89" t="str">
        <f>IF(Table1[[#This Row],[Profit]]&gt;=10000,"Excellent",IF(Table1[[#This Row],[Profit]]&gt;5000,"Good","Low"))</f>
        <v>Excellent</v>
      </c>
      <c r="N89" t="str">
        <f>TEXT(Table1[[#This Row],[Order_Date]],"YYYY")</f>
        <v>2024</v>
      </c>
    </row>
    <row r="90" spans="1:14" x14ac:dyDescent="0.25">
      <c r="A90" s="1">
        <v>45298</v>
      </c>
      <c r="B90" t="s">
        <v>17</v>
      </c>
      <c r="C90" t="s">
        <v>12</v>
      </c>
      <c r="D90">
        <v>37235</v>
      </c>
      <c r="E90">
        <v>19240</v>
      </c>
      <c r="F90">
        <v>17995</v>
      </c>
      <c r="G90" t="s">
        <v>38</v>
      </c>
      <c r="H90" t="s">
        <v>28</v>
      </c>
      <c r="I90" t="s">
        <v>15</v>
      </c>
      <c r="J90" s="2">
        <f>Table1[[#This Row],[Profit]]/Table1[[#This Row],[Sales]]*100</f>
        <v>48.32818584664966</v>
      </c>
      <c r="K90" t="str">
        <f>IF(Table1[[#This Row],[Sales]]&gt;=30000,"High", IF(Table1[[#This Row],[Sales]]&gt;=15000,"Medium","Low"))</f>
        <v>High</v>
      </c>
      <c r="L90" t="str">
        <f>TEXT(Table1[[#This Row],[Order_Date]],"MMM")</f>
        <v>Jan</v>
      </c>
      <c r="M90" t="str">
        <f>IF(Table1[[#This Row],[Profit]]&gt;=10000,"Excellent",IF(Table1[[#This Row],[Profit]]&gt;5000,"Good","Low"))</f>
        <v>Excellent</v>
      </c>
      <c r="N90" t="str">
        <f>TEXT(Table1[[#This Row],[Order_Date]],"YYYY")</f>
        <v>2024</v>
      </c>
    </row>
    <row r="91" spans="1:14" x14ac:dyDescent="0.25">
      <c r="A91" s="1">
        <v>45413</v>
      </c>
      <c r="B91" t="s">
        <v>26</v>
      </c>
      <c r="C91" t="s">
        <v>41</v>
      </c>
      <c r="D91">
        <v>13849</v>
      </c>
      <c r="E91">
        <v>11084</v>
      </c>
      <c r="F91">
        <v>2765</v>
      </c>
      <c r="G91" t="s">
        <v>27</v>
      </c>
      <c r="H91" t="s">
        <v>31</v>
      </c>
      <c r="I91" t="s">
        <v>15</v>
      </c>
      <c r="J91" s="2">
        <f>Table1[[#This Row],[Profit]]/Table1[[#This Row],[Sales]]*100</f>
        <v>19.965340457794785</v>
      </c>
      <c r="K91" t="str">
        <f>IF(Table1[[#This Row],[Sales]]&gt;=30000,"High", IF(Table1[[#This Row],[Sales]]&gt;=15000,"Medium","Low"))</f>
        <v>Low</v>
      </c>
      <c r="L91" t="str">
        <f>TEXT(Table1[[#This Row],[Order_Date]],"MMM")</f>
        <v>May</v>
      </c>
      <c r="M91" t="str">
        <f>IF(Table1[[#This Row],[Profit]]&gt;=10000,"Excellent",IF(Table1[[#This Row],[Profit]]&gt;5000,"Good","Low"))</f>
        <v>Low</v>
      </c>
      <c r="N91" t="str">
        <f>TEXT(Table1[[#This Row],[Order_Date]],"YYYY")</f>
        <v>2024</v>
      </c>
    </row>
    <row r="92" spans="1:14" x14ac:dyDescent="0.25">
      <c r="A92" s="1">
        <v>45130</v>
      </c>
      <c r="B92" t="s">
        <v>26</v>
      </c>
      <c r="C92" t="s">
        <v>18</v>
      </c>
      <c r="D92">
        <v>39386</v>
      </c>
      <c r="E92">
        <v>28645</v>
      </c>
      <c r="F92">
        <v>10741</v>
      </c>
      <c r="G92" t="s">
        <v>19</v>
      </c>
      <c r="H92" t="s">
        <v>60</v>
      </c>
      <c r="I92" t="s">
        <v>15</v>
      </c>
      <c r="J92" s="2">
        <f>Table1[[#This Row],[Profit]]/Table1[[#This Row],[Sales]]*100</f>
        <v>27.27111156248413</v>
      </c>
      <c r="K92" t="str">
        <f>IF(Table1[[#This Row],[Sales]]&gt;=30000,"High", IF(Table1[[#This Row],[Sales]]&gt;=15000,"Medium","Low"))</f>
        <v>High</v>
      </c>
      <c r="L92" t="str">
        <f>TEXT(Table1[[#This Row],[Order_Date]],"MMM")</f>
        <v>Jul</v>
      </c>
      <c r="M92" t="str">
        <f>IF(Table1[[#This Row],[Profit]]&gt;=10000,"Excellent",IF(Table1[[#This Row],[Profit]]&gt;5000,"Good","Low"))</f>
        <v>Excellent</v>
      </c>
      <c r="N92" t="str">
        <f>TEXT(Table1[[#This Row],[Order_Date]],"YYYY")</f>
        <v>2023</v>
      </c>
    </row>
    <row r="93" spans="1:14" x14ac:dyDescent="0.25">
      <c r="A93" s="1">
        <v>45753</v>
      </c>
      <c r="B93" t="s">
        <v>26</v>
      </c>
      <c r="C93" t="s">
        <v>36</v>
      </c>
      <c r="D93">
        <v>30603</v>
      </c>
      <c r="E93">
        <v>14955</v>
      </c>
      <c r="F93">
        <v>15648</v>
      </c>
      <c r="G93" t="s">
        <v>13</v>
      </c>
      <c r="H93" t="s">
        <v>45</v>
      </c>
      <c r="I93" t="s">
        <v>42</v>
      </c>
      <c r="J93" s="2">
        <f>Table1[[#This Row],[Profit]]/Table1[[#This Row],[Sales]]*100</f>
        <v>51.13224193706499</v>
      </c>
      <c r="K93" t="str">
        <f>IF(Table1[[#This Row],[Sales]]&gt;=30000,"High", IF(Table1[[#This Row],[Sales]]&gt;=15000,"Medium","Low"))</f>
        <v>High</v>
      </c>
      <c r="L93" t="str">
        <f>TEXT(Table1[[#This Row],[Order_Date]],"MMM")</f>
        <v>Apr</v>
      </c>
      <c r="M93" t="str">
        <f>IF(Table1[[#This Row],[Profit]]&gt;=10000,"Excellent",IF(Table1[[#This Row],[Profit]]&gt;5000,"Good","Low"))</f>
        <v>Excellent</v>
      </c>
      <c r="N93" t="str">
        <f>TEXT(Table1[[#This Row],[Order_Date]],"YYYY")</f>
        <v>2025</v>
      </c>
    </row>
    <row r="94" spans="1:14" x14ac:dyDescent="0.25">
      <c r="A94" s="1">
        <v>45422</v>
      </c>
      <c r="B94" t="s">
        <v>26</v>
      </c>
      <c r="C94" t="s">
        <v>12</v>
      </c>
      <c r="D94">
        <v>32969</v>
      </c>
      <c r="E94">
        <v>31760</v>
      </c>
      <c r="F94">
        <v>1209</v>
      </c>
      <c r="G94" t="s">
        <v>38</v>
      </c>
      <c r="H94" t="s">
        <v>60</v>
      </c>
      <c r="I94" t="s">
        <v>42</v>
      </c>
      <c r="J94" s="2">
        <f>Table1[[#This Row],[Profit]]/Table1[[#This Row],[Sales]]*100</f>
        <v>3.6670811974885495</v>
      </c>
      <c r="K94" t="str">
        <f>IF(Table1[[#This Row],[Sales]]&gt;=30000,"High", IF(Table1[[#This Row],[Sales]]&gt;=15000,"Medium","Low"))</f>
        <v>High</v>
      </c>
      <c r="L94" t="str">
        <f>TEXT(Table1[[#This Row],[Order_Date]],"MMM")</f>
        <v>May</v>
      </c>
      <c r="M94" t="str">
        <f>IF(Table1[[#This Row],[Profit]]&gt;=10000,"Excellent",IF(Table1[[#This Row],[Profit]]&gt;5000,"Good","Low"))</f>
        <v>Low</v>
      </c>
      <c r="N94" t="str">
        <f>TEXT(Table1[[#This Row],[Order_Date]],"YYYY")</f>
        <v>2024</v>
      </c>
    </row>
    <row r="95" spans="1:14" x14ac:dyDescent="0.25">
      <c r="A95" s="1">
        <v>45550</v>
      </c>
      <c r="B95" t="s">
        <v>17</v>
      </c>
      <c r="C95" t="s">
        <v>33</v>
      </c>
      <c r="D95">
        <v>10891</v>
      </c>
      <c r="E95">
        <v>7228</v>
      </c>
      <c r="F95">
        <v>3663</v>
      </c>
      <c r="G95" t="s">
        <v>27</v>
      </c>
      <c r="H95" t="s">
        <v>45</v>
      </c>
      <c r="I95" t="s">
        <v>15</v>
      </c>
      <c r="J95" s="2">
        <f>Table1[[#This Row],[Profit]]/Table1[[#This Row],[Sales]]*100</f>
        <v>33.633275181342391</v>
      </c>
      <c r="K95" t="str">
        <f>IF(Table1[[#This Row],[Sales]]&gt;=30000,"High", IF(Table1[[#This Row],[Sales]]&gt;=15000,"Medium","Low"))</f>
        <v>Low</v>
      </c>
      <c r="L95" t="str">
        <f>TEXT(Table1[[#This Row],[Order_Date]],"MMM")</f>
        <v>Sep</v>
      </c>
      <c r="M95" t="str">
        <f>IF(Table1[[#This Row],[Profit]]&gt;=10000,"Excellent",IF(Table1[[#This Row],[Profit]]&gt;5000,"Good","Low"))</f>
        <v>Low</v>
      </c>
      <c r="N95" t="str">
        <f>TEXT(Table1[[#This Row],[Order_Date]],"YYYY")</f>
        <v>2024</v>
      </c>
    </row>
    <row r="96" spans="1:14" x14ac:dyDescent="0.25">
      <c r="A96" s="1">
        <v>45179</v>
      </c>
      <c r="B96" t="s">
        <v>22</v>
      </c>
      <c r="C96" t="s">
        <v>36</v>
      </c>
      <c r="D96">
        <v>21185</v>
      </c>
      <c r="E96">
        <v>18350</v>
      </c>
      <c r="F96">
        <v>2835</v>
      </c>
      <c r="G96" t="s">
        <v>13</v>
      </c>
      <c r="H96" t="s">
        <v>60</v>
      </c>
      <c r="I96" t="s">
        <v>15</v>
      </c>
      <c r="J96" s="2">
        <f>Table1[[#This Row],[Profit]]/Table1[[#This Row],[Sales]]*100</f>
        <v>13.382109983478877</v>
      </c>
      <c r="K96" t="str">
        <f>IF(Table1[[#This Row],[Sales]]&gt;=30000,"High", IF(Table1[[#This Row],[Sales]]&gt;=15000,"Medium","Low"))</f>
        <v>Medium</v>
      </c>
      <c r="L96" t="str">
        <f>TEXT(Table1[[#This Row],[Order_Date]],"MMM")</f>
        <v>Sep</v>
      </c>
      <c r="M96" t="str">
        <f>IF(Table1[[#This Row],[Profit]]&gt;=10000,"Excellent",IF(Table1[[#This Row],[Profit]]&gt;5000,"Good","Low"))</f>
        <v>Low</v>
      </c>
      <c r="N96" t="str">
        <f>TEXT(Table1[[#This Row],[Order_Date]],"YYYY")</f>
        <v>2023</v>
      </c>
    </row>
    <row r="97" spans="1:14" x14ac:dyDescent="0.25">
      <c r="A97" s="1">
        <v>45790</v>
      </c>
      <c r="B97" t="s">
        <v>44</v>
      </c>
      <c r="C97" t="s">
        <v>18</v>
      </c>
      <c r="D97">
        <v>35040</v>
      </c>
      <c r="E97">
        <v>20420</v>
      </c>
      <c r="F97">
        <v>14620</v>
      </c>
      <c r="G97" t="s">
        <v>27</v>
      </c>
      <c r="H97" t="s">
        <v>60</v>
      </c>
      <c r="I97" t="s">
        <v>15</v>
      </c>
      <c r="J97" s="2">
        <f>Table1[[#This Row],[Profit]]/Table1[[#This Row],[Sales]]*100</f>
        <v>41.723744292237441</v>
      </c>
      <c r="K97" t="str">
        <f>IF(Table1[[#This Row],[Sales]]&gt;=30000,"High", IF(Table1[[#This Row],[Sales]]&gt;=15000,"Medium","Low"))</f>
        <v>High</v>
      </c>
      <c r="L97" t="str">
        <f>TEXT(Table1[[#This Row],[Order_Date]],"MMM")</f>
        <v>May</v>
      </c>
      <c r="M97" t="str">
        <f>IF(Table1[[#This Row],[Profit]]&gt;=10000,"Excellent",IF(Table1[[#This Row],[Profit]]&gt;5000,"Good","Low"))</f>
        <v>Excellent</v>
      </c>
      <c r="N97" t="str">
        <f>TEXT(Table1[[#This Row],[Order_Date]],"YYYY")</f>
        <v>2025</v>
      </c>
    </row>
    <row r="98" spans="1:14" x14ac:dyDescent="0.25">
      <c r="A98" s="1">
        <v>46164</v>
      </c>
      <c r="B98" t="s">
        <v>11</v>
      </c>
      <c r="C98" t="s">
        <v>36</v>
      </c>
      <c r="D98">
        <v>32309</v>
      </c>
      <c r="E98">
        <v>23660</v>
      </c>
      <c r="F98">
        <v>8649</v>
      </c>
      <c r="G98" t="s">
        <v>27</v>
      </c>
      <c r="H98" t="s">
        <v>63</v>
      </c>
      <c r="I98" t="s">
        <v>15</v>
      </c>
      <c r="J98" s="2">
        <f>Table1[[#This Row],[Profit]]/Table1[[#This Row],[Sales]]*100</f>
        <v>26.769630753040946</v>
      </c>
      <c r="K98" t="str">
        <f>IF(Table1[[#This Row],[Sales]]&gt;=30000,"High", IF(Table1[[#This Row],[Sales]]&gt;=15000,"Medium","Low"))</f>
        <v>High</v>
      </c>
      <c r="L98" t="str">
        <f>TEXT(Table1[[#This Row],[Order_Date]],"MMM")</f>
        <v>May</v>
      </c>
      <c r="M98" t="str">
        <f>IF(Table1[[#This Row],[Profit]]&gt;=10000,"Excellent",IF(Table1[[#This Row],[Profit]]&gt;5000,"Good","Low"))</f>
        <v>Good</v>
      </c>
      <c r="N98" t="str">
        <f>TEXT(Table1[[#This Row],[Order_Date]],"YYYY")</f>
        <v>2026</v>
      </c>
    </row>
    <row r="99" spans="1:14" x14ac:dyDescent="0.25">
      <c r="A99" s="1">
        <v>45824</v>
      </c>
      <c r="B99" t="s">
        <v>11</v>
      </c>
      <c r="C99" t="s">
        <v>41</v>
      </c>
      <c r="D99">
        <v>14281</v>
      </c>
      <c r="E99">
        <v>6437</v>
      </c>
      <c r="F99">
        <v>7844</v>
      </c>
      <c r="G99" t="s">
        <v>38</v>
      </c>
      <c r="H99" t="s">
        <v>34</v>
      </c>
      <c r="I99" t="s">
        <v>42</v>
      </c>
      <c r="J99" s="2">
        <f>Table1[[#This Row],[Profit]]/Table1[[#This Row],[Sales]]*100</f>
        <v>54.926125621455078</v>
      </c>
      <c r="K99" t="str">
        <f>IF(Table1[[#This Row],[Sales]]&gt;=30000,"High", IF(Table1[[#This Row],[Sales]]&gt;=15000,"Medium","Low"))</f>
        <v>Low</v>
      </c>
      <c r="L99" t="str">
        <f>TEXT(Table1[[#This Row],[Order_Date]],"MMM")</f>
        <v>Jun</v>
      </c>
      <c r="M99" t="str">
        <f>IF(Table1[[#This Row],[Profit]]&gt;=10000,"Excellent",IF(Table1[[#This Row],[Profit]]&gt;5000,"Good","Low"))</f>
        <v>Good</v>
      </c>
      <c r="N99" t="str">
        <f>TEXT(Table1[[#This Row],[Order_Date]],"YYYY")</f>
        <v>2025</v>
      </c>
    </row>
    <row r="100" spans="1:14" x14ac:dyDescent="0.25">
      <c r="A100" s="1">
        <v>45524</v>
      </c>
      <c r="B100" t="s">
        <v>11</v>
      </c>
      <c r="C100" t="s">
        <v>12</v>
      </c>
      <c r="D100">
        <v>19007</v>
      </c>
      <c r="E100">
        <v>13928</v>
      </c>
      <c r="F100">
        <v>5079</v>
      </c>
      <c r="G100" t="s">
        <v>38</v>
      </c>
      <c r="H100" t="s">
        <v>60</v>
      </c>
      <c r="I100" t="s">
        <v>42</v>
      </c>
      <c r="J100" s="2">
        <f>Table1[[#This Row],[Profit]]/Table1[[#This Row],[Sales]]*100</f>
        <v>26.721734097963907</v>
      </c>
      <c r="K100" t="str">
        <f>IF(Table1[[#This Row],[Sales]]&gt;=30000,"High", IF(Table1[[#This Row],[Sales]]&gt;=15000,"Medium","Low"))</f>
        <v>Medium</v>
      </c>
      <c r="L100" t="str">
        <f>TEXT(Table1[[#This Row],[Order_Date]],"MMM")</f>
        <v>Aug</v>
      </c>
      <c r="M100" t="str">
        <f>IF(Table1[[#This Row],[Profit]]&gt;=10000,"Excellent",IF(Table1[[#This Row],[Profit]]&gt;5000,"Good","Low"))</f>
        <v>Good</v>
      </c>
      <c r="N100" t="str">
        <f>TEXT(Table1[[#This Row],[Order_Date]],"YYYY")</f>
        <v>2024</v>
      </c>
    </row>
    <row r="101" spans="1:14" x14ac:dyDescent="0.25">
      <c r="A101" s="1">
        <v>45222</v>
      </c>
      <c r="B101" t="s">
        <v>11</v>
      </c>
      <c r="C101" t="s">
        <v>18</v>
      </c>
      <c r="D101">
        <v>42485</v>
      </c>
      <c r="E101">
        <v>25446</v>
      </c>
      <c r="F101">
        <v>17039</v>
      </c>
      <c r="G101" t="s">
        <v>38</v>
      </c>
      <c r="H101" t="s">
        <v>63</v>
      </c>
      <c r="I101" t="s">
        <v>29</v>
      </c>
      <c r="J101" s="2">
        <f>Table1[[#This Row],[Profit]]/Table1[[#This Row],[Sales]]*100</f>
        <v>40.105919736377544</v>
      </c>
      <c r="K101" t="str">
        <f>IF(Table1[[#This Row],[Sales]]&gt;=30000,"High", IF(Table1[[#This Row],[Sales]]&gt;=15000,"Medium","Low"))</f>
        <v>High</v>
      </c>
      <c r="L101" t="str">
        <f>TEXT(Table1[[#This Row],[Order_Date]],"MMM")</f>
        <v>Oct</v>
      </c>
      <c r="M101" t="str">
        <f>IF(Table1[[#This Row],[Profit]]&gt;=10000,"Excellent",IF(Table1[[#This Row],[Profit]]&gt;5000,"Good","Low"))</f>
        <v>Excellent</v>
      </c>
      <c r="N101" t="str">
        <f>TEXT(Table1[[#This Row],[Order_Date]],"YYYY")</f>
        <v>2023</v>
      </c>
    </row>
    <row r="102" spans="1:14" x14ac:dyDescent="0.25">
      <c r="A102" s="1">
        <v>45333</v>
      </c>
      <c r="B102" t="s">
        <v>11</v>
      </c>
      <c r="C102" t="s">
        <v>41</v>
      </c>
      <c r="D102">
        <v>39195</v>
      </c>
      <c r="E102">
        <v>29224</v>
      </c>
      <c r="F102">
        <v>9971</v>
      </c>
      <c r="G102" t="s">
        <v>13</v>
      </c>
      <c r="H102" t="s">
        <v>60</v>
      </c>
      <c r="I102" t="s">
        <v>42</v>
      </c>
      <c r="J102" s="2">
        <f>Table1[[#This Row],[Profit]]/Table1[[#This Row],[Sales]]*100</f>
        <v>25.439469320066333</v>
      </c>
      <c r="K102" t="str">
        <f>IF(Table1[[#This Row],[Sales]]&gt;=30000,"High", IF(Table1[[#This Row],[Sales]]&gt;=15000,"Medium","Low"))</f>
        <v>High</v>
      </c>
      <c r="L102" t="str">
        <f>TEXT(Table1[[#This Row],[Order_Date]],"MMM")</f>
        <v>Feb</v>
      </c>
      <c r="M102" t="str">
        <f>IF(Table1[[#This Row],[Profit]]&gt;=10000,"Excellent",IF(Table1[[#This Row],[Profit]]&gt;5000,"Good","Low"))</f>
        <v>Good</v>
      </c>
      <c r="N102" t="str">
        <f>TEXT(Table1[[#This Row],[Order_Date]],"YYYY")</f>
        <v>2024</v>
      </c>
    </row>
    <row r="103" spans="1:14" x14ac:dyDescent="0.25">
      <c r="A103" s="1">
        <v>45135</v>
      </c>
      <c r="B103" t="s">
        <v>26</v>
      </c>
      <c r="C103" t="s">
        <v>41</v>
      </c>
      <c r="D103">
        <v>37432</v>
      </c>
      <c r="E103">
        <v>26793</v>
      </c>
      <c r="F103">
        <v>10639</v>
      </c>
      <c r="G103" t="s">
        <v>13</v>
      </c>
      <c r="H103" t="s">
        <v>14</v>
      </c>
      <c r="I103" t="s">
        <v>24</v>
      </c>
      <c r="J103" s="2">
        <f>Table1[[#This Row],[Profit]]/Table1[[#This Row],[Sales]]*100</f>
        <v>28.422205599487071</v>
      </c>
      <c r="K103" t="str">
        <f>IF(Table1[[#This Row],[Sales]]&gt;=30000,"High", IF(Table1[[#This Row],[Sales]]&gt;=15000,"Medium","Low"))</f>
        <v>High</v>
      </c>
      <c r="L103" t="str">
        <f>TEXT(Table1[[#This Row],[Order_Date]],"MMM")</f>
        <v>Jul</v>
      </c>
      <c r="M103" t="str">
        <f>IF(Table1[[#This Row],[Profit]]&gt;=10000,"Excellent",IF(Table1[[#This Row],[Profit]]&gt;5000,"Good","Low"))</f>
        <v>Excellent</v>
      </c>
      <c r="N103" t="str">
        <f>TEXT(Table1[[#This Row],[Order_Date]],"YYYY")</f>
        <v>2023</v>
      </c>
    </row>
    <row r="104" spans="1:14" x14ac:dyDescent="0.25">
      <c r="A104" s="1">
        <v>45620</v>
      </c>
      <c r="B104" t="s">
        <v>44</v>
      </c>
      <c r="C104" t="s">
        <v>33</v>
      </c>
      <c r="D104">
        <v>10316</v>
      </c>
      <c r="E104">
        <v>3415</v>
      </c>
      <c r="F104">
        <v>6901</v>
      </c>
      <c r="G104" t="s">
        <v>13</v>
      </c>
      <c r="H104" t="s">
        <v>20</v>
      </c>
      <c r="I104" t="s">
        <v>29</v>
      </c>
      <c r="J104" s="2">
        <f>Table1[[#This Row],[Profit]]/Table1[[#This Row],[Sales]]*100</f>
        <v>66.896083753392787</v>
      </c>
      <c r="K104" t="str">
        <f>IF(Table1[[#This Row],[Sales]]&gt;=30000,"High", IF(Table1[[#This Row],[Sales]]&gt;=15000,"Medium","Low"))</f>
        <v>Low</v>
      </c>
      <c r="L104" t="str">
        <f>TEXT(Table1[[#This Row],[Order_Date]],"MMM")</f>
        <v>Nov</v>
      </c>
      <c r="M104" t="str">
        <f>IF(Table1[[#This Row],[Profit]]&gt;=10000,"Excellent",IF(Table1[[#This Row],[Profit]]&gt;5000,"Good","Low"))</f>
        <v>Good</v>
      </c>
      <c r="N104" t="str">
        <f>TEXT(Table1[[#This Row],[Order_Date]],"YYYY")</f>
        <v>2024</v>
      </c>
    </row>
    <row r="105" spans="1:14" x14ac:dyDescent="0.25">
      <c r="A105" s="1">
        <v>45500</v>
      </c>
      <c r="B105" t="s">
        <v>44</v>
      </c>
      <c r="C105" t="s">
        <v>36</v>
      </c>
      <c r="D105">
        <v>19152</v>
      </c>
      <c r="E105">
        <v>6232</v>
      </c>
      <c r="F105">
        <v>12920</v>
      </c>
      <c r="G105" t="s">
        <v>38</v>
      </c>
      <c r="H105" t="s">
        <v>45</v>
      </c>
      <c r="I105" t="s">
        <v>29</v>
      </c>
      <c r="J105" s="2">
        <f>Table1[[#This Row],[Profit]]/Table1[[#This Row],[Sales]]*100</f>
        <v>67.460317460317469</v>
      </c>
      <c r="K105" t="str">
        <f>IF(Table1[[#This Row],[Sales]]&gt;=30000,"High", IF(Table1[[#This Row],[Sales]]&gt;=15000,"Medium","Low"))</f>
        <v>Medium</v>
      </c>
      <c r="L105" t="str">
        <f>TEXT(Table1[[#This Row],[Order_Date]],"MMM")</f>
        <v>Jul</v>
      </c>
      <c r="M105" t="str">
        <f>IF(Table1[[#This Row],[Profit]]&gt;=10000,"Excellent",IF(Table1[[#This Row],[Profit]]&gt;5000,"Good","Low"))</f>
        <v>Excellent</v>
      </c>
      <c r="N105" t="str">
        <f>TEXT(Table1[[#This Row],[Order_Date]],"YYYY")</f>
        <v>2024</v>
      </c>
    </row>
    <row r="106" spans="1:14" x14ac:dyDescent="0.25">
      <c r="A106" s="1">
        <v>45573</v>
      </c>
      <c r="B106" t="s">
        <v>44</v>
      </c>
      <c r="C106" t="s">
        <v>18</v>
      </c>
      <c r="D106">
        <v>15194</v>
      </c>
      <c r="E106">
        <v>4716</v>
      </c>
      <c r="F106">
        <v>10478</v>
      </c>
      <c r="G106" t="s">
        <v>38</v>
      </c>
      <c r="H106" t="s">
        <v>63</v>
      </c>
      <c r="I106" t="s">
        <v>42</v>
      </c>
      <c r="J106" s="2">
        <f>Table1[[#This Row],[Profit]]/Table1[[#This Row],[Sales]]*100</f>
        <v>68.961432144267476</v>
      </c>
      <c r="K106" t="str">
        <f>IF(Table1[[#This Row],[Sales]]&gt;=30000,"High", IF(Table1[[#This Row],[Sales]]&gt;=15000,"Medium","Low"))</f>
        <v>Medium</v>
      </c>
      <c r="L106" t="str">
        <f>TEXT(Table1[[#This Row],[Order_Date]],"MMM")</f>
        <v>Oct</v>
      </c>
      <c r="M106" t="str">
        <f>IF(Table1[[#This Row],[Profit]]&gt;=10000,"Excellent",IF(Table1[[#This Row],[Profit]]&gt;5000,"Good","Low"))</f>
        <v>Excellent</v>
      </c>
      <c r="N106" t="str">
        <f>TEXT(Table1[[#This Row],[Order_Date]],"YYYY")</f>
        <v>2024</v>
      </c>
    </row>
    <row r="107" spans="1:14" x14ac:dyDescent="0.25">
      <c r="A107" s="1">
        <v>45289</v>
      </c>
      <c r="B107" t="s">
        <v>44</v>
      </c>
      <c r="C107" t="s">
        <v>18</v>
      </c>
      <c r="D107">
        <v>11589</v>
      </c>
      <c r="E107">
        <v>2569</v>
      </c>
      <c r="F107">
        <v>9020</v>
      </c>
      <c r="G107" t="s">
        <v>27</v>
      </c>
      <c r="H107" t="s">
        <v>23</v>
      </c>
      <c r="I107" t="s">
        <v>15</v>
      </c>
      <c r="J107" s="2">
        <f>Table1[[#This Row],[Profit]]/Table1[[#This Row],[Sales]]*100</f>
        <v>77.832427301751665</v>
      </c>
      <c r="K107" t="str">
        <f>IF(Table1[[#This Row],[Sales]]&gt;=30000,"High", IF(Table1[[#This Row],[Sales]]&gt;=15000,"Medium","Low"))</f>
        <v>Low</v>
      </c>
      <c r="L107" t="str">
        <f>TEXT(Table1[[#This Row],[Order_Date]],"MMM")</f>
        <v>Dec</v>
      </c>
      <c r="M107" t="str">
        <f>IF(Table1[[#This Row],[Profit]]&gt;=10000,"Excellent",IF(Table1[[#This Row],[Profit]]&gt;5000,"Good","Low"))</f>
        <v>Good</v>
      </c>
      <c r="N107" t="str">
        <f>TEXT(Table1[[#This Row],[Order_Date]],"YYYY")</f>
        <v>2023</v>
      </c>
    </row>
    <row r="108" spans="1:14" x14ac:dyDescent="0.25">
      <c r="A108" s="1">
        <v>46077</v>
      </c>
      <c r="B108" t="s">
        <v>17</v>
      </c>
      <c r="C108" t="s">
        <v>36</v>
      </c>
      <c r="D108">
        <v>36936</v>
      </c>
      <c r="E108">
        <v>27890</v>
      </c>
      <c r="F108">
        <v>9046</v>
      </c>
      <c r="G108" t="s">
        <v>27</v>
      </c>
      <c r="H108" t="s">
        <v>78</v>
      </c>
      <c r="I108" t="s">
        <v>53</v>
      </c>
      <c r="J108" s="2">
        <f>Table1[[#This Row],[Profit]]/Table1[[#This Row],[Sales]]*100</f>
        <v>24.491011479315571</v>
      </c>
      <c r="K108" t="str">
        <f>IF(Table1[[#This Row],[Sales]]&gt;=30000,"High", IF(Table1[[#This Row],[Sales]]&gt;=15000,"Medium","Low"))</f>
        <v>High</v>
      </c>
      <c r="L108" t="str">
        <f>TEXT(Table1[[#This Row],[Order_Date]],"MMM")</f>
        <v>Feb</v>
      </c>
      <c r="M108" t="str">
        <f>IF(Table1[[#This Row],[Profit]]&gt;=10000,"Excellent",IF(Table1[[#This Row],[Profit]]&gt;5000,"Good","Low"))</f>
        <v>Good</v>
      </c>
      <c r="N108" t="str">
        <f>TEXT(Table1[[#This Row],[Order_Date]],"YYYY")</f>
        <v>2026</v>
      </c>
    </row>
    <row r="109" spans="1:14" x14ac:dyDescent="0.25">
      <c r="A109" s="1">
        <v>46088</v>
      </c>
      <c r="B109" t="s">
        <v>17</v>
      </c>
      <c r="C109" t="s">
        <v>18</v>
      </c>
      <c r="D109">
        <v>37292</v>
      </c>
      <c r="E109">
        <v>31035</v>
      </c>
      <c r="F109">
        <v>6257</v>
      </c>
      <c r="G109" t="s">
        <v>27</v>
      </c>
      <c r="H109" t="s">
        <v>20</v>
      </c>
      <c r="I109" t="s">
        <v>42</v>
      </c>
      <c r="J109" s="2">
        <f>Table1[[#This Row],[Profit]]/Table1[[#This Row],[Sales]]*100</f>
        <v>16.778397511530624</v>
      </c>
      <c r="K109" t="str">
        <f>IF(Table1[[#This Row],[Sales]]&gt;=30000,"High", IF(Table1[[#This Row],[Sales]]&gt;=15000,"Medium","Low"))</f>
        <v>High</v>
      </c>
      <c r="L109" t="str">
        <f>TEXT(Table1[[#This Row],[Order_Date]],"MMM")</f>
        <v>Mar</v>
      </c>
      <c r="M109" t="str">
        <f>IF(Table1[[#This Row],[Profit]]&gt;=10000,"Excellent",IF(Table1[[#This Row],[Profit]]&gt;5000,"Good","Low"))</f>
        <v>Good</v>
      </c>
      <c r="N109" t="str">
        <f>TEXT(Table1[[#This Row],[Order_Date]],"YYYY")</f>
        <v>2026</v>
      </c>
    </row>
    <row r="110" spans="1:14" x14ac:dyDescent="0.25">
      <c r="A110" s="1">
        <v>45351</v>
      </c>
      <c r="B110" t="s">
        <v>22</v>
      </c>
      <c r="C110" t="s">
        <v>18</v>
      </c>
      <c r="D110">
        <v>23598</v>
      </c>
      <c r="E110">
        <v>6847</v>
      </c>
      <c r="F110">
        <v>16751</v>
      </c>
      <c r="G110" t="s">
        <v>27</v>
      </c>
      <c r="H110" t="s">
        <v>23</v>
      </c>
      <c r="I110" t="s">
        <v>15</v>
      </c>
      <c r="J110" s="2">
        <f>Table1[[#This Row],[Profit]]/Table1[[#This Row],[Sales]]*100</f>
        <v>70.984829222815492</v>
      </c>
      <c r="K110" t="str">
        <f>IF(Table1[[#This Row],[Sales]]&gt;=30000,"High", IF(Table1[[#This Row],[Sales]]&gt;=15000,"Medium","Low"))</f>
        <v>Medium</v>
      </c>
      <c r="L110" t="str">
        <f>TEXT(Table1[[#This Row],[Order_Date]],"MMM")</f>
        <v>Feb</v>
      </c>
      <c r="M110" t="str">
        <f>IF(Table1[[#This Row],[Profit]]&gt;=10000,"Excellent",IF(Table1[[#This Row],[Profit]]&gt;5000,"Good","Low"))</f>
        <v>Excellent</v>
      </c>
      <c r="N110" t="str">
        <f>TEXT(Table1[[#This Row],[Order_Date]],"YYYY")</f>
        <v>2024</v>
      </c>
    </row>
    <row r="111" spans="1:14" x14ac:dyDescent="0.25">
      <c r="A111" s="1">
        <v>45644</v>
      </c>
      <c r="B111" t="s">
        <v>26</v>
      </c>
      <c r="C111" t="s">
        <v>18</v>
      </c>
      <c r="D111">
        <v>12190</v>
      </c>
      <c r="E111">
        <v>1341</v>
      </c>
      <c r="F111">
        <v>10849</v>
      </c>
      <c r="G111" t="s">
        <v>13</v>
      </c>
      <c r="H111" t="s">
        <v>23</v>
      </c>
      <c r="I111" t="s">
        <v>42</v>
      </c>
      <c r="J111" s="2">
        <f>Table1[[#This Row],[Profit]]/Table1[[#This Row],[Sales]]*100</f>
        <v>88.999179655455293</v>
      </c>
      <c r="K111" t="str">
        <f>IF(Table1[[#This Row],[Sales]]&gt;=30000,"High", IF(Table1[[#This Row],[Sales]]&gt;=15000,"Medium","Low"))</f>
        <v>Low</v>
      </c>
      <c r="L111" t="str">
        <f>TEXT(Table1[[#This Row],[Order_Date]],"MMM")</f>
        <v>Dec</v>
      </c>
      <c r="M111" t="str">
        <f>IF(Table1[[#This Row],[Profit]]&gt;=10000,"Excellent",IF(Table1[[#This Row],[Profit]]&gt;5000,"Good","Low"))</f>
        <v>Excellent</v>
      </c>
      <c r="N111" t="str">
        <f>TEXT(Table1[[#This Row],[Order_Date]],"YYYY")</f>
        <v>2024</v>
      </c>
    </row>
    <row r="112" spans="1:14" x14ac:dyDescent="0.25">
      <c r="A112" s="1">
        <v>45300</v>
      </c>
      <c r="B112" t="s">
        <v>44</v>
      </c>
      <c r="C112" t="s">
        <v>12</v>
      </c>
      <c r="D112">
        <v>38567</v>
      </c>
      <c r="E112">
        <v>26129</v>
      </c>
      <c r="F112">
        <v>12438</v>
      </c>
      <c r="G112" t="s">
        <v>19</v>
      </c>
      <c r="H112" t="s">
        <v>60</v>
      </c>
      <c r="I112" t="s">
        <v>29</v>
      </c>
      <c r="J112" s="2">
        <f>Table1[[#This Row],[Profit]]/Table1[[#This Row],[Sales]]*100</f>
        <v>32.250369486867008</v>
      </c>
      <c r="K112" t="str">
        <f>IF(Table1[[#This Row],[Sales]]&gt;=30000,"High", IF(Table1[[#This Row],[Sales]]&gt;=15000,"Medium","Low"))</f>
        <v>High</v>
      </c>
      <c r="L112" t="str">
        <f>TEXT(Table1[[#This Row],[Order_Date]],"MMM")</f>
        <v>Jan</v>
      </c>
      <c r="M112" t="str">
        <f>IF(Table1[[#This Row],[Profit]]&gt;=10000,"Excellent",IF(Table1[[#This Row],[Profit]]&gt;5000,"Good","Low"))</f>
        <v>Excellent</v>
      </c>
      <c r="N112" t="str">
        <f>TEXT(Table1[[#This Row],[Order_Date]],"YYYY")</f>
        <v>2024</v>
      </c>
    </row>
    <row r="113" spans="1:14" x14ac:dyDescent="0.25">
      <c r="A113" s="1">
        <v>45947</v>
      </c>
      <c r="B113" t="s">
        <v>22</v>
      </c>
      <c r="C113" t="s">
        <v>41</v>
      </c>
      <c r="D113">
        <v>15867</v>
      </c>
      <c r="E113">
        <v>8310</v>
      </c>
      <c r="F113">
        <v>7557</v>
      </c>
      <c r="G113" t="s">
        <v>38</v>
      </c>
      <c r="H113" t="s">
        <v>45</v>
      </c>
      <c r="I113" t="s">
        <v>15</v>
      </c>
      <c r="J113" s="2">
        <f>Table1[[#This Row],[Profit]]/Table1[[#This Row],[Sales]]*100</f>
        <v>47.627150690111556</v>
      </c>
      <c r="K113" t="str">
        <f>IF(Table1[[#This Row],[Sales]]&gt;=30000,"High", IF(Table1[[#This Row],[Sales]]&gt;=15000,"Medium","Low"))</f>
        <v>Medium</v>
      </c>
      <c r="L113" t="str">
        <f>TEXT(Table1[[#This Row],[Order_Date]],"MMM")</f>
        <v>Oct</v>
      </c>
      <c r="M113" t="str">
        <f>IF(Table1[[#This Row],[Profit]]&gt;=10000,"Excellent",IF(Table1[[#This Row],[Profit]]&gt;5000,"Good","Low"))</f>
        <v>Good</v>
      </c>
      <c r="N113" t="str">
        <f>TEXT(Table1[[#This Row],[Order_Date]],"YYYY")</f>
        <v>2025</v>
      </c>
    </row>
    <row r="114" spans="1:14" x14ac:dyDescent="0.25">
      <c r="A114" s="1">
        <v>45750</v>
      </c>
      <c r="B114" t="s">
        <v>11</v>
      </c>
      <c r="C114" t="s">
        <v>36</v>
      </c>
      <c r="D114">
        <v>19164</v>
      </c>
      <c r="E114">
        <v>2015</v>
      </c>
      <c r="F114">
        <v>17149</v>
      </c>
      <c r="G114" t="s">
        <v>13</v>
      </c>
      <c r="H114" t="s">
        <v>14</v>
      </c>
      <c r="I114" t="s">
        <v>29</v>
      </c>
      <c r="J114" s="2">
        <f>Table1[[#This Row],[Profit]]/Table1[[#This Row],[Sales]]*100</f>
        <v>89.485493633896894</v>
      </c>
      <c r="K114" t="str">
        <f>IF(Table1[[#This Row],[Sales]]&gt;=30000,"High", IF(Table1[[#This Row],[Sales]]&gt;=15000,"Medium","Low"))</f>
        <v>Medium</v>
      </c>
      <c r="L114" t="str">
        <f>TEXT(Table1[[#This Row],[Order_Date]],"MMM")</f>
        <v>Apr</v>
      </c>
      <c r="M114" t="str">
        <f>IF(Table1[[#This Row],[Profit]]&gt;=10000,"Excellent",IF(Table1[[#This Row],[Profit]]&gt;5000,"Good","Low"))</f>
        <v>Excellent</v>
      </c>
      <c r="N114" t="str">
        <f>TEXT(Table1[[#This Row],[Order_Date]],"YYYY")</f>
        <v>2025</v>
      </c>
    </row>
    <row r="115" spans="1:14" x14ac:dyDescent="0.25">
      <c r="A115" s="1">
        <v>45825</v>
      </c>
      <c r="B115" t="s">
        <v>44</v>
      </c>
      <c r="C115" t="s">
        <v>12</v>
      </c>
      <c r="D115">
        <v>46903</v>
      </c>
      <c r="E115">
        <v>43709</v>
      </c>
      <c r="F115">
        <v>3194</v>
      </c>
      <c r="G115" t="s">
        <v>13</v>
      </c>
      <c r="H115" t="s">
        <v>45</v>
      </c>
      <c r="I115" t="s">
        <v>29</v>
      </c>
      <c r="J115" s="2">
        <f>Table1[[#This Row],[Profit]]/Table1[[#This Row],[Sales]]*100</f>
        <v>6.8097989467624673</v>
      </c>
      <c r="K115" t="str">
        <f>IF(Table1[[#This Row],[Sales]]&gt;=30000,"High", IF(Table1[[#This Row],[Sales]]&gt;=15000,"Medium","Low"))</f>
        <v>High</v>
      </c>
      <c r="L115" t="str">
        <f>TEXT(Table1[[#This Row],[Order_Date]],"MMM")</f>
        <v>Jun</v>
      </c>
      <c r="M115" t="str">
        <f>IF(Table1[[#This Row],[Profit]]&gt;=10000,"Excellent",IF(Table1[[#This Row],[Profit]]&gt;5000,"Good","Low"))</f>
        <v>Low</v>
      </c>
      <c r="N115" t="str">
        <f>TEXT(Table1[[#This Row],[Order_Date]],"YYYY")</f>
        <v>2025</v>
      </c>
    </row>
    <row r="116" spans="1:14" x14ac:dyDescent="0.25">
      <c r="A116" s="1">
        <v>45816</v>
      </c>
      <c r="B116" t="s">
        <v>11</v>
      </c>
      <c r="C116" t="s">
        <v>33</v>
      </c>
      <c r="D116">
        <v>38655</v>
      </c>
      <c r="E116">
        <v>30640</v>
      </c>
      <c r="F116">
        <v>8015</v>
      </c>
      <c r="G116" t="s">
        <v>19</v>
      </c>
      <c r="H116" t="s">
        <v>23</v>
      </c>
      <c r="I116" t="s">
        <v>24</v>
      </c>
      <c r="J116" s="2">
        <f>Table1[[#This Row],[Profit]]/Table1[[#This Row],[Sales]]*100</f>
        <v>20.734704436683483</v>
      </c>
      <c r="K116" t="str">
        <f>IF(Table1[[#This Row],[Sales]]&gt;=30000,"High", IF(Table1[[#This Row],[Sales]]&gt;=15000,"Medium","Low"))</f>
        <v>High</v>
      </c>
      <c r="L116" t="str">
        <f>TEXT(Table1[[#This Row],[Order_Date]],"MMM")</f>
        <v>Jun</v>
      </c>
      <c r="M116" t="str">
        <f>IF(Table1[[#This Row],[Profit]]&gt;=10000,"Excellent",IF(Table1[[#This Row],[Profit]]&gt;5000,"Good","Low"))</f>
        <v>Good</v>
      </c>
      <c r="N116" t="str">
        <f>TEXT(Table1[[#This Row],[Order_Date]],"YYYY")</f>
        <v>2025</v>
      </c>
    </row>
    <row r="117" spans="1:14" x14ac:dyDescent="0.25">
      <c r="A117" s="1">
        <v>46004</v>
      </c>
      <c r="B117" t="s">
        <v>22</v>
      </c>
      <c r="C117" t="s">
        <v>12</v>
      </c>
      <c r="D117">
        <v>37872</v>
      </c>
      <c r="E117">
        <v>26572</v>
      </c>
      <c r="F117">
        <v>11300</v>
      </c>
      <c r="G117" t="s">
        <v>38</v>
      </c>
      <c r="H117" t="s">
        <v>60</v>
      </c>
      <c r="I117" t="s">
        <v>29</v>
      </c>
      <c r="J117" s="2">
        <f>Table1[[#This Row],[Profit]]/Table1[[#This Row],[Sales]]*100</f>
        <v>29.837346852555978</v>
      </c>
      <c r="K117" t="str">
        <f>IF(Table1[[#This Row],[Sales]]&gt;=30000,"High", IF(Table1[[#This Row],[Sales]]&gt;=15000,"Medium","Low"))</f>
        <v>High</v>
      </c>
      <c r="L117" t="str">
        <f>TEXT(Table1[[#This Row],[Order_Date]],"MMM")</f>
        <v>Dec</v>
      </c>
      <c r="M117" t="str">
        <f>IF(Table1[[#This Row],[Profit]]&gt;=10000,"Excellent",IF(Table1[[#This Row],[Profit]]&gt;5000,"Good","Low"))</f>
        <v>Excellent</v>
      </c>
      <c r="N117" t="str">
        <f>TEXT(Table1[[#This Row],[Order_Date]],"YYYY")</f>
        <v>2025</v>
      </c>
    </row>
    <row r="118" spans="1:14" x14ac:dyDescent="0.25">
      <c r="A118" s="1">
        <v>45425</v>
      </c>
      <c r="B118" t="s">
        <v>44</v>
      </c>
      <c r="C118" t="s">
        <v>12</v>
      </c>
      <c r="D118">
        <v>10005</v>
      </c>
      <c r="E118">
        <v>2627</v>
      </c>
      <c r="F118">
        <v>7378</v>
      </c>
      <c r="G118" t="s">
        <v>27</v>
      </c>
      <c r="H118" t="s">
        <v>23</v>
      </c>
      <c r="I118" t="s">
        <v>15</v>
      </c>
      <c r="J118" s="2">
        <f>Table1[[#This Row],[Profit]]/Table1[[#This Row],[Sales]]*100</f>
        <v>73.743128435782111</v>
      </c>
      <c r="K118" t="str">
        <f>IF(Table1[[#This Row],[Sales]]&gt;=30000,"High", IF(Table1[[#This Row],[Sales]]&gt;=15000,"Medium","Low"))</f>
        <v>Low</v>
      </c>
      <c r="L118" t="str">
        <f>TEXT(Table1[[#This Row],[Order_Date]],"MMM")</f>
        <v>May</v>
      </c>
      <c r="M118" t="str">
        <f>IF(Table1[[#This Row],[Profit]]&gt;=10000,"Excellent",IF(Table1[[#This Row],[Profit]]&gt;5000,"Good","Low"))</f>
        <v>Good</v>
      </c>
      <c r="N118" t="str">
        <f>TEXT(Table1[[#This Row],[Order_Date]],"YYYY")</f>
        <v>2024</v>
      </c>
    </row>
    <row r="119" spans="1:14" x14ac:dyDescent="0.25">
      <c r="A119" s="1">
        <v>46105</v>
      </c>
      <c r="B119" t="s">
        <v>26</v>
      </c>
      <c r="C119" t="s">
        <v>18</v>
      </c>
      <c r="D119">
        <v>14165</v>
      </c>
      <c r="E119">
        <v>13598</v>
      </c>
      <c r="F119">
        <v>567</v>
      </c>
      <c r="G119" t="s">
        <v>13</v>
      </c>
      <c r="H119" t="s">
        <v>63</v>
      </c>
      <c r="I119" t="s">
        <v>53</v>
      </c>
      <c r="J119" s="2">
        <f>Table1[[#This Row],[Profit]]/Table1[[#This Row],[Sales]]*100</f>
        <v>4.0028238616307803</v>
      </c>
      <c r="K119" t="str">
        <f>IF(Table1[[#This Row],[Sales]]&gt;=30000,"High", IF(Table1[[#This Row],[Sales]]&gt;=15000,"Medium","Low"))</f>
        <v>Low</v>
      </c>
      <c r="L119" t="str">
        <f>TEXT(Table1[[#This Row],[Order_Date]],"MMM")</f>
        <v>Mar</v>
      </c>
      <c r="M119" t="str">
        <f>IF(Table1[[#This Row],[Profit]]&gt;=10000,"Excellent",IF(Table1[[#This Row],[Profit]]&gt;5000,"Good","Low"))</f>
        <v>Low</v>
      </c>
      <c r="N119" t="str">
        <f>TEXT(Table1[[#This Row],[Order_Date]],"YYYY")</f>
        <v>2026</v>
      </c>
    </row>
    <row r="120" spans="1:14" x14ac:dyDescent="0.25">
      <c r="A120" s="1">
        <v>45978</v>
      </c>
      <c r="B120" t="s">
        <v>17</v>
      </c>
      <c r="C120" t="s">
        <v>36</v>
      </c>
      <c r="D120">
        <v>40160</v>
      </c>
      <c r="E120">
        <v>37752</v>
      </c>
      <c r="F120">
        <v>2408</v>
      </c>
      <c r="G120" t="s">
        <v>38</v>
      </c>
      <c r="H120" t="s">
        <v>34</v>
      </c>
      <c r="I120" t="s">
        <v>53</v>
      </c>
      <c r="J120" s="2">
        <f>Table1[[#This Row],[Profit]]/Table1[[#This Row],[Sales]]*100</f>
        <v>5.9960159362549801</v>
      </c>
      <c r="K120" t="str">
        <f>IF(Table1[[#This Row],[Sales]]&gt;=30000,"High", IF(Table1[[#This Row],[Sales]]&gt;=15000,"Medium","Low"))</f>
        <v>High</v>
      </c>
      <c r="L120" t="str">
        <f>TEXT(Table1[[#This Row],[Order_Date]],"MMM")</f>
        <v>Nov</v>
      </c>
      <c r="M120" t="str">
        <f>IF(Table1[[#This Row],[Profit]]&gt;=10000,"Excellent",IF(Table1[[#This Row],[Profit]]&gt;5000,"Good","Low"))</f>
        <v>Low</v>
      </c>
      <c r="N120" t="str">
        <f>TEXT(Table1[[#This Row],[Order_Date]],"YYYY")</f>
        <v>2025</v>
      </c>
    </row>
    <row r="121" spans="1:14" x14ac:dyDescent="0.25">
      <c r="A121" s="1">
        <v>46163</v>
      </c>
      <c r="B121" t="s">
        <v>11</v>
      </c>
      <c r="C121" t="s">
        <v>12</v>
      </c>
      <c r="D121">
        <v>22155</v>
      </c>
      <c r="E121">
        <v>4730</v>
      </c>
      <c r="F121">
        <v>17425</v>
      </c>
      <c r="G121" t="s">
        <v>19</v>
      </c>
      <c r="H121" t="s">
        <v>60</v>
      </c>
      <c r="I121" t="s">
        <v>24</v>
      </c>
      <c r="J121" s="2">
        <f>Table1[[#This Row],[Profit]]/Table1[[#This Row],[Sales]]*100</f>
        <v>78.650417512976759</v>
      </c>
      <c r="K121" t="str">
        <f>IF(Table1[[#This Row],[Sales]]&gt;=30000,"High", IF(Table1[[#This Row],[Sales]]&gt;=15000,"Medium","Low"))</f>
        <v>Medium</v>
      </c>
      <c r="L121" t="str">
        <f>TEXT(Table1[[#This Row],[Order_Date]],"MMM")</f>
        <v>May</v>
      </c>
      <c r="M121" t="str">
        <f>IF(Table1[[#This Row],[Profit]]&gt;=10000,"Excellent",IF(Table1[[#This Row],[Profit]]&gt;5000,"Good","Low"))</f>
        <v>Excellent</v>
      </c>
      <c r="N121" t="str">
        <f>TEXT(Table1[[#This Row],[Order_Date]],"YYYY")</f>
        <v>2026</v>
      </c>
    </row>
    <row r="122" spans="1:14" x14ac:dyDescent="0.25">
      <c r="A122" s="1">
        <v>45130</v>
      </c>
      <c r="B122" t="s">
        <v>17</v>
      </c>
      <c r="C122" t="s">
        <v>41</v>
      </c>
      <c r="D122">
        <v>44586</v>
      </c>
      <c r="E122">
        <v>34133</v>
      </c>
      <c r="F122">
        <v>10453</v>
      </c>
      <c r="G122" t="s">
        <v>19</v>
      </c>
      <c r="H122" t="s">
        <v>28</v>
      </c>
      <c r="I122" t="s">
        <v>15</v>
      </c>
      <c r="J122" s="2">
        <f>Table1[[#This Row],[Profit]]/Table1[[#This Row],[Sales]]*100</f>
        <v>23.444579015834567</v>
      </c>
      <c r="K122" t="str">
        <f>IF(Table1[[#This Row],[Sales]]&gt;=30000,"High", IF(Table1[[#This Row],[Sales]]&gt;=15000,"Medium","Low"))</f>
        <v>High</v>
      </c>
      <c r="L122" t="str">
        <f>TEXT(Table1[[#This Row],[Order_Date]],"MMM")</f>
        <v>Jul</v>
      </c>
      <c r="M122" t="str">
        <f>IF(Table1[[#This Row],[Profit]]&gt;=10000,"Excellent",IF(Table1[[#This Row],[Profit]]&gt;5000,"Good","Low"))</f>
        <v>Excellent</v>
      </c>
      <c r="N122" t="str">
        <f>TEXT(Table1[[#This Row],[Order_Date]],"YYYY")</f>
        <v>2023</v>
      </c>
    </row>
    <row r="123" spans="1:14" x14ac:dyDescent="0.25">
      <c r="A123" s="1">
        <v>46106</v>
      </c>
      <c r="B123" t="s">
        <v>17</v>
      </c>
      <c r="C123" t="s">
        <v>36</v>
      </c>
      <c r="D123">
        <v>48515</v>
      </c>
      <c r="E123">
        <v>46387</v>
      </c>
      <c r="F123">
        <v>2128</v>
      </c>
      <c r="G123" t="s">
        <v>19</v>
      </c>
      <c r="H123" t="s">
        <v>20</v>
      </c>
      <c r="I123" t="s">
        <v>29</v>
      </c>
      <c r="J123" s="2">
        <f>Table1[[#This Row],[Profit]]/Table1[[#This Row],[Sales]]*100</f>
        <v>4.3862722869215709</v>
      </c>
      <c r="K123" t="str">
        <f>IF(Table1[[#This Row],[Sales]]&gt;=30000,"High", IF(Table1[[#This Row],[Sales]]&gt;=15000,"Medium","Low"))</f>
        <v>High</v>
      </c>
      <c r="L123" t="str">
        <f>TEXT(Table1[[#This Row],[Order_Date]],"MMM")</f>
        <v>Mar</v>
      </c>
      <c r="M123" t="str">
        <f>IF(Table1[[#This Row],[Profit]]&gt;=10000,"Excellent",IF(Table1[[#This Row],[Profit]]&gt;5000,"Good","Low"))</f>
        <v>Low</v>
      </c>
      <c r="N123" t="str">
        <f>TEXT(Table1[[#This Row],[Order_Date]],"YYYY")</f>
        <v>2026</v>
      </c>
    </row>
    <row r="124" spans="1:14" x14ac:dyDescent="0.25">
      <c r="A124" s="1">
        <v>45277</v>
      </c>
      <c r="B124" t="s">
        <v>17</v>
      </c>
      <c r="C124" t="s">
        <v>41</v>
      </c>
      <c r="D124">
        <v>39745</v>
      </c>
      <c r="E124">
        <v>37495</v>
      </c>
      <c r="F124">
        <v>2250</v>
      </c>
      <c r="G124" t="s">
        <v>38</v>
      </c>
      <c r="H124" t="s">
        <v>60</v>
      </c>
      <c r="I124" t="s">
        <v>15</v>
      </c>
      <c r="J124" s="2">
        <f>Table1[[#This Row],[Profit]]/Table1[[#This Row],[Sales]]*100</f>
        <v>5.6610894452132339</v>
      </c>
      <c r="K124" t="str">
        <f>IF(Table1[[#This Row],[Sales]]&gt;=30000,"High", IF(Table1[[#This Row],[Sales]]&gt;=15000,"Medium","Low"))</f>
        <v>High</v>
      </c>
      <c r="L124" t="str">
        <f>TEXT(Table1[[#This Row],[Order_Date]],"MMM")</f>
        <v>Dec</v>
      </c>
      <c r="M124" t="str">
        <f>IF(Table1[[#This Row],[Profit]]&gt;=10000,"Excellent",IF(Table1[[#This Row],[Profit]]&gt;5000,"Good","Low"))</f>
        <v>Low</v>
      </c>
      <c r="N124" t="str">
        <f>TEXT(Table1[[#This Row],[Order_Date]],"YYYY")</f>
        <v>2023</v>
      </c>
    </row>
    <row r="125" spans="1:14" x14ac:dyDescent="0.25">
      <c r="A125" s="1">
        <v>46074</v>
      </c>
      <c r="B125" t="s">
        <v>44</v>
      </c>
      <c r="C125" t="s">
        <v>41</v>
      </c>
      <c r="D125">
        <v>24321</v>
      </c>
      <c r="E125">
        <v>8173</v>
      </c>
      <c r="F125">
        <v>16148</v>
      </c>
      <c r="G125" t="s">
        <v>38</v>
      </c>
      <c r="H125" t="s">
        <v>45</v>
      </c>
      <c r="I125" t="s">
        <v>42</v>
      </c>
      <c r="J125" s="2">
        <f>Table1[[#This Row],[Profit]]/Table1[[#This Row],[Sales]]*100</f>
        <v>66.395296246042506</v>
      </c>
      <c r="K125" t="str">
        <f>IF(Table1[[#This Row],[Sales]]&gt;=30000,"High", IF(Table1[[#This Row],[Sales]]&gt;=15000,"Medium","Low"))</f>
        <v>Medium</v>
      </c>
      <c r="L125" t="str">
        <f>TEXT(Table1[[#This Row],[Order_Date]],"MMM")</f>
        <v>Feb</v>
      </c>
      <c r="M125" t="str">
        <f>IF(Table1[[#This Row],[Profit]]&gt;=10000,"Excellent",IF(Table1[[#This Row],[Profit]]&gt;5000,"Good","Low"))</f>
        <v>Excellent</v>
      </c>
      <c r="N125" t="str">
        <f>TEXT(Table1[[#This Row],[Order_Date]],"YYYY")</f>
        <v>2026</v>
      </c>
    </row>
    <row r="126" spans="1:14" x14ac:dyDescent="0.25">
      <c r="A126" s="1">
        <v>45377</v>
      </c>
      <c r="B126" t="s">
        <v>11</v>
      </c>
      <c r="C126" t="s">
        <v>36</v>
      </c>
      <c r="D126">
        <v>6710</v>
      </c>
      <c r="E126">
        <v>1961</v>
      </c>
      <c r="F126">
        <v>4749</v>
      </c>
      <c r="G126" t="s">
        <v>27</v>
      </c>
      <c r="H126" t="s">
        <v>60</v>
      </c>
      <c r="I126" t="s">
        <v>42</v>
      </c>
      <c r="J126" s="2">
        <f>Table1[[#This Row],[Profit]]/Table1[[#This Row],[Sales]]*100</f>
        <v>70.774962742175859</v>
      </c>
      <c r="K126" t="str">
        <f>IF(Table1[[#This Row],[Sales]]&gt;=30000,"High", IF(Table1[[#This Row],[Sales]]&gt;=15000,"Medium","Low"))</f>
        <v>Low</v>
      </c>
      <c r="L126" t="str">
        <f>TEXT(Table1[[#This Row],[Order_Date]],"MMM")</f>
        <v>Mar</v>
      </c>
      <c r="M126" t="str">
        <f>IF(Table1[[#This Row],[Profit]]&gt;=10000,"Excellent",IF(Table1[[#This Row],[Profit]]&gt;5000,"Good","Low"))</f>
        <v>Low</v>
      </c>
      <c r="N126" t="str">
        <f>TEXT(Table1[[#This Row],[Order_Date]],"YYYY")</f>
        <v>2024</v>
      </c>
    </row>
    <row r="127" spans="1:14" x14ac:dyDescent="0.25">
      <c r="A127" s="1">
        <v>46090</v>
      </c>
      <c r="B127" t="s">
        <v>11</v>
      </c>
      <c r="C127" t="s">
        <v>36</v>
      </c>
      <c r="D127">
        <v>38030</v>
      </c>
      <c r="E127">
        <v>28996</v>
      </c>
      <c r="F127">
        <v>9034</v>
      </c>
      <c r="G127" t="s">
        <v>38</v>
      </c>
      <c r="H127" t="s">
        <v>31</v>
      </c>
      <c r="I127" t="s">
        <v>15</v>
      </c>
      <c r="J127" s="2">
        <f>Table1[[#This Row],[Profit]]/Table1[[#This Row],[Sales]]*100</f>
        <v>23.754930318169865</v>
      </c>
      <c r="K127" t="str">
        <f>IF(Table1[[#This Row],[Sales]]&gt;=30000,"High", IF(Table1[[#This Row],[Sales]]&gt;=15000,"Medium","Low"))</f>
        <v>High</v>
      </c>
      <c r="L127" t="str">
        <f>TEXT(Table1[[#This Row],[Order_Date]],"MMM")</f>
        <v>Mar</v>
      </c>
      <c r="M127" t="str">
        <f>IF(Table1[[#This Row],[Profit]]&gt;=10000,"Excellent",IF(Table1[[#This Row],[Profit]]&gt;5000,"Good","Low"))</f>
        <v>Good</v>
      </c>
      <c r="N127" t="str">
        <f>TEXT(Table1[[#This Row],[Order_Date]],"YYYY")</f>
        <v>2026</v>
      </c>
    </row>
    <row r="128" spans="1:14" x14ac:dyDescent="0.25">
      <c r="A128" s="1">
        <v>45420</v>
      </c>
      <c r="B128" t="s">
        <v>44</v>
      </c>
      <c r="C128" t="s">
        <v>12</v>
      </c>
      <c r="D128">
        <v>13088</v>
      </c>
      <c r="E128">
        <v>385</v>
      </c>
      <c r="F128">
        <v>12703</v>
      </c>
      <c r="G128" t="s">
        <v>38</v>
      </c>
      <c r="H128" t="s">
        <v>14</v>
      </c>
      <c r="I128" t="s">
        <v>29</v>
      </c>
      <c r="J128" s="2">
        <f>Table1[[#This Row],[Profit]]/Table1[[#This Row],[Sales]]*100</f>
        <v>97.058374083129578</v>
      </c>
      <c r="K128" t="str">
        <f>IF(Table1[[#This Row],[Sales]]&gt;=30000,"High", IF(Table1[[#This Row],[Sales]]&gt;=15000,"Medium","Low"))</f>
        <v>Low</v>
      </c>
      <c r="L128" t="str">
        <f>TEXT(Table1[[#This Row],[Order_Date]],"MMM")</f>
        <v>May</v>
      </c>
      <c r="M128" t="str">
        <f>IF(Table1[[#This Row],[Profit]]&gt;=10000,"Excellent",IF(Table1[[#This Row],[Profit]]&gt;5000,"Good","Low"))</f>
        <v>Excellent</v>
      </c>
      <c r="N128" t="str">
        <f>TEXT(Table1[[#This Row],[Order_Date]],"YYYY")</f>
        <v>2024</v>
      </c>
    </row>
    <row r="129" spans="1:14" x14ac:dyDescent="0.25">
      <c r="A129" s="1">
        <v>45715</v>
      </c>
      <c r="B129" t="s">
        <v>17</v>
      </c>
      <c r="C129" t="s">
        <v>33</v>
      </c>
      <c r="D129">
        <v>41323</v>
      </c>
      <c r="E129">
        <v>31810</v>
      </c>
      <c r="F129">
        <v>9513</v>
      </c>
      <c r="G129" t="s">
        <v>13</v>
      </c>
      <c r="H129" t="s">
        <v>14</v>
      </c>
      <c r="I129" t="s">
        <v>42</v>
      </c>
      <c r="J129" s="2">
        <f>Table1[[#This Row],[Profit]]/Table1[[#This Row],[Sales]]*100</f>
        <v>23.021077850107687</v>
      </c>
      <c r="K129" t="str">
        <f>IF(Table1[[#This Row],[Sales]]&gt;=30000,"High", IF(Table1[[#This Row],[Sales]]&gt;=15000,"Medium","Low"))</f>
        <v>High</v>
      </c>
      <c r="L129" t="str">
        <f>TEXT(Table1[[#This Row],[Order_Date]],"MMM")</f>
        <v>Feb</v>
      </c>
      <c r="M129" t="str">
        <f>IF(Table1[[#This Row],[Profit]]&gt;=10000,"Excellent",IF(Table1[[#This Row],[Profit]]&gt;5000,"Good","Low"))</f>
        <v>Good</v>
      </c>
      <c r="N129" t="str">
        <f>TEXT(Table1[[#This Row],[Order_Date]],"YYYY")</f>
        <v>2025</v>
      </c>
    </row>
    <row r="130" spans="1:14" x14ac:dyDescent="0.25">
      <c r="A130" s="1">
        <v>45303</v>
      </c>
      <c r="B130" t="s">
        <v>44</v>
      </c>
      <c r="C130" t="s">
        <v>41</v>
      </c>
      <c r="D130">
        <v>37135</v>
      </c>
      <c r="E130">
        <v>19593</v>
      </c>
      <c r="F130">
        <v>17542</v>
      </c>
      <c r="G130" t="s">
        <v>13</v>
      </c>
      <c r="H130" t="s">
        <v>63</v>
      </c>
      <c r="I130" t="s">
        <v>53</v>
      </c>
      <c r="J130" s="2">
        <f>Table1[[#This Row],[Profit]]/Table1[[#This Row],[Sales]]*100</f>
        <v>47.238454288407162</v>
      </c>
      <c r="K130" t="str">
        <f>IF(Table1[[#This Row],[Sales]]&gt;=30000,"High", IF(Table1[[#This Row],[Sales]]&gt;=15000,"Medium","Low"))</f>
        <v>High</v>
      </c>
      <c r="L130" t="str">
        <f>TEXT(Table1[[#This Row],[Order_Date]],"MMM")</f>
        <v>Jan</v>
      </c>
      <c r="M130" t="str">
        <f>IF(Table1[[#This Row],[Profit]]&gt;=10000,"Excellent",IF(Table1[[#This Row],[Profit]]&gt;5000,"Good","Low"))</f>
        <v>Excellent</v>
      </c>
      <c r="N130" t="str">
        <f>TEXT(Table1[[#This Row],[Order_Date]],"YYYY")</f>
        <v>2024</v>
      </c>
    </row>
    <row r="131" spans="1:14" x14ac:dyDescent="0.25">
      <c r="A131" s="1">
        <v>45438</v>
      </c>
      <c r="B131" t="s">
        <v>22</v>
      </c>
      <c r="C131" t="s">
        <v>18</v>
      </c>
      <c r="D131">
        <v>20661</v>
      </c>
      <c r="E131">
        <v>14539</v>
      </c>
      <c r="F131">
        <v>6122</v>
      </c>
      <c r="G131" t="s">
        <v>19</v>
      </c>
      <c r="H131" t="s">
        <v>34</v>
      </c>
      <c r="I131" t="s">
        <v>53</v>
      </c>
      <c r="J131" s="2">
        <f>Table1[[#This Row],[Profit]]/Table1[[#This Row],[Sales]]*100</f>
        <v>29.630705193359468</v>
      </c>
      <c r="K131" t="str">
        <f>IF(Table1[[#This Row],[Sales]]&gt;=30000,"High", IF(Table1[[#This Row],[Sales]]&gt;=15000,"Medium","Low"))</f>
        <v>Medium</v>
      </c>
      <c r="L131" t="str">
        <f>TEXT(Table1[[#This Row],[Order_Date]],"MMM")</f>
        <v>May</v>
      </c>
      <c r="M131" t="str">
        <f>IF(Table1[[#This Row],[Profit]]&gt;=10000,"Excellent",IF(Table1[[#This Row],[Profit]]&gt;5000,"Good","Low"))</f>
        <v>Good</v>
      </c>
      <c r="N131" t="str">
        <f>TEXT(Table1[[#This Row],[Order_Date]],"YYYY")</f>
        <v>2024</v>
      </c>
    </row>
    <row r="132" spans="1:14" x14ac:dyDescent="0.25">
      <c r="A132" s="1">
        <v>46096</v>
      </c>
      <c r="B132" t="s">
        <v>26</v>
      </c>
      <c r="C132" t="s">
        <v>12</v>
      </c>
      <c r="D132">
        <v>38302</v>
      </c>
      <c r="E132">
        <v>24820</v>
      </c>
      <c r="F132">
        <v>13482</v>
      </c>
      <c r="G132" t="s">
        <v>27</v>
      </c>
      <c r="H132" t="s">
        <v>31</v>
      </c>
      <c r="I132" t="s">
        <v>29</v>
      </c>
      <c r="J132" s="2">
        <f>Table1[[#This Row],[Profit]]/Table1[[#This Row],[Sales]]*100</f>
        <v>35.199206307764605</v>
      </c>
      <c r="K132" t="str">
        <f>IF(Table1[[#This Row],[Sales]]&gt;=30000,"High", IF(Table1[[#This Row],[Sales]]&gt;=15000,"Medium","Low"))</f>
        <v>High</v>
      </c>
      <c r="L132" t="str">
        <f>TEXT(Table1[[#This Row],[Order_Date]],"MMM")</f>
        <v>Mar</v>
      </c>
      <c r="M132" t="str">
        <f>IF(Table1[[#This Row],[Profit]]&gt;=10000,"Excellent",IF(Table1[[#This Row],[Profit]]&gt;5000,"Good","Low"))</f>
        <v>Excellent</v>
      </c>
      <c r="N132" t="str">
        <f>TEXT(Table1[[#This Row],[Order_Date]],"YYYY")</f>
        <v>2026</v>
      </c>
    </row>
    <row r="133" spans="1:14" x14ac:dyDescent="0.25">
      <c r="A133" s="1">
        <v>46162</v>
      </c>
      <c r="B133" t="s">
        <v>44</v>
      </c>
      <c r="C133" t="s">
        <v>33</v>
      </c>
      <c r="D133">
        <v>16076</v>
      </c>
      <c r="E133">
        <v>6360</v>
      </c>
      <c r="F133">
        <v>9716</v>
      </c>
      <c r="G133" t="s">
        <v>27</v>
      </c>
      <c r="H133" t="s">
        <v>28</v>
      </c>
      <c r="I133" t="s">
        <v>29</v>
      </c>
      <c r="J133" s="2">
        <f>Table1[[#This Row],[Profit]]/Table1[[#This Row],[Sales]]*100</f>
        <v>60.437919880567307</v>
      </c>
      <c r="K133" t="str">
        <f>IF(Table1[[#This Row],[Sales]]&gt;=30000,"High", IF(Table1[[#This Row],[Sales]]&gt;=15000,"Medium","Low"))</f>
        <v>Medium</v>
      </c>
      <c r="L133" t="str">
        <f>TEXT(Table1[[#This Row],[Order_Date]],"MMM")</f>
        <v>May</v>
      </c>
      <c r="M133" t="str">
        <f>IF(Table1[[#This Row],[Profit]]&gt;=10000,"Excellent",IF(Table1[[#This Row],[Profit]]&gt;5000,"Good","Low"))</f>
        <v>Good</v>
      </c>
      <c r="N133" t="str">
        <f>TEXT(Table1[[#This Row],[Order_Date]],"YYYY")</f>
        <v>2026</v>
      </c>
    </row>
    <row r="134" spans="1:14" x14ac:dyDescent="0.25">
      <c r="A134" s="1">
        <v>45897</v>
      </c>
      <c r="B134" t="s">
        <v>11</v>
      </c>
      <c r="C134" t="s">
        <v>36</v>
      </c>
      <c r="D134">
        <v>24374</v>
      </c>
      <c r="E134">
        <v>11496</v>
      </c>
      <c r="F134">
        <v>12878</v>
      </c>
      <c r="G134" t="s">
        <v>27</v>
      </c>
      <c r="H134" t="s">
        <v>14</v>
      </c>
      <c r="I134" t="s">
        <v>24</v>
      </c>
      <c r="J134" s="2">
        <f>Table1[[#This Row],[Profit]]/Table1[[#This Row],[Sales]]*100</f>
        <v>52.834988102075982</v>
      </c>
      <c r="K134" t="str">
        <f>IF(Table1[[#This Row],[Sales]]&gt;=30000,"High", IF(Table1[[#This Row],[Sales]]&gt;=15000,"Medium","Low"))</f>
        <v>Medium</v>
      </c>
      <c r="L134" t="str">
        <f>TEXT(Table1[[#This Row],[Order_Date]],"MMM")</f>
        <v>Aug</v>
      </c>
      <c r="M134" t="str">
        <f>IF(Table1[[#This Row],[Profit]]&gt;=10000,"Excellent",IF(Table1[[#This Row],[Profit]]&gt;5000,"Good","Low"))</f>
        <v>Excellent</v>
      </c>
      <c r="N134" t="str">
        <f>TEXT(Table1[[#This Row],[Order_Date]],"YYYY")</f>
        <v>2025</v>
      </c>
    </row>
    <row r="135" spans="1:14" x14ac:dyDescent="0.25">
      <c r="A135" s="1">
        <v>45119</v>
      </c>
      <c r="B135" t="s">
        <v>26</v>
      </c>
      <c r="C135" t="s">
        <v>33</v>
      </c>
      <c r="D135">
        <v>17684</v>
      </c>
      <c r="E135">
        <v>15430</v>
      </c>
      <c r="F135">
        <v>2254</v>
      </c>
      <c r="G135" t="s">
        <v>27</v>
      </c>
      <c r="H135" t="s">
        <v>31</v>
      </c>
      <c r="I135" t="s">
        <v>53</v>
      </c>
      <c r="J135" s="2">
        <f>Table1[[#This Row],[Profit]]/Table1[[#This Row],[Sales]]*100</f>
        <v>12.745985071250848</v>
      </c>
      <c r="K135" t="str">
        <f>IF(Table1[[#This Row],[Sales]]&gt;=30000,"High", IF(Table1[[#This Row],[Sales]]&gt;=15000,"Medium","Low"))</f>
        <v>Medium</v>
      </c>
      <c r="L135" t="str">
        <f>TEXT(Table1[[#This Row],[Order_Date]],"MMM")</f>
        <v>Jul</v>
      </c>
      <c r="M135" t="str">
        <f>IF(Table1[[#This Row],[Profit]]&gt;=10000,"Excellent",IF(Table1[[#This Row],[Profit]]&gt;5000,"Good","Low"))</f>
        <v>Low</v>
      </c>
      <c r="N135" t="str">
        <f>TEXT(Table1[[#This Row],[Order_Date]],"YYYY")</f>
        <v>2023</v>
      </c>
    </row>
    <row r="136" spans="1:14" x14ac:dyDescent="0.25">
      <c r="A136" s="1">
        <v>45848</v>
      </c>
      <c r="B136" t="s">
        <v>11</v>
      </c>
      <c r="C136" t="s">
        <v>18</v>
      </c>
      <c r="D136">
        <v>47468</v>
      </c>
      <c r="E136">
        <v>44776</v>
      </c>
      <c r="F136">
        <v>2692</v>
      </c>
      <c r="G136" t="s">
        <v>38</v>
      </c>
      <c r="H136" t="s">
        <v>34</v>
      </c>
      <c r="I136" t="s">
        <v>53</v>
      </c>
      <c r="J136" s="2">
        <f>Table1[[#This Row],[Profit]]/Table1[[#This Row],[Sales]]*100</f>
        <v>5.6711890115446195</v>
      </c>
      <c r="K136" t="str">
        <f>IF(Table1[[#This Row],[Sales]]&gt;=30000,"High", IF(Table1[[#This Row],[Sales]]&gt;=15000,"Medium","Low"))</f>
        <v>High</v>
      </c>
      <c r="L136" t="str">
        <f>TEXT(Table1[[#This Row],[Order_Date]],"MMM")</f>
        <v>Jul</v>
      </c>
      <c r="M136" t="str">
        <f>IF(Table1[[#This Row],[Profit]]&gt;=10000,"Excellent",IF(Table1[[#This Row],[Profit]]&gt;5000,"Good","Low"))</f>
        <v>Low</v>
      </c>
      <c r="N136" t="str">
        <f>TEXT(Table1[[#This Row],[Order_Date]],"YYYY")</f>
        <v>2025</v>
      </c>
    </row>
    <row r="137" spans="1:14" x14ac:dyDescent="0.25">
      <c r="A137" s="1">
        <v>45231</v>
      </c>
      <c r="B137" t="s">
        <v>17</v>
      </c>
      <c r="C137" t="s">
        <v>33</v>
      </c>
      <c r="D137">
        <v>31905</v>
      </c>
      <c r="E137">
        <v>16646</v>
      </c>
      <c r="F137">
        <v>15259</v>
      </c>
      <c r="G137" t="s">
        <v>38</v>
      </c>
      <c r="H137" t="s">
        <v>34</v>
      </c>
      <c r="I137" t="s">
        <v>42</v>
      </c>
      <c r="J137" s="2">
        <f>Table1[[#This Row],[Profit]]/Table1[[#This Row],[Sales]]*100</f>
        <v>47.826359504779816</v>
      </c>
      <c r="K137" t="str">
        <f>IF(Table1[[#This Row],[Sales]]&gt;=30000,"High", IF(Table1[[#This Row],[Sales]]&gt;=15000,"Medium","Low"))</f>
        <v>High</v>
      </c>
      <c r="L137" t="str">
        <f>TEXT(Table1[[#This Row],[Order_Date]],"MMM")</f>
        <v>Nov</v>
      </c>
      <c r="M137" t="str">
        <f>IF(Table1[[#This Row],[Profit]]&gt;=10000,"Excellent",IF(Table1[[#This Row],[Profit]]&gt;5000,"Good","Low"))</f>
        <v>Excellent</v>
      </c>
      <c r="N137" t="str">
        <f>TEXT(Table1[[#This Row],[Order_Date]],"YYYY")</f>
        <v>2023</v>
      </c>
    </row>
    <row r="138" spans="1:14" x14ac:dyDescent="0.25">
      <c r="A138" s="1">
        <v>45436</v>
      </c>
      <c r="B138" t="s">
        <v>22</v>
      </c>
      <c r="C138" t="s">
        <v>12</v>
      </c>
      <c r="D138">
        <v>6216</v>
      </c>
      <c r="E138">
        <v>2924</v>
      </c>
      <c r="F138">
        <v>3292</v>
      </c>
      <c r="G138" t="s">
        <v>13</v>
      </c>
      <c r="H138" t="s">
        <v>20</v>
      </c>
      <c r="I138" t="s">
        <v>24</v>
      </c>
      <c r="J138" s="2">
        <f>Table1[[#This Row],[Profit]]/Table1[[#This Row],[Sales]]*100</f>
        <v>52.960102960102958</v>
      </c>
      <c r="K138" t="str">
        <f>IF(Table1[[#This Row],[Sales]]&gt;=30000,"High", IF(Table1[[#This Row],[Sales]]&gt;=15000,"Medium","Low"))</f>
        <v>Low</v>
      </c>
      <c r="L138" t="str">
        <f>TEXT(Table1[[#This Row],[Order_Date]],"MMM")</f>
        <v>May</v>
      </c>
      <c r="M138" t="str">
        <f>IF(Table1[[#This Row],[Profit]]&gt;=10000,"Excellent",IF(Table1[[#This Row],[Profit]]&gt;5000,"Good","Low"))</f>
        <v>Low</v>
      </c>
      <c r="N138" t="str">
        <f>TEXT(Table1[[#This Row],[Order_Date]],"YYYY")</f>
        <v>2024</v>
      </c>
    </row>
    <row r="139" spans="1:14" x14ac:dyDescent="0.25">
      <c r="A139" s="1">
        <v>45400</v>
      </c>
      <c r="B139" t="s">
        <v>44</v>
      </c>
      <c r="C139" t="s">
        <v>18</v>
      </c>
      <c r="D139">
        <v>45119</v>
      </c>
      <c r="E139">
        <v>25405</v>
      </c>
      <c r="F139">
        <v>19714</v>
      </c>
      <c r="G139" t="s">
        <v>19</v>
      </c>
      <c r="H139" t="s">
        <v>14</v>
      </c>
      <c r="I139" t="s">
        <v>24</v>
      </c>
      <c r="J139" s="2">
        <f>Table1[[#This Row],[Profit]]/Table1[[#This Row],[Sales]]*100</f>
        <v>43.693344267381811</v>
      </c>
      <c r="K139" t="str">
        <f>IF(Table1[[#This Row],[Sales]]&gt;=30000,"High", IF(Table1[[#This Row],[Sales]]&gt;=15000,"Medium","Low"))</f>
        <v>High</v>
      </c>
      <c r="L139" t="str">
        <f>TEXT(Table1[[#This Row],[Order_Date]],"MMM")</f>
        <v>Apr</v>
      </c>
      <c r="M139" t="str">
        <f>IF(Table1[[#This Row],[Profit]]&gt;=10000,"Excellent",IF(Table1[[#This Row],[Profit]]&gt;5000,"Good","Low"))</f>
        <v>Excellent</v>
      </c>
      <c r="N139" t="str">
        <f>TEXT(Table1[[#This Row],[Order_Date]],"YYYY")</f>
        <v>2024</v>
      </c>
    </row>
    <row r="140" spans="1:14" x14ac:dyDescent="0.25">
      <c r="A140" s="1">
        <v>45940</v>
      </c>
      <c r="B140" t="s">
        <v>17</v>
      </c>
      <c r="C140" t="s">
        <v>36</v>
      </c>
      <c r="D140">
        <v>7821</v>
      </c>
      <c r="E140">
        <v>3055</v>
      </c>
      <c r="F140">
        <v>4766</v>
      </c>
      <c r="G140" t="s">
        <v>19</v>
      </c>
      <c r="H140" t="s">
        <v>14</v>
      </c>
      <c r="I140" t="s">
        <v>42</v>
      </c>
      <c r="J140" s="2">
        <f>Table1[[#This Row],[Profit]]/Table1[[#This Row],[Sales]]*100</f>
        <v>60.938498913182457</v>
      </c>
      <c r="K140" t="str">
        <f>IF(Table1[[#This Row],[Sales]]&gt;=30000,"High", IF(Table1[[#This Row],[Sales]]&gt;=15000,"Medium","Low"))</f>
        <v>Low</v>
      </c>
      <c r="L140" t="str">
        <f>TEXT(Table1[[#This Row],[Order_Date]],"MMM")</f>
        <v>Oct</v>
      </c>
      <c r="M140" t="str">
        <f>IF(Table1[[#This Row],[Profit]]&gt;=10000,"Excellent",IF(Table1[[#This Row],[Profit]]&gt;5000,"Good","Low"))</f>
        <v>Low</v>
      </c>
      <c r="N140" t="str">
        <f>TEXT(Table1[[#This Row],[Order_Date]],"YYYY")</f>
        <v>2025</v>
      </c>
    </row>
    <row r="141" spans="1:14" x14ac:dyDescent="0.25">
      <c r="A141" s="1">
        <v>45661</v>
      </c>
      <c r="B141" t="s">
        <v>17</v>
      </c>
      <c r="C141" t="s">
        <v>36</v>
      </c>
      <c r="D141">
        <v>17534</v>
      </c>
      <c r="E141">
        <v>12989</v>
      </c>
      <c r="F141">
        <v>4545</v>
      </c>
      <c r="G141" t="s">
        <v>27</v>
      </c>
      <c r="H141" t="s">
        <v>14</v>
      </c>
      <c r="I141" t="s">
        <v>15</v>
      </c>
      <c r="J141" s="2">
        <f>Table1[[#This Row],[Profit]]/Table1[[#This Row],[Sales]]*100</f>
        <v>25.921067640013689</v>
      </c>
      <c r="K141" t="str">
        <f>IF(Table1[[#This Row],[Sales]]&gt;=30000,"High", IF(Table1[[#This Row],[Sales]]&gt;=15000,"Medium","Low"))</f>
        <v>Medium</v>
      </c>
      <c r="L141" t="str">
        <f>TEXT(Table1[[#This Row],[Order_Date]],"MMM")</f>
        <v>Jan</v>
      </c>
      <c r="M141" t="str">
        <f>IF(Table1[[#This Row],[Profit]]&gt;=10000,"Excellent",IF(Table1[[#This Row],[Profit]]&gt;5000,"Good","Low"))</f>
        <v>Low</v>
      </c>
      <c r="N141" t="str">
        <f>TEXT(Table1[[#This Row],[Order_Date]],"YYYY")</f>
        <v>2025</v>
      </c>
    </row>
    <row r="142" spans="1:14" x14ac:dyDescent="0.25">
      <c r="A142" s="1">
        <v>45441</v>
      </c>
      <c r="B142" t="s">
        <v>26</v>
      </c>
      <c r="C142" t="s">
        <v>33</v>
      </c>
      <c r="D142">
        <v>37102</v>
      </c>
      <c r="E142">
        <v>36227</v>
      </c>
      <c r="F142">
        <v>875</v>
      </c>
      <c r="G142" t="s">
        <v>19</v>
      </c>
      <c r="H142" t="s">
        <v>63</v>
      </c>
      <c r="I142" t="s">
        <v>29</v>
      </c>
      <c r="J142" s="2">
        <f>Table1[[#This Row],[Profit]]/Table1[[#This Row],[Sales]]*100</f>
        <v>2.3583634305428278</v>
      </c>
      <c r="K142" t="str">
        <f>IF(Table1[[#This Row],[Sales]]&gt;=30000,"High", IF(Table1[[#This Row],[Sales]]&gt;=15000,"Medium","Low"))</f>
        <v>High</v>
      </c>
      <c r="L142" t="str">
        <f>TEXT(Table1[[#This Row],[Order_Date]],"MMM")</f>
        <v>May</v>
      </c>
      <c r="M142" t="str">
        <f>IF(Table1[[#This Row],[Profit]]&gt;=10000,"Excellent",IF(Table1[[#This Row],[Profit]]&gt;5000,"Good","Low"))</f>
        <v>Low</v>
      </c>
      <c r="N142" t="str">
        <f>TEXT(Table1[[#This Row],[Order_Date]],"YYYY")</f>
        <v>2024</v>
      </c>
    </row>
    <row r="143" spans="1:14" x14ac:dyDescent="0.25">
      <c r="A143" s="1">
        <v>45764</v>
      </c>
      <c r="B143" t="s">
        <v>11</v>
      </c>
      <c r="C143" t="s">
        <v>18</v>
      </c>
      <c r="D143">
        <v>35102</v>
      </c>
      <c r="E143">
        <v>28095</v>
      </c>
      <c r="F143">
        <v>7007</v>
      </c>
      <c r="G143" t="s">
        <v>13</v>
      </c>
      <c r="H143" t="s">
        <v>45</v>
      </c>
      <c r="I143" t="s">
        <v>53</v>
      </c>
      <c r="J143" s="2">
        <f>Table1[[#This Row],[Profit]]/Table1[[#This Row],[Sales]]*100</f>
        <v>19.96182553700644</v>
      </c>
      <c r="K143" t="str">
        <f>IF(Table1[[#This Row],[Sales]]&gt;=30000,"High", IF(Table1[[#This Row],[Sales]]&gt;=15000,"Medium","Low"))</f>
        <v>High</v>
      </c>
      <c r="L143" t="str">
        <f>TEXT(Table1[[#This Row],[Order_Date]],"MMM")</f>
        <v>Apr</v>
      </c>
      <c r="M143" t="str">
        <f>IF(Table1[[#This Row],[Profit]]&gt;=10000,"Excellent",IF(Table1[[#This Row],[Profit]]&gt;5000,"Good","Low"))</f>
        <v>Good</v>
      </c>
      <c r="N143" t="str">
        <f>TEXT(Table1[[#This Row],[Order_Date]],"YYYY")</f>
        <v>2025</v>
      </c>
    </row>
    <row r="144" spans="1:14" x14ac:dyDescent="0.25">
      <c r="A144" s="1">
        <v>45726</v>
      </c>
      <c r="B144" t="s">
        <v>44</v>
      </c>
      <c r="C144" t="s">
        <v>36</v>
      </c>
      <c r="D144">
        <v>33479</v>
      </c>
      <c r="E144">
        <v>24573</v>
      </c>
      <c r="F144">
        <v>8906</v>
      </c>
      <c r="G144" t="s">
        <v>19</v>
      </c>
      <c r="H144" t="s">
        <v>14</v>
      </c>
      <c r="I144" t="s">
        <v>42</v>
      </c>
      <c r="J144" s="2">
        <f>Table1[[#This Row],[Profit]]/Table1[[#This Row],[Sales]]*100</f>
        <v>26.601750350966281</v>
      </c>
      <c r="K144" t="str">
        <f>IF(Table1[[#This Row],[Sales]]&gt;=30000,"High", IF(Table1[[#This Row],[Sales]]&gt;=15000,"Medium","Low"))</f>
        <v>High</v>
      </c>
      <c r="L144" t="str">
        <f>TEXT(Table1[[#This Row],[Order_Date]],"MMM")</f>
        <v>Mar</v>
      </c>
      <c r="M144" t="str">
        <f>IF(Table1[[#This Row],[Profit]]&gt;=10000,"Excellent",IF(Table1[[#This Row],[Profit]]&gt;5000,"Good","Low"))</f>
        <v>Good</v>
      </c>
      <c r="N144" t="str">
        <f>TEXT(Table1[[#This Row],[Order_Date]],"YYYY")</f>
        <v>2025</v>
      </c>
    </row>
    <row r="145" spans="1:14" x14ac:dyDescent="0.25">
      <c r="A145" s="1">
        <v>45373</v>
      </c>
      <c r="B145" t="s">
        <v>44</v>
      </c>
      <c r="C145" t="s">
        <v>33</v>
      </c>
      <c r="D145">
        <v>31223</v>
      </c>
      <c r="E145">
        <v>20007</v>
      </c>
      <c r="F145">
        <v>11216</v>
      </c>
      <c r="G145" t="s">
        <v>13</v>
      </c>
      <c r="H145" t="s">
        <v>63</v>
      </c>
      <c r="I145" t="s">
        <v>24</v>
      </c>
      <c r="J145" s="2">
        <f>Table1[[#This Row],[Profit]]/Table1[[#This Row],[Sales]]*100</f>
        <v>35.922236812606087</v>
      </c>
      <c r="K145" t="str">
        <f>IF(Table1[[#This Row],[Sales]]&gt;=30000,"High", IF(Table1[[#This Row],[Sales]]&gt;=15000,"Medium","Low"))</f>
        <v>High</v>
      </c>
      <c r="L145" t="str">
        <f>TEXT(Table1[[#This Row],[Order_Date]],"MMM")</f>
        <v>Mar</v>
      </c>
      <c r="M145" t="str">
        <f>IF(Table1[[#This Row],[Profit]]&gt;=10000,"Excellent",IF(Table1[[#This Row],[Profit]]&gt;5000,"Good","Low"))</f>
        <v>Excellent</v>
      </c>
      <c r="N145" t="str">
        <f>TEXT(Table1[[#This Row],[Order_Date]],"YYYY")</f>
        <v>2024</v>
      </c>
    </row>
    <row r="146" spans="1:14" x14ac:dyDescent="0.25">
      <c r="A146" s="1">
        <v>46110</v>
      </c>
      <c r="B146" t="s">
        <v>22</v>
      </c>
      <c r="C146" t="s">
        <v>18</v>
      </c>
      <c r="D146">
        <v>20235</v>
      </c>
      <c r="E146">
        <v>6226</v>
      </c>
      <c r="F146">
        <v>14009</v>
      </c>
      <c r="G146" t="s">
        <v>19</v>
      </c>
      <c r="H146" t="s">
        <v>28</v>
      </c>
      <c r="I146" t="s">
        <v>42</v>
      </c>
      <c r="J146" s="2">
        <f>Table1[[#This Row],[Profit]]/Table1[[#This Row],[Sales]]*100</f>
        <v>69.231529528045471</v>
      </c>
      <c r="K146" t="str">
        <f>IF(Table1[[#This Row],[Sales]]&gt;=30000,"High", IF(Table1[[#This Row],[Sales]]&gt;=15000,"Medium","Low"))</f>
        <v>Medium</v>
      </c>
      <c r="L146" t="str">
        <f>TEXT(Table1[[#This Row],[Order_Date]],"MMM")</f>
        <v>Mar</v>
      </c>
      <c r="M146" t="str">
        <f>IF(Table1[[#This Row],[Profit]]&gt;=10000,"Excellent",IF(Table1[[#This Row],[Profit]]&gt;5000,"Good","Low"))</f>
        <v>Excellent</v>
      </c>
      <c r="N146" t="str">
        <f>TEXT(Table1[[#This Row],[Order_Date]],"YYYY")</f>
        <v>2026</v>
      </c>
    </row>
    <row r="147" spans="1:14" x14ac:dyDescent="0.25">
      <c r="A147" s="1">
        <v>46068</v>
      </c>
      <c r="B147" t="s">
        <v>11</v>
      </c>
      <c r="C147" t="s">
        <v>41</v>
      </c>
      <c r="D147">
        <v>40720</v>
      </c>
      <c r="E147">
        <v>36971</v>
      </c>
      <c r="F147">
        <v>3749</v>
      </c>
      <c r="G147" t="s">
        <v>13</v>
      </c>
      <c r="H147" t="s">
        <v>34</v>
      </c>
      <c r="I147" t="s">
        <v>15</v>
      </c>
      <c r="J147" s="2">
        <f>Table1[[#This Row],[Profit]]/Table1[[#This Row],[Sales]]*100</f>
        <v>9.206777996070727</v>
      </c>
      <c r="K147" t="str">
        <f>IF(Table1[[#This Row],[Sales]]&gt;=30000,"High", IF(Table1[[#This Row],[Sales]]&gt;=15000,"Medium","Low"))</f>
        <v>High</v>
      </c>
      <c r="L147" t="str">
        <f>TEXT(Table1[[#This Row],[Order_Date]],"MMM")</f>
        <v>Feb</v>
      </c>
      <c r="M147" t="str">
        <f>IF(Table1[[#This Row],[Profit]]&gt;=10000,"Excellent",IF(Table1[[#This Row],[Profit]]&gt;5000,"Good","Low"))</f>
        <v>Low</v>
      </c>
      <c r="N147" t="str">
        <f>TEXT(Table1[[#This Row],[Order_Date]],"YYYY")</f>
        <v>2026</v>
      </c>
    </row>
    <row r="148" spans="1:14" x14ac:dyDescent="0.25">
      <c r="A148" s="1">
        <v>45766</v>
      </c>
      <c r="B148" t="s">
        <v>22</v>
      </c>
      <c r="C148" t="s">
        <v>18</v>
      </c>
      <c r="D148">
        <v>23371</v>
      </c>
      <c r="E148">
        <v>16739</v>
      </c>
      <c r="F148">
        <v>6632</v>
      </c>
      <c r="G148" t="s">
        <v>13</v>
      </c>
      <c r="H148" t="s">
        <v>23</v>
      </c>
      <c r="I148" t="s">
        <v>29</v>
      </c>
      <c r="J148" s="2">
        <f>Table1[[#This Row],[Profit]]/Table1[[#This Row],[Sales]]*100</f>
        <v>28.377048478884088</v>
      </c>
      <c r="K148" t="str">
        <f>IF(Table1[[#This Row],[Sales]]&gt;=30000,"High", IF(Table1[[#This Row],[Sales]]&gt;=15000,"Medium","Low"))</f>
        <v>Medium</v>
      </c>
      <c r="L148" t="str">
        <f>TEXT(Table1[[#This Row],[Order_Date]],"MMM")</f>
        <v>Apr</v>
      </c>
      <c r="M148" t="str">
        <f>IF(Table1[[#This Row],[Profit]]&gt;=10000,"Excellent",IF(Table1[[#This Row],[Profit]]&gt;5000,"Good","Low"))</f>
        <v>Good</v>
      </c>
      <c r="N148" t="str">
        <f>TEXT(Table1[[#This Row],[Order_Date]],"YYYY")</f>
        <v>2025</v>
      </c>
    </row>
    <row r="149" spans="1:14" x14ac:dyDescent="0.25">
      <c r="A149" s="1">
        <v>45844</v>
      </c>
      <c r="B149" t="s">
        <v>44</v>
      </c>
      <c r="C149" t="s">
        <v>41</v>
      </c>
      <c r="D149">
        <v>23632</v>
      </c>
      <c r="E149">
        <v>21446</v>
      </c>
      <c r="F149">
        <v>2186</v>
      </c>
      <c r="G149" t="s">
        <v>19</v>
      </c>
      <c r="H149" t="s">
        <v>34</v>
      </c>
      <c r="I149" t="s">
        <v>15</v>
      </c>
      <c r="J149" s="2">
        <f>Table1[[#This Row],[Profit]]/Table1[[#This Row],[Sales]]*100</f>
        <v>9.2501692620176037</v>
      </c>
      <c r="K149" t="str">
        <f>IF(Table1[[#This Row],[Sales]]&gt;=30000,"High", IF(Table1[[#This Row],[Sales]]&gt;=15000,"Medium","Low"))</f>
        <v>Medium</v>
      </c>
      <c r="L149" t="str">
        <f>TEXT(Table1[[#This Row],[Order_Date]],"MMM")</f>
        <v>Jul</v>
      </c>
      <c r="M149" t="str">
        <f>IF(Table1[[#This Row],[Profit]]&gt;=10000,"Excellent",IF(Table1[[#This Row],[Profit]]&gt;5000,"Good","Low"))</f>
        <v>Low</v>
      </c>
      <c r="N149" t="str">
        <f>TEXT(Table1[[#This Row],[Order_Date]],"YYYY")</f>
        <v>2025</v>
      </c>
    </row>
    <row r="150" spans="1:14" x14ac:dyDescent="0.25">
      <c r="A150" s="1">
        <v>45243</v>
      </c>
      <c r="B150" t="s">
        <v>11</v>
      </c>
      <c r="C150" t="s">
        <v>33</v>
      </c>
      <c r="D150">
        <v>5446</v>
      </c>
      <c r="E150">
        <v>1473</v>
      </c>
      <c r="F150">
        <v>3973</v>
      </c>
      <c r="G150" t="s">
        <v>27</v>
      </c>
      <c r="H150" t="s">
        <v>31</v>
      </c>
      <c r="I150" t="s">
        <v>29</v>
      </c>
      <c r="J150" s="2">
        <f>Table1[[#This Row],[Profit]]/Table1[[#This Row],[Sales]]*100</f>
        <v>72.952625780389283</v>
      </c>
      <c r="K150" t="str">
        <f>IF(Table1[[#This Row],[Sales]]&gt;=30000,"High", IF(Table1[[#This Row],[Sales]]&gt;=15000,"Medium","Low"))</f>
        <v>Low</v>
      </c>
      <c r="L150" t="str">
        <f>TEXT(Table1[[#This Row],[Order_Date]],"MMM")</f>
        <v>Nov</v>
      </c>
      <c r="M150" t="str">
        <f>IF(Table1[[#This Row],[Profit]]&gt;=10000,"Excellent",IF(Table1[[#This Row],[Profit]]&gt;5000,"Good","Low"))</f>
        <v>Low</v>
      </c>
      <c r="N150" t="str">
        <f>TEXT(Table1[[#This Row],[Order_Date]],"YYYY")</f>
        <v>2023</v>
      </c>
    </row>
    <row r="151" spans="1:14" x14ac:dyDescent="0.25">
      <c r="A151" s="1">
        <v>45755</v>
      </c>
      <c r="B151" t="s">
        <v>11</v>
      </c>
      <c r="C151" t="s">
        <v>33</v>
      </c>
      <c r="D151">
        <v>22576</v>
      </c>
      <c r="E151">
        <v>8844</v>
      </c>
      <c r="F151">
        <v>13732</v>
      </c>
      <c r="G151" t="s">
        <v>13</v>
      </c>
      <c r="H151" t="s">
        <v>60</v>
      </c>
      <c r="I151" t="s">
        <v>53</v>
      </c>
      <c r="J151" s="2">
        <f>Table1[[#This Row],[Profit]]/Table1[[#This Row],[Sales]]*100</f>
        <v>60.825655563430189</v>
      </c>
      <c r="K151" t="str">
        <f>IF(Table1[[#This Row],[Sales]]&gt;=30000,"High", IF(Table1[[#This Row],[Sales]]&gt;=15000,"Medium","Low"))</f>
        <v>Medium</v>
      </c>
      <c r="L151" t="str">
        <f>TEXT(Table1[[#This Row],[Order_Date]],"MMM")</f>
        <v>Apr</v>
      </c>
      <c r="M151" t="str">
        <f>IF(Table1[[#This Row],[Profit]]&gt;=10000,"Excellent",IF(Table1[[#This Row],[Profit]]&gt;5000,"Good","Low"))</f>
        <v>Excellent</v>
      </c>
      <c r="N151" t="str">
        <f>TEXT(Table1[[#This Row],[Order_Date]],"YYYY")</f>
        <v>2025</v>
      </c>
    </row>
    <row r="152" spans="1:14" x14ac:dyDescent="0.25">
      <c r="A152" s="1">
        <v>45938</v>
      </c>
      <c r="B152" t="s">
        <v>44</v>
      </c>
      <c r="C152" t="s">
        <v>36</v>
      </c>
      <c r="D152">
        <v>10364</v>
      </c>
      <c r="E152">
        <v>3919</v>
      </c>
      <c r="F152">
        <v>6445</v>
      </c>
      <c r="G152" t="s">
        <v>19</v>
      </c>
      <c r="H152" t="s">
        <v>31</v>
      </c>
      <c r="I152" t="s">
        <v>24</v>
      </c>
      <c r="J152" s="2">
        <f>Table1[[#This Row],[Profit]]/Table1[[#This Row],[Sales]]*100</f>
        <v>62.186414511771517</v>
      </c>
      <c r="K152" t="str">
        <f>IF(Table1[[#This Row],[Sales]]&gt;=30000,"High", IF(Table1[[#This Row],[Sales]]&gt;=15000,"Medium","Low"))</f>
        <v>Low</v>
      </c>
      <c r="L152" t="str">
        <f>TEXT(Table1[[#This Row],[Order_Date]],"MMM")</f>
        <v>Oct</v>
      </c>
      <c r="M152" t="str">
        <f>IF(Table1[[#This Row],[Profit]]&gt;=10000,"Excellent",IF(Table1[[#This Row],[Profit]]&gt;5000,"Good","Low"))</f>
        <v>Good</v>
      </c>
      <c r="N152" t="str">
        <f>TEXT(Table1[[#This Row],[Order_Date]],"YYYY")</f>
        <v>2025</v>
      </c>
    </row>
    <row r="153" spans="1:14" x14ac:dyDescent="0.25">
      <c r="A153" s="1">
        <v>45262</v>
      </c>
      <c r="B153" t="s">
        <v>17</v>
      </c>
      <c r="C153" t="s">
        <v>36</v>
      </c>
      <c r="D153">
        <v>20608</v>
      </c>
      <c r="E153">
        <v>6345</v>
      </c>
      <c r="F153">
        <v>14263</v>
      </c>
      <c r="G153" t="s">
        <v>27</v>
      </c>
      <c r="H153" t="s">
        <v>20</v>
      </c>
      <c r="I153" t="s">
        <v>53</v>
      </c>
      <c r="J153" s="2">
        <f>Table1[[#This Row],[Profit]]/Table1[[#This Row],[Sales]]*100</f>
        <v>69.210986024844729</v>
      </c>
      <c r="K153" t="str">
        <f>IF(Table1[[#This Row],[Sales]]&gt;=30000,"High", IF(Table1[[#This Row],[Sales]]&gt;=15000,"Medium","Low"))</f>
        <v>Medium</v>
      </c>
      <c r="L153" t="str">
        <f>TEXT(Table1[[#This Row],[Order_Date]],"MMM")</f>
        <v>Dec</v>
      </c>
      <c r="M153" t="str">
        <f>IF(Table1[[#This Row],[Profit]]&gt;=10000,"Excellent",IF(Table1[[#This Row],[Profit]]&gt;5000,"Good","Low"))</f>
        <v>Excellent</v>
      </c>
      <c r="N153" t="str">
        <f>TEXT(Table1[[#This Row],[Order_Date]],"YYYY")</f>
        <v>2023</v>
      </c>
    </row>
    <row r="154" spans="1:14" x14ac:dyDescent="0.25">
      <c r="A154" s="1">
        <v>45957</v>
      </c>
      <c r="B154" t="s">
        <v>11</v>
      </c>
      <c r="C154" t="s">
        <v>41</v>
      </c>
      <c r="D154">
        <v>15436</v>
      </c>
      <c r="E154">
        <v>7387</v>
      </c>
      <c r="F154">
        <v>8049</v>
      </c>
      <c r="G154" t="s">
        <v>27</v>
      </c>
      <c r="H154" t="s">
        <v>45</v>
      </c>
      <c r="I154" t="s">
        <v>29</v>
      </c>
      <c r="J154" s="2">
        <f>Table1[[#This Row],[Profit]]/Table1[[#This Row],[Sales]]*100</f>
        <v>52.144337911376006</v>
      </c>
      <c r="K154" t="str">
        <f>IF(Table1[[#This Row],[Sales]]&gt;=30000,"High", IF(Table1[[#This Row],[Sales]]&gt;=15000,"Medium","Low"))</f>
        <v>Medium</v>
      </c>
      <c r="L154" t="str">
        <f>TEXT(Table1[[#This Row],[Order_Date]],"MMM")</f>
        <v>Oct</v>
      </c>
      <c r="M154" t="str">
        <f>IF(Table1[[#This Row],[Profit]]&gt;=10000,"Excellent",IF(Table1[[#This Row],[Profit]]&gt;5000,"Good","Low"))</f>
        <v>Good</v>
      </c>
      <c r="N154" t="str">
        <f>TEXT(Table1[[#This Row],[Order_Date]],"YYYY")</f>
        <v>2025</v>
      </c>
    </row>
    <row r="155" spans="1:14" x14ac:dyDescent="0.25">
      <c r="A155" s="1">
        <v>45622</v>
      </c>
      <c r="B155" t="s">
        <v>22</v>
      </c>
      <c r="C155" t="s">
        <v>41</v>
      </c>
      <c r="D155">
        <v>46376</v>
      </c>
      <c r="E155">
        <v>34179</v>
      </c>
      <c r="F155">
        <v>12197</v>
      </c>
      <c r="G155" t="s">
        <v>38</v>
      </c>
      <c r="H155" t="s">
        <v>34</v>
      </c>
      <c r="I155" t="s">
        <v>15</v>
      </c>
      <c r="J155" s="2">
        <f>Table1[[#This Row],[Profit]]/Table1[[#This Row],[Sales]]*100</f>
        <v>26.300241504226324</v>
      </c>
      <c r="K155" t="str">
        <f>IF(Table1[[#This Row],[Sales]]&gt;=30000,"High", IF(Table1[[#This Row],[Sales]]&gt;=15000,"Medium","Low"))</f>
        <v>High</v>
      </c>
      <c r="L155" t="str">
        <f>TEXT(Table1[[#This Row],[Order_Date]],"MMM")</f>
        <v>Nov</v>
      </c>
      <c r="M155" t="str">
        <f>IF(Table1[[#This Row],[Profit]]&gt;=10000,"Excellent",IF(Table1[[#This Row],[Profit]]&gt;5000,"Good","Low"))</f>
        <v>Excellent</v>
      </c>
      <c r="N155" t="str">
        <f>TEXT(Table1[[#This Row],[Order_Date]],"YYYY")</f>
        <v>2024</v>
      </c>
    </row>
    <row r="156" spans="1:14" x14ac:dyDescent="0.25">
      <c r="A156" s="1">
        <v>45809</v>
      </c>
      <c r="B156" t="s">
        <v>44</v>
      </c>
      <c r="C156" t="s">
        <v>18</v>
      </c>
      <c r="D156">
        <v>47585</v>
      </c>
      <c r="E156">
        <v>38305</v>
      </c>
      <c r="F156">
        <v>9280</v>
      </c>
      <c r="G156" t="s">
        <v>38</v>
      </c>
      <c r="H156" t="s">
        <v>20</v>
      </c>
      <c r="I156" t="s">
        <v>53</v>
      </c>
      <c r="J156" s="2">
        <f>Table1[[#This Row],[Profit]]/Table1[[#This Row],[Sales]]*100</f>
        <v>19.501943889881264</v>
      </c>
      <c r="K156" t="str">
        <f>IF(Table1[[#This Row],[Sales]]&gt;=30000,"High", IF(Table1[[#This Row],[Sales]]&gt;=15000,"Medium","Low"))</f>
        <v>High</v>
      </c>
      <c r="L156" t="str">
        <f>TEXT(Table1[[#This Row],[Order_Date]],"MMM")</f>
        <v>Jun</v>
      </c>
      <c r="M156" t="str">
        <f>IF(Table1[[#This Row],[Profit]]&gt;=10000,"Excellent",IF(Table1[[#This Row],[Profit]]&gt;5000,"Good","Low"))</f>
        <v>Good</v>
      </c>
      <c r="N156" t="str">
        <f>TEXT(Table1[[#This Row],[Order_Date]],"YYYY")</f>
        <v>2025</v>
      </c>
    </row>
    <row r="157" spans="1:14" x14ac:dyDescent="0.25">
      <c r="A157" s="1">
        <v>45903</v>
      </c>
      <c r="B157" t="s">
        <v>17</v>
      </c>
      <c r="C157" t="s">
        <v>41</v>
      </c>
      <c r="D157">
        <v>24825</v>
      </c>
      <c r="E157">
        <v>9310</v>
      </c>
      <c r="F157">
        <v>15515</v>
      </c>
      <c r="G157" t="s">
        <v>13</v>
      </c>
      <c r="H157" t="s">
        <v>20</v>
      </c>
      <c r="I157" t="s">
        <v>29</v>
      </c>
      <c r="J157" s="2">
        <f>Table1[[#This Row],[Profit]]/Table1[[#This Row],[Sales]]*100</f>
        <v>62.497482376636462</v>
      </c>
      <c r="K157" t="str">
        <f>IF(Table1[[#This Row],[Sales]]&gt;=30000,"High", IF(Table1[[#This Row],[Sales]]&gt;=15000,"Medium","Low"))</f>
        <v>Medium</v>
      </c>
      <c r="L157" t="str">
        <f>TEXT(Table1[[#This Row],[Order_Date]],"MMM")</f>
        <v>Sep</v>
      </c>
      <c r="M157" t="str">
        <f>IF(Table1[[#This Row],[Profit]]&gt;=10000,"Excellent",IF(Table1[[#This Row],[Profit]]&gt;5000,"Good","Low"))</f>
        <v>Excellent</v>
      </c>
      <c r="N157" t="str">
        <f>TEXT(Table1[[#This Row],[Order_Date]],"YYYY")</f>
        <v>2025</v>
      </c>
    </row>
    <row r="158" spans="1:14" x14ac:dyDescent="0.25">
      <c r="A158" s="1">
        <v>45413</v>
      </c>
      <c r="B158" t="s">
        <v>44</v>
      </c>
      <c r="C158" t="s">
        <v>33</v>
      </c>
      <c r="D158">
        <v>9650</v>
      </c>
      <c r="E158">
        <v>8273</v>
      </c>
      <c r="F158">
        <v>1377</v>
      </c>
      <c r="G158" t="s">
        <v>19</v>
      </c>
      <c r="H158" t="s">
        <v>23</v>
      </c>
      <c r="I158" t="s">
        <v>53</v>
      </c>
      <c r="J158" s="2">
        <f>Table1[[#This Row],[Profit]]/Table1[[#This Row],[Sales]]*100</f>
        <v>14.269430051813472</v>
      </c>
      <c r="K158" t="str">
        <f>IF(Table1[[#This Row],[Sales]]&gt;=30000,"High", IF(Table1[[#This Row],[Sales]]&gt;=15000,"Medium","Low"))</f>
        <v>Low</v>
      </c>
      <c r="L158" t="str">
        <f>TEXT(Table1[[#This Row],[Order_Date]],"MMM")</f>
        <v>May</v>
      </c>
      <c r="M158" t="str">
        <f>IF(Table1[[#This Row],[Profit]]&gt;=10000,"Excellent",IF(Table1[[#This Row],[Profit]]&gt;5000,"Good","Low"))</f>
        <v>Low</v>
      </c>
      <c r="N158" t="str">
        <f>TEXT(Table1[[#This Row],[Order_Date]],"YYYY")</f>
        <v>2024</v>
      </c>
    </row>
    <row r="159" spans="1:14" x14ac:dyDescent="0.25">
      <c r="A159" s="1">
        <v>45567</v>
      </c>
      <c r="B159" t="s">
        <v>17</v>
      </c>
      <c r="C159" t="s">
        <v>12</v>
      </c>
      <c r="D159">
        <v>6877</v>
      </c>
      <c r="E159">
        <v>2641</v>
      </c>
      <c r="F159">
        <v>4236</v>
      </c>
      <c r="G159" t="s">
        <v>13</v>
      </c>
      <c r="H159" t="s">
        <v>45</v>
      </c>
      <c r="I159" t="s">
        <v>29</v>
      </c>
      <c r="J159" s="2">
        <f>Table1[[#This Row],[Profit]]/Table1[[#This Row],[Sales]]*100</f>
        <v>61.596626435945915</v>
      </c>
      <c r="K159" t="str">
        <f>IF(Table1[[#This Row],[Sales]]&gt;=30000,"High", IF(Table1[[#This Row],[Sales]]&gt;=15000,"Medium","Low"))</f>
        <v>Low</v>
      </c>
      <c r="L159" t="str">
        <f>TEXT(Table1[[#This Row],[Order_Date]],"MMM")</f>
        <v>Oct</v>
      </c>
      <c r="M159" t="str">
        <f>IF(Table1[[#This Row],[Profit]]&gt;=10000,"Excellent",IF(Table1[[#This Row],[Profit]]&gt;5000,"Good","Low"))</f>
        <v>Low</v>
      </c>
      <c r="N159" t="str">
        <f>TEXT(Table1[[#This Row],[Order_Date]],"YYYY")</f>
        <v>2024</v>
      </c>
    </row>
    <row r="160" spans="1:14" x14ac:dyDescent="0.25">
      <c r="A160" s="1">
        <v>46023</v>
      </c>
      <c r="B160" t="s">
        <v>26</v>
      </c>
      <c r="C160" t="s">
        <v>41</v>
      </c>
      <c r="D160">
        <v>35474</v>
      </c>
      <c r="E160">
        <v>30685</v>
      </c>
      <c r="F160">
        <v>4789</v>
      </c>
      <c r="G160" t="s">
        <v>38</v>
      </c>
      <c r="H160" t="s">
        <v>20</v>
      </c>
      <c r="I160" t="s">
        <v>24</v>
      </c>
      <c r="J160" s="2">
        <f>Table1[[#This Row],[Profit]]/Table1[[#This Row],[Sales]]*100</f>
        <v>13.500028189660032</v>
      </c>
      <c r="K160" t="str">
        <f>IF(Table1[[#This Row],[Sales]]&gt;=30000,"High", IF(Table1[[#This Row],[Sales]]&gt;=15000,"Medium","Low"))</f>
        <v>High</v>
      </c>
      <c r="L160" t="str">
        <f>TEXT(Table1[[#This Row],[Order_Date]],"MMM")</f>
        <v>Jan</v>
      </c>
      <c r="M160" t="str">
        <f>IF(Table1[[#This Row],[Profit]]&gt;=10000,"Excellent",IF(Table1[[#This Row],[Profit]]&gt;5000,"Good","Low"))</f>
        <v>Low</v>
      </c>
      <c r="N160" t="str">
        <f>TEXT(Table1[[#This Row],[Order_Date]],"YYYY")</f>
        <v>2026</v>
      </c>
    </row>
    <row r="161" spans="1:14" x14ac:dyDescent="0.25">
      <c r="A161" s="1">
        <v>45307</v>
      </c>
      <c r="B161" t="s">
        <v>11</v>
      </c>
      <c r="C161" t="s">
        <v>12</v>
      </c>
      <c r="D161">
        <v>23782</v>
      </c>
      <c r="E161">
        <v>13918</v>
      </c>
      <c r="F161">
        <v>9864</v>
      </c>
      <c r="G161" t="s">
        <v>13</v>
      </c>
      <c r="H161" t="s">
        <v>31</v>
      </c>
      <c r="I161" t="s">
        <v>53</v>
      </c>
      <c r="J161" s="2">
        <f>Table1[[#This Row],[Profit]]/Table1[[#This Row],[Sales]]*100</f>
        <v>41.476747119670335</v>
      </c>
      <c r="K161" t="str">
        <f>IF(Table1[[#This Row],[Sales]]&gt;=30000,"High", IF(Table1[[#This Row],[Sales]]&gt;=15000,"Medium","Low"))</f>
        <v>Medium</v>
      </c>
      <c r="L161" t="str">
        <f>TEXT(Table1[[#This Row],[Order_Date]],"MMM")</f>
        <v>Jan</v>
      </c>
      <c r="M161" t="str">
        <f>IF(Table1[[#This Row],[Profit]]&gt;=10000,"Excellent",IF(Table1[[#This Row],[Profit]]&gt;5000,"Good","Low"))</f>
        <v>Good</v>
      </c>
      <c r="N161" t="str">
        <f>TEXT(Table1[[#This Row],[Order_Date]],"YYYY")</f>
        <v>2024</v>
      </c>
    </row>
    <row r="162" spans="1:14" x14ac:dyDescent="0.25">
      <c r="A162" s="1">
        <v>45577</v>
      </c>
      <c r="B162" t="s">
        <v>26</v>
      </c>
      <c r="C162" t="s">
        <v>18</v>
      </c>
      <c r="D162">
        <v>48963</v>
      </c>
      <c r="E162">
        <v>37100</v>
      </c>
      <c r="F162">
        <v>11863</v>
      </c>
      <c r="G162" t="s">
        <v>13</v>
      </c>
      <c r="H162" t="s">
        <v>78</v>
      </c>
      <c r="I162" t="s">
        <v>42</v>
      </c>
      <c r="J162" s="2">
        <f>Table1[[#This Row],[Profit]]/Table1[[#This Row],[Sales]]*100</f>
        <v>24.228499070726876</v>
      </c>
      <c r="K162" t="str">
        <f>IF(Table1[[#This Row],[Sales]]&gt;=30000,"High", IF(Table1[[#This Row],[Sales]]&gt;=15000,"Medium","Low"))</f>
        <v>High</v>
      </c>
      <c r="L162" t="str">
        <f>TEXT(Table1[[#This Row],[Order_Date]],"MMM")</f>
        <v>Oct</v>
      </c>
      <c r="M162" t="str">
        <f>IF(Table1[[#This Row],[Profit]]&gt;=10000,"Excellent",IF(Table1[[#This Row],[Profit]]&gt;5000,"Good","Low"))</f>
        <v>Excellent</v>
      </c>
      <c r="N162" t="str">
        <f>TEXT(Table1[[#This Row],[Order_Date]],"YYYY")</f>
        <v>2024</v>
      </c>
    </row>
    <row r="163" spans="1:14" x14ac:dyDescent="0.25">
      <c r="A163" s="1">
        <v>45964</v>
      </c>
      <c r="B163" t="s">
        <v>44</v>
      </c>
      <c r="C163" t="s">
        <v>18</v>
      </c>
      <c r="D163">
        <v>30842</v>
      </c>
      <c r="E163">
        <v>15072</v>
      </c>
      <c r="F163">
        <v>15770</v>
      </c>
      <c r="G163" t="s">
        <v>13</v>
      </c>
      <c r="H163" t="s">
        <v>31</v>
      </c>
      <c r="I163" t="s">
        <v>15</v>
      </c>
      <c r="J163" s="2">
        <f>Table1[[#This Row],[Profit]]/Table1[[#This Row],[Sales]]*100</f>
        <v>51.131573827897029</v>
      </c>
      <c r="K163" t="str">
        <f>IF(Table1[[#This Row],[Sales]]&gt;=30000,"High", IF(Table1[[#This Row],[Sales]]&gt;=15000,"Medium","Low"))</f>
        <v>High</v>
      </c>
      <c r="L163" t="str">
        <f>TEXT(Table1[[#This Row],[Order_Date]],"MMM")</f>
        <v>Nov</v>
      </c>
      <c r="M163" t="str">
        <f>IF(Table1[[#This Row],[Profit]]&gt;=10000,"Excellent",IF(Table1[[#This Row],[Profit]]&gt;5000,"Good","Low"))</f>
        <v>Excellent</v>
      </c>
      <c r="N163" t="str">
        <f>TEXT(Table1[[#This Row],[Order_Date]],"YYYY")</f>
        <v>2025</v>
      </c>
    </row>
    <row r="164" spans="1:14" x14ac:dyDescent="0.25">
      <c r="A164" s="1">
        <v>45604</v>
      </c>
      <c r="B164" t="s">
        <v>44</v>
      </c>
      <c r="C164" t="s">
        <v>36</v>
      </c>
      <c r="D164">
        <v>46845</v>
      </c>
      <c r="E164">
        <v>43232</v>
      </c>
      <c r="F164">
        <v>3613</v>
      </c>
      <c r="G164" t="s">
        <v>38</v>
      </c>
      <c r="H164" t="s">
        <v>31</v>
      </c>
      <c r="I164" t="s">
        <v>15</v>
      </c>
      <c r="J164" s="2">
        <f>Table1[[#This Row],[Profit]]/Table1[[#This Row],[Sales]]*100</f>
        <v>7.7126694417760699</v>
      </c>
      <c r="K164" t="str">
        <f>IF(Table1[[#This Row],[Sales]]&gt;=30000,"High", IF(Table1[[#This Row],[Sales]]&gt;=15000,"Medium","Low"))</f>
        <v>High</v>
      </c>
      <c r="L164" t="str">
        <f>TEXT(Table1[[#This Row],[Order_Date]],"MMM")</f>
        <v>Nov</v>
      </c>
      <c r="M164" t="str">
        <f>IF(Table1[[#This Row],[Profit]]&gt;=10000,"Excellent",IF(Table1[[#This Row],[Profit]]&gt;5000,"Good","Low"))</f>
        <v>Low</v>
      </c>
      <c r="N164" t="str">
        <f>TEXT(Table1[[#This Row],[Order_Date]],"YYYY")</f>
        <v>2024</v>
      </c>
    </row>
    <row r="165" spans="1:14" x14ac:dyDescent="0.25">
      <c r="A165" s="1">
        <v>45486</v>
      </c>
      <c r="B165" t="s">
        <v>26</v>
      </c>
      <c r="C165" t="s">
        <v>18</v>
      </c>
      <c r="D165">
        <v>29435</v>
      </c>
      <c r="E165">
        <v>24237</v>
      </c>
      <c r="F165">
        <v>5198</v>
      </c>
      <c r="G165" t="s">
        <v>38</v>
      </c>
      <c r="H165" t="s">
        <v>45</v>
      </c>
      <c r="I165" t="s">
        <v>53</v>
      </c>
      <c r="J165" s="2">
        <f>Table1[[#This Row],[Profit]]/Table1[[#This Row],[Sales]]*100</f>
        <v>17.659249193137423</v>
      </c>
      <c r="K165" t="str">
        <f>IF(Table1[[#This Row],[Sales]]&gt;=30000,"High", IF(Table1[[#This Row],[Sales]]&gt;=15000,"Medium","Low"))</f>
        <v>Medium</v>
      </c>
      <c r="L165" t="str">
        <f>TEXT(Table1[[#This Row],[Order_Date]],"MMM")</f>
        <v>Jul</v>
      </c>
      <c r="M165" t="str">
        <f>IF(Table1[[#This Row],[Profit]]&gt;=10000,"Excellent",IF(Table1[[#This Row],[Profit]]&gt;5000,"Good","Low"))</f>
        <v>Good</v>
      </c>
      <c r="N165" t="str">
        <f>TEXT(Table1[[#This Row],[Order_Date]],"YYYY")</f>
        <v>2024</v>
      </c>
    </row>
    <row r="166" spans="1:14" x14ac:dyDescent="0.25">
      <c r="A166" s="1">
        <v>45443</v>
      </c>
      <c r="B166" t="s">
        <v>26</v>
      </c>
      <c r="C166" t="s">
        <v>18</v>
      </c>
      <c r="D166">
        <v>13600</v>
      </c>
      <c r="E166">
        <v>12557</v>
      </c>
      <c r="F166">
        <v>1043</v>
      </c>
      <c r="G166" t="s">
        <v>27</v>
      </c>
      <c r="H166" t="s">
        <v>63</v>
      </c>
      <c r="I166" t="s">
        <v>42</v>
      </c>
      <c r="J166" s="2">
        <f>Table1[[#This Row],[Profit]]/Table1[[#This Row],[Sales]]*100</f>
        <v>7.6691176470588234</v>
      </c>
      <c r="K166" t="str">
        <f>IF(Table1[[#This Row],[Sales]]&gt;=30000,"High", IF(Table1[[#This Row],[Sales]]&gt;=15000,"Medium","Low"))</f>
        <v>Low</v>
      </c>
      <c r="L166" t="str">
        <f>TEXT(Table1[[#This Row],[Order_Date]],"MMM")</f>
        <v>May</v>
      </c>
      <c r="M166" t="str">
        <f>IF(Table1[[#This Row],[Profit]]&gt;=10000,"Excellent",IF(Table1[[#This Row],[Profit]]&gt;5000,"Good","Low"))</f>
        <v>Low</v>
      </c>
      <c r="N166" t="str">
        <f>TEXT(Table1[[#This Row],[Order_Date]],"YYYY")</f>
        <v>2024</v>
      </c>
    </row>
    <row r="167" spans="1:14" x14ac:dyDescent="0.25">
      <c r="A167" s="1">
        <v>45562</v>
      </c>
      <c r="B167" t="s">
        <v>17</v>
      </c>
      <c r="C167" t="s">
        <v>18</v>
      </c>
      <c r="D167">
        <v>16449</v>
      </c>
      <c r="E167">
        <v>3742</v>
      </c>
      <c r="F167">
        <v>12707</v>
      </c>
      <c r="G167" t="s">
        <v>38</v>
      </c>
      <c r="H167" t="s">
        <v>14</v>
      </c>
      <c r="I167" t="s">
        <v>42</v>
      </c>
      <c r="J167" s="2">
        <f>Table1[[#This Row],[Profit]]/Table1[[#This Row],[Sales]]*100</f>
        <v>77.250896711046266</v>
      </c>
      <c r="K167" t="str">
        <f>IF(Table1[[#This Row],[Sales]]&gt;=30000,"High", IF(Table1[[#This Row],[Sales]]&gt;=15000,"Medium","Low"))</f>
        <v>Medium</v>
      </c>
      <c r="L167" t="str">
        <f>TEXT(Table1[[#This Row],[Order_Date]],"MMM")</f>
        <v>Sep</v>
      </c>
      <c r="M167" t="str">
        <f>IF(Table1[[#This Row],[Profit]]&gt;=10000,"Excellent",IF(Table1[[#This Row],[Profit]]&gt;5000,"Good","Low"))</f>
        <v>Excellent</v>
      </c>
      <c r="N167" t="str">
        <f>TEXT(Table1[[#This Row],[Order_Date]],"YYYY")</f>
        <v>2024</v>
      </c>
    </row>
    <row r="168" spans="1:14" x14ac:dyDescent="0.25">
      <c r="A168" s="1">
        <v>45398</v>
      </c>
      <c r="B168" t="s">
        <v>11</v>
      </c>
      <c r="C168" t="s">
        <v>12</v>
      </c>
      <c r="D168">
        <v>27201</v>
      </c>
      <c r="E168">
        <v>13444</v>
      </c>
      <c r="F168">
        <v>13757</v>
      </c>
      <c r="G168" t="s">
        <v>27</v>
      </c>
      <c r="H168" t="s">
        <v>14</v>
      </c>
      <c r="I168" t="s">
        <v>42</v>
      </c>
      <c r="J168" s="2">
        <f>Table1[[#This Row],[Profit]]/Table1[[#This Row],[Sales]]*100</f>
        <v>50.575346494614173</v>
      </c>
      <c r="K168" t="str">
        <f>IF(Table1[[#This Row],[Sales]]&gt;=30000,"High", IF(Table1[[#This Row],[Sales]]&gt;=15000,"Medium","Low"))</f>
        <v>Medium</v>
      </c>
      <c r="L168" t="str">
        <f>TEXT(Table1[[#This Row],[Order_Date]],"MMM")</f>
        <v>Apr</v>
      </c>
      <c r="M168" t="str">
        <f>IF(Table1[[#This Row],[Profit]]&gt;=10000,"Excellent",IF(Table1[[#This Row],[Profit]]&gt;5000,"Good","Low"))</f>
        <v>Excellent</v>
      </c>
      <c r="N168" t="str">
        <f>TEXT(Table1[[#This Row],[Order_Date]],"YYYY")</f>
        <v>2024</v>
      </c>
    </row>
    <row r="169" spans="1:14" x14ac:dyDescent="0.25">
      <c r="A169" s="1">
        <v>45608</v>
      </c>
      <c r="B169" t="s">
        <v>17</v>
      </c>
      <c r="C169" t="s">
        <v>33</v>
      </c>
      <c r="D169">
        <v>5500</v>
      </c>
      <c r="E169">
        <v>3869</v>
      </c>
      <c r="F169">
        <v>1631</v>
      </c>
      <c r="G169" t="s">
        <v>38</v>
      </c>
      <c r="H169" t="s">
        <v>28</v>
      </c>
      <c r="I169" t="s">
        <v>42</v>
      </c>
      <c r="J169" s="2">
        <f>Table1[[#This Row],[Profit]]/Table1[[#This Row],[Sales]]*100</f>
        <v>29.654545454545456</v>
      </c>
      <c r="K169" t="str">
        <f>IF(Table1[[#This Row],[Sales]]&gt;=30000,"High", IF(Table1[[#This Row],[Sales]]&gt;=15000,"Medium","Low"))</f>
        <v>Low</v>
      </c>
      <c r="L169" t="str">
        <f>TEXT(Table1[[#This Row],[Order_Date]],"MMM")</f>
        <v>Nov</v>
      </c>
      <c r="M169" t="str">
        <f>IF(Table1[[#This Row],[Profit]]&gt;=10000,"Excellent",IF(Table1[[#This Row],[Profit]]&gt;5000,"Good","Low"))</f>
        <v>Low</v>
      </c>
      <c r="N169" t="str">
        <f>TEXT(Table1[[#This Row],[Order_Date]],"YYYY")</f>
        <v>2024</v>
      </c>
    </row>
    <row r="170" spans="1:14" x14ac:dyDescent="0.25">
      <c r="A170" s="1">
        <v>46164</v>
      </c>
      <c r="B170" t="s">
        <v>11</v>
      </c>
      <c r="C170" t="s">
        <v>41</v>
      </c>
      <c r="D170">
        <v>10905</v>
      </c>
      <c r="E170">
        <v>733</v>
      </c>
      <c r="F170">
        <v>10172</v>
      </c>
      <c r="G170" t="s">
        <v>38</v>
      </c>
      <c r="H170" t="s">
        <v>23</v>
      </c>
      <c r="I170" t="s">
        <v>15</v>
      </c>
      <c r="J170" s="2">
        <f>Table1[[#This Row],[Profit]]/Table1[[#This Row],[Sales]]*100</f>
        <v>93.278312700596061</v>
      </c>
      <c r="K170" t="str">
        <f>IF(Table1[[#This Row],[Sales]]&gt;=30000,"High", IF(Table1[[#This Row],[Sales]]&gt;=15000,"Medium","Low"))</f>
        <v>Low</v>
      </c>
      <c r="L170" t="str">
        <f>TEXT(Table1[[#This Row],[Order_Date]],"MMM")</f>
        <v>May</v>
      </c>
      <c r="M170" t="str">
        <f>IF(Table1[[#This Row],[Profit]]&gt;=10000,"Excellent",IF(Table1[[#This Row],[Profit]]&gt;5000,"Good","Low"))</f>
        <v>Excellent</v>
      </c>
      <c r="N170" t="str">
        <f>TEXT(Table1[[#This Row],[Order_Date]],"YYYY")</f>
        <v>2026</v>
      </c>
    </row>
    <row r="171" spans="1:14" x14ac:dyDescent="0.25">
      <c r="A171" s="1">
        <v>45863</v>
      </c>
      <c r="B171" t="s">
        <v>11</v>
      </c>
      <c r="C171" t="s">
        <v>33</v>
      </c>
      <c r="D171">
        <v>20291</v>
      </c>
      <c r="E171">
        <v>13778</v>
      </c>
      <c r="F171">
        <v>6513</v>
      </c>
      <c r="G171" t="s">
        <v>38</v>
      </c>
      <c r="H171" t="s">
        <v>78</v>
      </c>
      <c r="I171" t="s">
        <v>24</v>
      </c>
      <c r="J171" s="2">
        <f>Table1[[#This Row],[Profit]]/Table1[[#This Row],[Sales]]*100</f>
        <v>32.097974471440537</v>
      </c>
      <c r="K171" t="str">
        <f>IF(Table1[[#This Row],[Sales]]&gt;=30000,"High", IF(Table1[[#This Row],[Sales]]&gt;=15000,"Medium","Low"))</f>
        <v>Medium</v>
      </c>
      <c r="L171" t="str">
        <f>TEXT(Table1[[#This Row],[Order_Date]],"MMM")</f>
        <v>Jul</v>
      </c>
      <c r="M171" t="str">
        <f>IF(Table1[[#This Row],[Profit]]&gt;=10000,"Excellent",IF(Table1[[#This Row],[Profit]]&gt;5000,"Good","Low"))</f>
        <v>Good</v>
      </c>
      <c r="N171" t="str">
        <f>TEXT(Table1[[#This Row],[Order_Date]],"YYYY")</f>
        <v>2025</v>
      </c>
    </row>
    <row r="172" spans="1:14" x14ac:dyDescent="0.25">
      <c r="A172" s="1">
        <v>45726</v>
      </c>
      <c r="B172" t="s">
        <v>44</v>
      </c>
      <c r="C172" t="s">
        <v>18</v>
      </c>
      <c r="D172">
        <v>32091</v>
      </c>
      <c r="E172">
        <v>28474</v>
      </c>
      <c r="F172">
        <v>3617</v>
      </c>
      <c r="G172" t="s">
        <v>27</v>
      </c>
      <c r="H172" t="s">
        <v>60</v>
      </c>
      <c r="I172" t="s">
        <v>42</v>
      </c>
      <c r="J172" s="2">
        <f>Table1[[#This Row],[Profit]]/Table1[[#This Row],[Sales]]*100</f>
        <v>11.271072886479075</v>
      </c>
      <c r="K172" t="str">
        <f>IF(Table1[[#This Row],[Sales]]&gt;=30000,"High", IF(Table1[[#This Row],[Sales]]&gt;=15000,"Medium","Low"))</f>
        <v>High</v>
      </c>
      <c r="L172" t="str">
        <f>TEXT(Table1[[#This Row],[Order_Date]],"MMM")</f>
        <v>Mar</v>
      </c>
      <c r="M172" t="str">
        <f>IF(Table1[[#This Row],[Profit]]&gt;=10000,"Excellent",IF(Table1[[#This Row],[Profit]]&gt;5000,"Good","Low"))</f>
        <v>Low</v>
      </c>
      <c r="N172" t="str">
        <f>TEXT(Table1[[#This Row],[Order_Date]],"YYYY")</f>
        <v>2025</v>
      </c>
    </row>
    <row r="173" spans="1:14" x14ac:dyDescent="0.25">
      <c r="A173" s="1">
        <v>46164</v>
      </c>
      <c r="B173" t="s">
        <v>22</v>
      </c>
      <c r="C173" t="s">
        <v>18</v>
      </c>
      <c r="D173">
        <v>25679</v>
      </c>
      <c r="E173">
        <v>19089</v>
      </c>
      <c r="F173">
        <v>6590</v>
      </c>
      <c r="G173" t="s">
        <v>19</v>
      </c>
      <c r="H173" t="s">
        <v>63</v>
      </c>
      <c r="I173" t="s">
        <v>29</v>
      </c>
      <c r="J173" s="2">
        <f>Table1[[#This Row],[Profit]]/Table1[[#This Row],[Sales]]*100</f>
        <v>25.662993107208226</v>
      </c>
      <c r="K173" t="str">
        <f>IF(Table1[[#This Row],[Sales]]&gt;=30000,"High", IF(Table1[[#This Row],[Sales]]&gt;=15000,"Medium","Low"))</f>
        <v>Medium</v>
      </c>
      <c r="L173" t="str">
        <f>TEXT(Table1[[#This Row],[Order_Date]],"MMM")</f>
        <v>May</v>
      </c>
      <c r="M173" t="str">
        <f>IF(Table1[[#This Row],[Profit]]&gt;=10000,"Excellent",IF(Table1[[#This Row],[Profit]]&gt;5000,"Good","Low"))</f>
        <v>Good</v>
      </c>
      <c r="N173" t="str">
        <f>TEXT(Table1[[#This Row],[Order_Date]],"YYYY")</f>
        <v>2026</v>
      </c>
    </row>
    <row r="174" spans="1:14" x14ac:dyDescent="0.25">
      <c r="A174" s="1">
        <v>45586</v>
      </c>
      <c r="B174" t="s">
        <v>26</v>
      </c>
      <c r="C174" t="s">
        <v>18</v>
      </c>
      <c r="D174">
        <v>19697</v>
      </c>
      <c r="E174">
        <v>7037</v>
      </c>
      <c r="F174">
        <v>12660</v>
      </c>
      <c r="G174" t="s">
        <v>19</v>
      </c>
      <c r="H174" t="s">
        <v>28</v>
      </c>
      <c r="I174" t="s">
        <v>15</v>
      </c>
      <c r="J174" s="2">
        <f>Table1[[#This Row],[Profit]]/Table1[[#This Row],[Sales]]*100</f>
        <v>64.273747271158044</v>
      </c>
      <c r="K174" t="str">
        <f>IF(Table1[[#This Row],[Sales]]&gt;=30000,"High", IF(Table1[[#This Row],[Sales]]&gt;=15000,"Medium","Low"))</f>
        <v>Medium</v>
      </c>
      <c r="L174" t="str">
        <f>TEXT(Table1[[#This Row],[Order_Date]],"MMM")</f>
        <v>Oct</v>
      </c>
      <c r="M174" t="str">
        <f>IF(Table1[[#This Row],[Profit]]&gt;=10000,"Excellent",IF(Table1[[#This Row],[Profit]]&gt;5000,"Good","Low"))</f>
        <v>Excellent</v>
      </c>
      <c r="N174" t="str">
        <f>TEXT(Table1[[#This Row],[Order_Date]],"YYYY")</f>
        <v>2024</v>
      </c>
    </row>
    <row r="175" spans="1:14" x14ac:dyDescent="0.25">
      <c r="A175" s="1">
        <v>45302</v>
      </c>
      <c r="B175" t="s">
        <v>26</v>
      </c>
      <c r="C175" t="s">
        <v>12</v>
      </c>
      <c r="D175">
        <v>31169</v>
      </c>
      <c r="E175">
        <v>12943</v>
      </c>
      <c r="F175">
        <v>18226</v>
      </c>
      <c r="G175" t="s">
        <v>19</v>
      </c>
      <c r="H175" t="s">
        <v>60</v>
      </c>
      <c r="I175" t="s">
        <v>15</v>
      </c>
      <c r="J175" s="2">
        <f>Table1[[#This Row],[Profit]]/Table1[[#This Row],[Sales]]*100</f>
        <v>58.47476659501428</v>
      </c>
      <c r="K175" t="str">
        <f>IF(Table1[[#This Row],[Sales]]&gt;=30000,"High", IF(Table1[[#This Row],[Sales]]&gt;=15000,"Medium","Low"))</f>
        <v>High</v>
      </c>
      <c r="L175" t="str">
        <f>TEXT(Table1[[#This Row],[Order_Date]],"MMM")</f>
        <v>Jan</v>
      </c>
      <c r="M175" t="str">
        <f>IF(Table1[[#This Row],[Profit]]&gt;=10000,"Excellent",IF(Table1[[#This Row],[Profit]]&gt;5000,"Good","Low"))</f>
        <v>Excellent</v>
      </c>
      <c r="N175" t="str">
        <f>TEXT(Table1[[#This Row],[Order_Date]],"YYYY")</f>
        <v>2024</v>
      </c>
    </row>
    <row r="176" spans="1:14" x14ac:dyDescent="0.25">
      <c r="A176" s="1">
        <v>45620</v>
      </c>
      <c r="B176" t="s">
        <v>26</v>
      </c>
      <c r="C176" t="s">
        <v>12</v>
      </c>
      <c r="D176">
        <v>19498</v>
      </c>
      <c r="E176">
        <v>855</v>
      </c>
      <c r="F176">
        <v>18643</v>
      </c>
      <c r="G176" t="s">
        <v>38</v>
      </c>
      <c r="H176" t="s">
        <v>31</v>
      </c>
      <c r="I176" t="s">
        <v>24</v>
      </c>
      <c r="J176" s="2">
        <f>Table1[[#This Row],[Profit]]/Table1[[#This Row],[Sales]]*100</f>
        <v>95.614934865114378</v>
      </c>
      <c r="K176" t="str">
        <f>IF(Table1[[#This Row],[Sales]]&gt;=30000,"High", IF(Table1[[#This Row],[Sales]]&gt;=15000,"Medium","Low"))</f>
        <v>Medium</v>
      </c>
      <c r="L176" t="str">
        <f>TEXT(Table1[[#This Row],[Order_Date]],"MMM")</f>
        <v>Nov</v>
      </c>
      <c r="M176" t="str">
        <f>IF(Table1[[#This Row],[Profit]]&gt;=10000,"Excellent",IF(Table1[[#This Row],[Profit]]&gt;5000,"Good","Low"))</f>
        <v>Excellent</v>
      </c>
      <c r="N176" t="str">
        <f>TEXT(Table1[[#This Row],[Order_Date]],"YYYY")</f>
        <v>2024</v>
      </c>
    </row>
    <row r="177" spans="1:14" x14ac:dyDescent="0.25">
      <c r="A177" s="1">
        <v>46153</v>
      </c>
      <c r="B177" t="s">
        <v>44</v>
      </c>
      <c r="C177" t="s">
        <v>18</v>
      </c>
      <c r="D177">
        <v>21393</v>
      </c>
      <c r="E177">
        <v>5856</v>
      </c>
      <c r="F177">
        <v>15537</v>
      </c>
      <c r="G177" t="s">
        <v>38</v>
      </c>
      <c r="H177" t="s">
        <v>45</v>
      </c>
      <c r="I177" t="s">
        <v>29</v>
      </c>
      <c r="J177" s="2">
        <f>Table1[[#This Row],[Profit]]/Table1[[#This Row],[Sales]]*100</f>
        <v>72.626560089748978</v>
      </c>
      <c r="K177" t="str">
        <f>IF(Table1[[#This Row],[Sales]]&gt;=30000,"High", IF(Table1[[#This Row],[Sales]]&gt;=15000,"Medium","Low"))</f>
        <v>Medium</v>
      </c>
      <c r="L177" t="str">
        <f>TEXT(Table1[[#This Row],[Order_Date]],"MMM")</f>
        <v>May</v>
      </c>
      <c r="M177" t="str">
        <f>IF(Table1[[#This Row],[Profit]]&gt;=10000,"Excellent",IF(Table1[[#This Row],[Profit]]&gt;5000,"Good","Low"))</f>
        <v>Excellent</v>
      </c>
      <c r="N177" t="str">
        <f>TEXT(Table1[[#This Row],[Order_Date]],"YYYY")</f>
        <v>2026</v>
      </c>
    </row>
    <row r="178" spans="1:14" x14ac:dyDescent="0.25">
      <c r="A178" s="1">
        <v>45388</v>
      </c>
      <c r="B178" t="s">
        <v>11</v>
      </c>
      <c r="C178" t="s">
        <v>12</v>
      </c>
      <c r="D178">
        <v>9989</v>
      </c>
      <c r="E178">
        <v>3281</v>
      </c>
      <c r="F178">
        <v>6708</v>
      </c>
      <c r="G178" t="s">
        <v>13</v>
      </c>
      <c r="H178" t="s">
        <v>60</v>
      </c>
      <c r="I178" t="s">
        <v>15</v>
      </c>
      <c r="J178" s="2">
        <f>Table1[[#This Row],[Profit]]/Table1[[#This Row],[Sales]]*100</f>
        <v>67.153869256181792</v>
      </c>
      <c r="K178" t="str">
        <f>IF(Table1[[#This Row],[Sales]]&gt;=30000,"High", IF(Table1[[#This Row],[Sales]]&gt;=15000,"Medium","Low"))</f>
        <v>Low</v>
      </c>
      <c r="L178" t="str">
        <f>TEXT(Table1[[#This Row],[Order_Date]],"MMM")</f>
        <v>Apr</v>
      </c>
      <c r="M178" t="str">
        <f>IF(Table1[[#This Row],[Profit]]&gt;=10000,"Excellent",IF(Table1[[#This Row],[Profit]]&gt;5000,"Good","Low"))</f>
        <v>Good</v>
      </c>
      <c r="N178" t="str">
        <f>TEXT(Table1[[#This Row],[Order_Date]],"YYYY")</f>
        <v>2024</v>
      </c>
    </row>
    <row r="179" spans="1:14" x14ac:dyDescent="0.25">
      <c r="A179" s="1">
        <v>45170</v>
      </c>
      <c r="B179" t="s">
        <v>22</v>
      </c>
      <c r="C179" t="s">
        <v>18</v>
      </c>
      <c r="D179">
        <v>44327</v>
      </c>
      <c r="E179">
        <v>36468</v>
      </c>
      <c r="F179">
        <v>7859</v>
      </c>
      <c r="G179" t="s">
        <v>13</v>
      </c>
      <c r="H179" t="s">
        <v>31</v>
      </c>
      <c r="I179" t="s">
        <v>24</v>
      </c>
      <c r="J179" s="2">
        <f>Table1[[#This Row],[Profit]]/Table1[[#This Row],[Sales]]*100</f>
        <v>17.729600469239966</v>
      </c>
      <c r="K179" t="str">
        <f>IF(Table1[[#This Row],[Sales]]&gt;=30000,"High", IF(Table1[[#This Row],[Sales]]&gt;=15000,"Medium","Low"))</f>
        <v>High</v>
      </c>
      <c r="L179" t="str">
        <f>TEXT(Table1[[#This Row],[Order_Date]],"MMM")</f>
        <v>Sep</v>
      </c>
      <c r="M179" t="str">
        <f>IF(Table1[[#This Row],[Profit]]&gt;=10000,"Excellent",IF(Table1[[#This Row],[Profit]]&gt;5000,"Good","Low"))</f>
        <v>Good</v>
      </c>
      <c r="N179" t="str">
        <f>TEXT(Table1[[#This Row],[Order_Date]],"YYYY")</f>
        <v>2023</v>
      </c>
    </row>
    <row r="180" spans="1:14" x14ac:dyDescent="0.25">
      <c r="A180" s="1">
        <v>45132</v>
      </c>
      <c r="B180" t="s">
        <v>22</v>
      </c>
      <c r="C180" t="s">
        <v>12</v>
      </c>
      <c r="D180">
        <v>43579</v>
      </c>
      <c r="E180">
        <v>39268</v>
      </c>
      <c r="F180">
        <v>4311</v>
      </c>
      <c r="G180" t="s">
        <v>13</v>
      </c>
      <c r="H180" t="s">
        <v>60</v>
      </c>
      <c r="I180" t="s">
        <v>15</v>
      </c>
      <c r="J180" s="2">
        <f>Table1[[#This Row],[Profit]]/Table1[[#This Row],[Sales]]*100</f>
        <v>9.8923793570297622</v>
      </c>
      <c r="K180" t="str">
        <f>IF(Table1[[#This Row],[Sales]]&gt;=30000,"High", IF(Table1[[#This Row],[Sales]]&gt;=15000,"Medium","Low"))</f>
        <v>High</v>
      </c>
      <c r="L180" t="str">
        <f>TEXT(Table1[[#This Row],[Order_Date]],"MMM")</f>
        <v>Jul</v>
      </c>
      <c r="M180" t="str">
        <f>IF(Table1[[#This Row],[Profit]]&gt;=10000,"Excellent",IF(Table1[[#This Row],[Profit]]&gt;5000,"Good","Low"))</f>
        <v>Low</v>
      </c>
      <c r="N180" t="str">
        <f>TEXT(Table1[[#This Row],[Order_Date]],"YYYY")</f>
        <v>2023</v>
      </c>
    </row>
    <row r="181" spans="1:14" x14ac:dyDescent="0.25">
      <c r="A181" s="1">
        <v>45860</v>
      </c>
      <c r="B181" t="s">
        <v>17</v>
      </c>
      <c r="C181" t="s">
        <v>33</v>
      </c>
      <c r="D181">
        <v>10811</v>
      </c>
      <c r="E181">
        <v>7499</v>
      </c>
      <c r="F181">
        <v>3312</v>
      </c>
      <c r="G181" t="s">
        <v>27</v>
      </c>
      <c r="H181" t="s">
        <v>20</v>
      </c>
      <c r="I181" t="s">
        <v>15</v>
      </c>
      <c r="J181" s="2">
        <f>Table1[[#This Row],[Profit]]/Table1[[#This Row],[Sales]]*100</f>
        <v>30.635463879382112</v>
      </c>
      <c r="K181" t="str">
        <f>IF(Table1[[#This Row],[Sales]]&gt;=30000,"High", IF(Table1[[#This Row],[Sales]]&gt;=15000,"Medium","Low"))</f>
        <v>Low</v>
      </c>
      <c r="L181" t="str">
        <f>TEXT(Table1[[#This Row],[Order_Date]],"MMM")</f>
        <v>Jul</v>
      </c>
      <c r="M181" t="str">
        <f>IF(Table1[[#This Row],[Profit]]&gt;=10000,"Excellent",IF(Table1[[#This Row],[Profit]]&gt;5000,"Good","Low"))</f>
        <v>Low</v>
      </c>
      <c r="N181" t="str">
        <f>TEXT(Table1[[#This Row],[Order_Date]],"YYYY")</f>
        <v>2025</v>
      </c>
    </row>
    <row r="182" spans="1:14" x14ac:dyDescent="0.25">
      <c r="A182" s="1">
        <v>46133</v>
      </c>
      <c r="B182" t="s">
        <v>11</v>
      </c>
      <c r="C182" t="s">
        <v>18</v>
      </c>
      <c r="D182">
        <v>13384</v>
      </c>
      <c r="E182">
        <v>3259</v>
      </c>
      <c r="F182">
        <v>10125</v>
      </c>
      <c r="G182" t="s">
        <v>19</v>
      </c>
      <c r="H182" t="s">
        <v>20</v>
      </c>
      <c r="I182" t="s">
        <v>42</v>
      </c>
      <c r="J182" s="2">
        <f>Table1[[#This Row],[Profit]]/Table1[[#This Row],[Sales]]*100</f>
        <v>75.650029886431554</v>
      </c>
      <c r="K182" t="str">
        <f>IF(Table1[[#This Row],[Sales]]&gt;=30000,"High", IF(Table1[[#This Row],[Sales]]&gt;=15000,"Medium","Low"))</f>
        <v>Low</v>
      </c>
      <c r="L182" t="str">
        <f>TEXT(Table1[[#This Row],[Order_Date]],"MMM")</f>
        <v>Apr</v>
      </c>
      <c r="M182" t="str">
        <f>IF(Table1[[#This Row],[Profit]]&gt;=10000,"Excellent",IF(Table1[[#This Row],[Profit]]&gt;5000,"Good","Low"))</f>
        <v>Excellent</v>
      </c>
      <c r="N182" t="str">
        <f>TEXT(Table1[[#This Row],[Order_Date]],"YYYY")</f>
        <v>2026</v>
      </c>
    </row>
    <row r="183" spans="1:14" x14ac:dyDescent="0.25">
      <c r="A183" s="1">
        <v>45726</v>
      </c>
      <c r="B183" t="s">
        <v>44</v>
      </c>
      <c r="C183" t="s">
        <v>12</v>
      </c>
      <c r="D183">
        <v>20243</v>
      </c>
      <c r="E183">
        <v>3667</v>
      </c>
      <c r="F183">
        <v>16576</v>
      </c>
      <c r="G183" t="s">
        <v>13</v>
      </c>
      <c r="H183" t="s">
        <v>45</v>
      </c>
      <c r="I183" t="s">
        <v>24</v>
      </c>
      <c r="J183" s="2">
        <f>Table1[[#This Row],[Profit]]/Table1[[#This Row],[Sales]]*100</f>
        <v>81.885096082596448</v>
      </c>
      <c r="K183" t="str">
        <f>IF(Table1[[#This Row],[Sales]]&gt;=30000,"High", IF(Table1[[#This Row],[Sales]]&gt;=15000,"Medium","Low"))</f>
        <v>Medium</v>
      </c>
      <c r="L183" t="str">
        <f>TEXT(Table1[[#This Row],[Order_Date]],"MMM")</f>
        <v>Mar</v>
      </c>
      <c r="M183" t="str">
        <f>IF(Table1[[#This Row],[Profit]]&gt;=10000,"Excellent",IF(Table1[[#This Row],[Profit]]&gt;5000,"Good","Low"))</f>
        <v>Excellent</v>
      </c>
      <c r="N183" t="str">
        <f>TEXT(Table1[[#This Row],[Order_Date]],"YYYY")</f>
        <v>2025</v>
      </c>
    </row>
    <row r="184" spans="1:14" x14ac:dyDescent="0.25">
      <c r="A184" s="1">
        <v>45402</v>
      </c>
      <c r="B184" t="s">
        <v>44</v>
      </c>
      <c r="C184" t="s">
        <v>41</v>
      </c>
      <c r="D184">
        <v>44258</v>
      </c>
      <c r="E184">
        <v>37649</v>
      </c>
      <c r="F184">
        <v>6609</v>
      </c>
      <c r="G184" t="s">
        <v>19</v>
      </c>
      <c r="H184" t="s">
        <v>63</v>
      </c>
      <c r="I184" t="s">
        <v>24</v>
      </c>
      <c r="J184" s="2">
        <f>Table1[[#This Row],[Profit]]/Table1[[#This Row],[Sales]]*100</f>
        <v>14.932893488182927</v>
      </c>
      <c r="K184" t="str">
        <f>IF(Table1[[#This Row],[Sales]]&gt;=30000,"High", IF(Table1[[#This Row],[Sales]]&gt;=15000,"Medium","Low"))</f>
        <v>High</v>
      </c>
      <c r="L184" t="str">
        <f>TEXT(Table1[[#This Row],[Order_Date]],"MMM")</f>
        <v>Apr</v>
      </c>
      <c r="M184" t="str">
        <f>IF(Table1[[#This Row],[Profit]]&gt;=10000,"Excellent",IF(Table1[[#This Row],[Profit]]&gt;5000,"Good","Low"))</f>
        <v>Good</v>
      </c>
      <c r="N184" t="str">
        <f>TEXT(Table1[[#This Row],[Order_Date]],"YYYY")</f>
        <v>2024</v>
      </c>
    </row>
    <row r="185" spans="1:14" x14ac:dyDescent="0.25">
      <c r="A185" s="1">
        <v>45665</v>
      </c>
      <c r="B185" t="s">
        <v>44</v>
      </c>
      <c r="C185" t="s">
        <v>41</v>
      </c>
      <c r="D185">
        <v>37538</v>
      </c>
      <c r="E185">
        <v>24531</v>
      </c>
      <c r="F185">
        <v>13007</v>
      </c>
      <c r="G185" t="s">
        <v>27</v>
      </c>
      <c r="H185" t="s">
        <v>60</v>
      </c>
      <c r="I185" t="s">
        <v>42</v>
      </c>
      <c r="J185" s="2">
        <f>Table1[[#This Row],[Profit]]/Table1[[#This Row],[Sales]]*100</f>
        <v>34.650221109275932</v>
      </c>
      <c r="K185" t="str">
        <f>IF(Table1[[#This Row],[Sales]]&gt;=30000,"High", IF(Table1[[#This Row],[Sales]]&gt;=15000,"Medium","Low"))</f>
        <v>High</v>
      </c>
      <c r="L185" t="str">
        <f>TEXT(Table1[[#This Row],[Order_Date]],"MMM")</f>
        <v>Jan</v>
      </c>
      <c r="M185" t="str">
        <f>IF(Table1[[#This Row],[Profit]]&gt;=10000,"Excellent",IF(Table1[[#This Row],[Profit]]&gt;5000,"Good","Low"))</f>
        <v>Excellent</v>
      </c>
      <c r="N185" t="str">
        <f>TEXT(Table1[[#This Row],[Order_Date]],"YYYY")</f>
        <v>2025</v>
      </c>
    </row>
    <row r="186" spans="1:14" x14ac:dyDescent="0.25">
      <c r="A186" s="1">
        <v>45336</v>
      </c>
      <c r="B186" t="s">
        <v>26</v>
      </c>
      <c r="C186" t="s">
        <v>12</v>
      </c>
      <c r="D186">
        <v>11987</v>
      </c>
      <c r="E186">
        <v>7059</v>
      </c>
      <c r="F186">
        <v>4928</v>
      </c>
      <c r="G186" t="s">
        <v>19</v>
      </c>
      <c r="H186" t="s">
        <v>60</v>
      </c>
      <c r="I186" t="s">
        <v>15</v>
      </c>
      <c r="J186" s="2">
        <f>Table1[[#This Row],[Profit]]/Table1[[#This Row],[Sales]]*100</f>
        <v>41.111203804121132</v>
      </c>
      <c r="K186" t="str">
        <f>IF(Table1[[#This Row],[Sales]]&gt;=30000,"High", IF(Table1[[#This Row],[Sales]]&gt;=15000,"Medium","Low"))</f>
        <v>Low</v>
      </c>
      <c r="L186" t="str">
        <f>TEXT(Table1[[#This Row],[Order_Date]],"MMM")</f>
        <v>Feb</v>
      </c>
      <c r="M186" t="str">
        <f>IF(Table1[[#This Row],[Profit]]&gt;=10000,"Excellent",IF(Table1[[#This Row],[Profit]]&gt;5000,"Good","Low"))</f>
        <v>Low</v>
      </c>
      <c r="N186" t="str">
        <f>TEXT(Table1[[#This Row],[Order_Date]],"YYYY")</f>
        <v>2024</v>
      </c>
    </row>
    <row r="187" spans="1:14" x14ac:dyDescent="0.25">
      <c r="A187" s="1">
        <v>45303</v>
      </c>
      <c r="B187" t="s">
        <v>26</v>
      </c>
      <c r="C187" t="s">
        <v>36</v>
      </c>
      <c r="D187">
        <v>24563</v>
      </c>
      <c r="E187">
        <v>23303</v>
      </c>
      <c r="F187">
        <v>1260</v>
      </c>
      <c r="G187" t="s">
        <v>38</v>
      </c>
      <c r="H187" t="s">
        <v>20</v>
      </c>
      <c r="I187" t="s">
        <v>53</v>
      </c>
      <c r="J187" s="2">
        <f>Table1[[#This Row],[Profit]]/Table1[[#This Row],[Sales]]*100</f>
        <v>5.1296665716728409</v>
      </c>
      <c r="K187" t="str">
        <f>IF(Table1[[#This Row],[Sales]]&gt;=30000,"High", IF(Table1[[#This Row],[Sales]]&gt;=15000,"Medium","Low"))</f>
        <v>Medium</v>
      </c>
      <c r="L187" t="str">
        <f>TEXT(Table1[[#This Row],[Order_Date]],"MMM")</f>
        <v>Jan</v>
      </c>
      <c r="M187" t="str">
        <f>IF(Table1[[#This Row],[Profit]]&gt;=10000,"Excellent",IF(Table1[[#This Row],[Profit]]&gt;5000,"Good","Low"))</f>
        <v>Low</v>
      </c>
      <c r="N187" t="str">
        <f>TEXT(Table1[[#This Row],[Order_Date]],"YYYY")</f>
        <v>2024</v>
      </c>
    </row>
    <row r="188" spans="1:14" x14ac:dyDescent="0.25">
      <c r="A188" s="1">
        <v>45667</v>
      </c>
      <c r="B188" t="s">
        <v>17</v>
      </c>
      <c r="C188" t="s">
        <v>36</v>
      </c>
      <c r="D188">
        <v>29081</v>
      </c>
      <c r="E188">
        <v>14066</v>
      </c>
      <c r="F188">
        <v>15015</v>
      </c>
      <c r="G188" t="s">
        <v>38</v>
      </c>
      <c r="H188" t="s">
        <v>63</v>
      </c>
      <c r="I188" t="s">
        <v>42</v>
      </c>
      <c r="J188" s="2">
        <f>Table1[[#This Row],[Profit]]/Table1[[#This Row],[Sales]]*100</f>
        <v>51.631649530621374</v>
      </c>
      <c r="K188" t="str">
        <f>IF(Table1[[#This Row],[Sales]]&gt;=30000,"High", IF(Table1[[#This Row],[Sales]]&gt;=15000,"Medium","Low"))</f>
        <v>Medium</v>
      </c>
      <c r="L188" t="str">
        <f>TEXT(Table1[[#This Row],[Order_Date]],"MMM")</f>
        <v>Jan</v>
      </c>
      <c r="M188" t="str">
        <f>IF(Table1[[#This Row],[Profit]]&gt;=10000,"Excellent",IF(Table1[[#This Row],[Profit]]&gt;5000,"Good","Low"))</f>
        <v>Excellent</v>
      </c>
      <c r="N188" t="str">
        <f>TEXT(Table1[[#This Row],[Order_Date]],"YYYY")</f>
        <v>2025</v>
      </c>
    </row>
    <row r="189" spans="1:14" x14ac:dyDescent="0.25">
      <c r="A189" s="1">
        <v>45737</v>
      </c>
      <c r="B189" t="s">
        <v>17</v>
      </c>
      <c r="C189" t="s">
        <v>12</v>
      </c>
      <c r="D189">
        <v>24354</v>
      </c>
      <c r="E189">
        <v>10694</v>
      </c>
      <c r="F189">
        <v>13660</v>
      </c>
      <c r="G189" t="s">
        <v>13</v>
      </c>
      <c r="H189" t="s">
        <v>23</v>
      </c>
      <c r="I189" t="s">
        <v>29</v>
      </c>
      <c r="J189" s="2">
        <f>Table1[[#This Row],[Profit]]/Table1[[#This Row],[Sales]]*100</f>
        <v>56.089348772275606</v>
      </c>
      <c r="K189" t="str">
        <f>IF(Table1[[#This Row],[Sales]]&gt;=30000,"High", IF(Table1[[#This Row],[Sales]]&gt;=15000,"Medium","Low"))</f>
        <v>Medium</v>
      </c>
      <c r="L189" t="str">
        <f>TEXT(Table1[[#This Row],[Order_Date]],"MMM")</f>
        <v>Mar</v>
      </c>
      <c r="M189" t="str">
        <f>IF(Table1[[#This Row],[Profit]]&gt;=10000,"Excellent",IF(Table1[[#This Row],[Profit]]&gt;5000,"Good","Low"))</f>
        <v>Excellent</v>
      </c>
      <c r="N189" t="str">
        <f>TEXT(Table1[[#This Row],[Order_Date]],"YYYY")</f>
        <v>2025</v>
      </c>
    </row>
    <row r="190" spans="1:14" x14ac:dyDescent="0.25">
      <c r="A190" s="1">
        <v>45812</v>
      </c>
      <c r="B190" t="s">
        <v>44</v>
      </c>
      <c r="C190" t="s">
        <v>36</v>
      </c>
      <c r="D190">
        <v>40547</v>
      </c>
      <c r="E190">
        <v>35653</v>
      </c>
      <c r="F190">
        <v>4894</v>
      </c>
      <c r="G190" t="s">
        <v>38</v>
      </c>
      <c r="H190" t="s">
        <v>31</v>
      </c>
      <c r="I190" t="s">
        <v>42</v>
      </c>
      <c r="J190" s="2">
        <f>Table1[[#This Row],[Profit]]/Table1[[#This Row],[Sales]]*100</f>
        <v>12.069943522332109</v>
      </c>
      <c r="K190" t="str">
        <f>IF(Table1[[#This Row],[Sales]]&gt;=30000,"High", IF(Table1[[#This Row],[Sales]]&gt;=15000,"Medium","Low"))</f>
        <v>High</v>
      </c>
      <c r="L190" t="str">
        <f>TEXT(Table1[[#This Row],[Order_Date]],"MMM")</f>
        <v>Jun</v>
      </c>
      <c r="M190" t="str">
        <f>IF(Table1[[#This Row],[Profit]]&gt;=10000,"Excellent",IF(Table1[[#This Row],[Profit]]&gt;5000,"Good","Low"))</f>
        <v>Low</v>
      </c>
      <c r="N190" t="str">
        <f>TEXT(Table1[[#This Row],[Order_Date]],"YYYY")</f>
        <v>2025</v>
      </c>
    </row>
    <row r="191" spans="1:14" x14ac:dyDescent="0.25">
      <c r="A191" s="1">
        <v>46123</v>
      </c>
      <c r="B191" t="s">
        <v>44</v>
      </c>
      <c r="C191" t="s">
        <v>12</v>
      </c>
      <c r="D191">
        <v>33394</v>
      </c>
      <c r="E191">
        <v>31927</v>
      </c>
      <c r="F191">
        <v>1467</v>
      </c>
      <c r="G191" t="s">
        <v>13</v>
      </c>
      <c r="H191" t="s">
        <v>60</v>
      </c>
      <c r="I191" t="s">
        <v>24</v>
      </c>
      <c r="J191" s="2">
        <f>Table1[[#This Row],[Profit]]/Table1[[#This Row],[Sales]]*100</f>
        <v>4.3930047313888725</v>
      </c>
      <c r="K191" t="str">
        <f>IF(Table1[[#This Row],[Sales]]&gt;=30000,"High", IF(Table1[[#This Row],[Sales]]&gt;=15000,"Medium","Low"))</f>
        <v>High</v>
      </c>
      <c r="L191" t="str">
        <f>TEXT(Table1[[#This Row],[Order_Date]],"MMM")</f>
        <v>Apr</v>
      </c>
      <c r="M191" t="str">
        <f>IF(Table1[[#This Row],[Profit]]&gt;=10000,"Excellent",IF(Table1[[#This Row],[Profit]]&gt;5000,"Good","Low"))</f>
        <v>Low</v>
      </c>
      <c r="N191" t="str">
        <f>TEXT(Table1[[#This Row],[Order_Date]],"YYYY")</f>
        <v>2026</v>
      </c>
    </row>
    <row r="192" spans="1:14" x14ac:dyDescent="0.25">
      <c r="A192" s="1">
        <v>45661</v>
      </c>
      <c r="B192" t="s">
        <v>17</v>
      </c>
      <c r="C192" t="s">
        <v>36</v>
      </c>
      <c r="D192">
        <v>43704</v>
      </c>
      <c r="E192">
        <v>25908</v>
      </c>
      <c r="F192">
        <v>17796</v>
      </c>
      <c r="G192" t="s">
        <v>27</v>
      </c>
      <c r="H192" t="s">
        <v>45</v>
      </c>
      <c r="I192" t="s">
        <v>24</v>
      </c>
      <c r="J192" s="2">
        <f>Table1[[#This Row],[Profit]]/Table1[[#This Row],[Sales]]*100</f>
        <v>40.719384953322354</v>
      </c>
      <c r="K192" t="str">
        <f>IF(Table1[[#This Row],[Sales]]&gt;=30000,"High", IF(Table1[[#This Row],[Sales]]&gt;=15000,"Medium","Low"))</f>
        <v>High</v>
      </c>
      <c r="L192" t="str">
        <f>TEXT(Table1[[#This Row],[Order_Date]],"MMM")</f>
        <v>Jan</v>
      </c>
      <c r="M192" t="str">
        <f>IF(Table1[[#This Row],[Profit]]&gt;=10000,"Excellent",IF(Table1[[#This Row],[Profit]]&gt;5000,"Good","Low"))</f>
        <v>Excellent</v>
      </c>
      <c r="N192" t="str">
        <f>TEXT(Table1[[#This Row],[Order_Date]],"YYYY")</f>
        <v>2025</v>
      </c>
    </row>
    <row r="193" spans="1:14" x14ac:dyDescent="0.25">
      <c r="A193" s="1">
        <v>45813</v>
      </c>
      <c r="B193" t="s">
        <v>17</v>
      </c>
      <c r="C193" t="s">
        <v>36</v>
      </c>
      <c r="D193">
        <v>7039</v>
      </c>
      <c r="E193">
        <v>3768</v>
      </c>
      <c r="F193">
        <v>3271</v>
      </c>
      <c r="G193" t="s">
        <v>27</v>
      </c>
      <c r="H193" t="s">
        <v>78</v>
      </c>
      <c r="I193" t="s">
        <v>29</v>
      </c>
      <c r="J193" s="2">
        <f>Table1[[#This Row],[Profit]]/Table1[[#This Row],[Sales]]*100</f>
        <v>46.469668987072026</v>
      </c>
      <c r="K193" t="str">
        <f>IF(Table1[[#This Row],[Sales]]&gt;=30000,"High", IF(Table1[[#This Row],[Sales]]&gt;=15000,"Medium","Low"))</f>
        <v>Low</v>
      </c>
      <c r="L193" t="str">
        <f>TEXT(Table1[[#This Row],[Order_Date]],"MMM")</f>
        <v>Jun</v>
      </c>
      <c r="M193" t="str">
        <f>IF(Table1[[#This Row],[Profit]]&gt;=10000,"Excellent",IF(Table1[[#This Row],[Profit]]&gt;5000,"Good","Low"))</f>
        <v>Low</v>
      </c>
      <c r="N193" t="str">
        <f>TEXT(Table1[[#This Row],[Order_Date]],"YYYY")</f>
        <v>2025</v>
      </c>
    </row>
    <row r="194" spans="1:14" x14ac:dyDescent="0.25">
      <c r="A194" s="1">
        <v>45739</v>
      </c>
      <c r="B194" t="s">
        <v>22</v>
      </c>
      <c r="C194" t="s">
        <v>12</v>
      </c>
      <c r="D194">
        <v>36495</v>
      </c>
      <c r="E194">
        <v>33607</v>
      </c>
      <c r="F194">
        <v>2888</v>
      </c>
      <c r="G194" t="s">
        <v>19</v>
      </c>
      <c r="H194" t="s">
        <v>28</v>
      </c>
      <c r="I194" t="s">
        <v>42</v>
      </c>
      <c r="J194" s="2">
        <f>Table1[[#This Row],[Profit]]/Table1[[#This Row],[Sales]]*100</f>
        <v>7.9134127962734624</v>
      </c>
      <c r="K194" t="str">
        <f>IF(Table1[[#This Row],[Sales]]&gt;=30000,"High", IF(Table1[[#This Row],[Sales]]&gt;=15000,"Medium","Low"))</f>
        <v>High</v>
      </c>
      <c r="L194" t="str">
        <f>TEXT(Table1[[#This Row],[Order_Date]],"MMM")</f>
        <v>Mar</v>
      </c>
      <c r="M194" t="str">
        <f>IF(Table1[[#This Row],[Profit]]&gt;=10000,"Excellent",IF(Table1[[#This Row],[Profit]]&gt;5000,"Good","Low"))</f>
        <v>Low</v>
      </c>
      <c r="N194" t="str">
        <f>TEXT(Table1[[#This Row],[Order_Date]],"YYYY")</f>
        <v>2025</v>
      </c>
    </row>
    <row r="195" spans="1:14" x14ac:dyDescent="0.25">
      <c r="A195" s="1">
        <v>45498</v>
      </c>
      <c r="B195" t="s">
        <v>26</v>
      </c>
      <c r="C195" t="s">
        <v>36</v>
      </c>
      <c r="D195">
        <v>41541</v>
      </c>
      <c r="E195">
        <v>38064</v>
      </c>
      <c r="F195">
        <v>3477</v>
      </c>
      <c r="G195" t="s">
        <v>27</v>
      </c>
      <c r="H195" t="s">
        <v>60</v>
      </c>
      <c r="I195" t="s">
        <v>42</v>
      </c>
      <c r="J195" s="2">
        <f>Table1[[#This Row],[Profit]]/Table1[[#This Row],[Sales]]*100</f>
        <v>8.3700440528634363</v>
      </c>
      <c r="K195" t="str">
        <f>IF(Table1[[#This Row],[Sales]]&gt;=30000,"High", IF(Table1[[#This Row],[Sales]]&gt;=15000,"Medium","Low"))</f>
        <v>High</v>
      </c>
      <c r="L195" t="str">
        <f>TEXT(Table1[[#This Row],[Order_Date]],"MMM")</f>
        <v>Jul</v>
      </c>
      <c r="M195" t="str">
        <f>IF(Table1[[#This Row],[Profit]]&gt;=10000,"Excellent",IF(Table1[[#This Row],[Profit]]&gt;5000,"Good","Low"))</f>
        <v>Low</v>
      </c>
      <c r="N195" t="str">
        <f>TEXT(Table1[[#This Row],[Order_Date]],"YYYY")</f>
        <v>2024</v>
      </c>
    </row>
    <row r="196" spans="1:14" x14ac:dyDescent="0.25">
      <c r="A196" s="1">
        <v>45906</v>
      </c>
      <c r="B196" t="s">
        <v>26</v>
      </c>
      <c r="C196" t="s">
        <v>33</v>
      </c>
      <c r="D196">
        <v>30780</v>
      </c>
      <c r="E196">
        <v>25448</v>
      </c>
      <c r="F196">
        <v>5332</v>
      </c>
      <c r="G196" t="s">
        <v>19</v>
      </c>
      <c r="H196" t="s">
        <v>20</v>
      </c>
      <c r="I196" t="s">
        <v>53</v>
      </c>
      <c r="J196" s="2">
        <f>Table1[[#This Row],[Profit]]/Table1[[#This Row],[Sales]]*100</f>
        <v>17.322936972059779</v>
      </c>
      <c r="K196" t="str">
        <f>IF(Table1[[#This Row],[Sales]]&gt;=30000,"High", IF(Table1[[#This Row],[Sales]]&gt;=15000,"Medium","Low"))</f>
        <v>High</v>
      </c>
      <c r="L196" t="str">
        <f>TEXT(Table1[[#This Row],[Order_Date]],"MMM")</f>
        <v>Sep</v>
      </c>
      <c r="M196" t="str">
        <f>IF(Table1[[#This Row],[Profit]]&gt;=10000,"Excellent",IF(Table1[[#This Row],[Profit]]&gt;5000,"Good","Low"))</f>
        <v>Good</v>
      </c>
      <c r="N196" t="str">
        <f>TEXT(Table1[[#This Row],[Order_Date]],"YYYY")</f>
        <v>2025</v>
      </c>
    </row>
    <row r="197" spans="1:14" x14ac:dyDescent="0.25">
      <c r="A197" s="1">
        <v>46095</v>
      </c>
      <c r="B197" t="s">
        <v>22</v>
      </c>
      <c r="C197" t="s">
        <v>12</v>
      </c>
      <c r="D197">
        <v>44213</v>
      </c>
      <c r="E197">
        <v>28753</v>
      </c>
      <c r="F197">
        <v>15460</v>
      </c>
      <c r="G197" t="s">
        <v>19</v>
      </c>
      <c r="H197" t="s">
        <v>28</v>
      </c>
      <c r="I197" t="s">
        <v>15</v>
      </c>
      <c r="J197" s="2">
        <f>Table1[[#This Row],[Profit]]/Table1[[#This Row],[Sales]]*100</f>
        <v>34.967091127044078</v>
      </c>
      <c r="K197" t="str">
        <f>IF(Table1[[#This Row],[Sales]]&gt;=30000,"High", IF(Table1[[#This Row],[Sales]]&gt;=15000,"Medium","Low"))</f>
        <v>High</v>
      </c>
      <c r="L197" t="str">
        <f>TEXT(Table1[[#This Row],[Order_Date]],"MMM")</f>
        <v>Mar</v>
      </c>
      <c r="M197" t="str">
        <f>IF(Table1[[#This Row],[Profit]]&gt;=10000,"Excellent",IF(Table1[[#This Row],[Profit]]&gt;5000,"Good","Low"))</f>
        <v>Excellent</v>
      </c>
      <c r="N197" t="str">
        <f>TEXT(Table1[[#This Row],[Order_Date]],"YYYY")</f>
        <v>2026</v>
      </c>
    </row>
    <row r="198" spans="1:14" x14ac:dyDescent="0.25">
      <c r="A198" s="1">
        <v>45200</v>
      </c>
      <c r="B198" t="s">
        <v>26</v>
      </c>
      <c r="C198" t="s">
        <v>12</v>
      </c>
      <c r="D198">
        <v>38815</v>
      </c>
      <c r="E198">
        <v>37203</v>
      </c>
      <c r="F198">
        <v>1612</v>
      </c>
      <c r="G198" t="s">
        <v>27</v>
      </c>
      <c r="H198" t="s">
        <v>63</v>
      </c>
      <c r="I198" t="s">
        <v>29</v>
      </c>
      <c r="J198" s="2">
        <f>Table1[[#This Row],[Profit]]/Table1[[#This Row],[Sales]]*100</f>
        <v>4.1530336210228</v>
      </c>
      <c r="K198" t="str">
        <f>IF(Table1[[#This Row],[Sales]]&gt;=30000,"High", IF(Table1[[#This Row],[Sales]]&gt;=15000,"Medium","Low"))</f>
        <v>High</v>
      </c>
      <c r="L198" t="str">
        <f>TEXT(Table1[[#This Row],[Order_Date]],"MMM")</f>
        <v>Oct</v>
      </c>
      <c r="M198" t="str">
        <f>IF(Table1[[#This Row],[Profit]]&gt;=10000,"Excellent",IF(Table1[[#This Row],[Profit]]&gt;5000,"Good","Low"))</f>
        <v>Low</v>
      </c>
      <c r="N198" t="str">
        <f>TEXT(Table1[[#This Row],[Order_Date]],"YYYY")</f>
        <v>2023</v>
      </c>
    </row>
    <row r="199" spans="1:14" x14ac:dyDescent="0.25">
      <c r="A199" s="1">
        <v>45784</v>
      </c>
      <c r="B199" t="s">
        <v>17</v>
      </c>
      <c r="C199" t="s">
        <v>41</v>
      </c>
      <c r="D199">
        <v>37429</v>
      </c>
      <c r="E199">
        <v>27462</v>
      </c>
      <c r="F199">
        <v>9967</v>
      </c>
      <c r="G199" t="s">
        <v>38</v>
      </c>
      <c r="H199" t="s">
        <v>20</v>
      </c>
      <c r="I199" t="s">
        <v>53</v>
      </c>
      <c r="J199" s="2">
        <f>Table1[[#This Row],[Profit]]/Table1[[#This Row],[Sales]]*100</f>
        <v>26.629084399796948</v>
      </c>
      <c r="K199" t="str">
        <f>IF(Table1[[#This Row],[Sales]]&gt;=30000,"High", IF(Table1[[#This Row],[Sales]]&gt;=15000,"Medium","Low"))</f>
        <v>High</v>
      </c>
      <c r="L199" t="str">
        <f>TEXT(Table1[[#This Row],[Order_Date]],"MMM")</f>
        <v>May</v>
      </c>
      <c r="M199" t="str">
        <f>IF(Table1[[#This Row],[Profit]]&gt;=10000,"Excellent",IF(Table1[[#This Row],[Profit]]&gt;5000,"Good","Low"))</f>
        <v>Good</v>
      </c>
      <c r="N199" t="str">
        <f>TEXT(Table1[[#This Row],[Order_Date]],"YYYY")</f>
        <v>2025</v>
      </c>
    </row>
    <row r="200" spans="1:14" x14ac:dyDescent="0.25">
      <c r="A200" s="1">
        <v>45899</v>
      </c>
      <c r="B200" t="s">
        <v>17</v>
      </c>
      <c r="C200" t="s">
        <v>33</v>
      </c>
      <c r="D200">
        <v>12752</v>
      </c>
      <c r="E200">
        <v>2090</v>
      </c>
      <c r="F200">
        <v>10662</v>
      </c>
      <c r="G200" t="s">
        <v>38</v>
      </c>
      <c r="H200" t="s">
        <v>78</v>
      </c>
      <c r="I200" t="s">
        <v>24</v>
      </c>
      <c r="J200" s="2">
        <f>Table1[[#This Row],[Profit]]/Table1[[#This Row],[Sales]]*100</f>
        <v>83.610414052697607</v>
      </c>
      <c r="K200" t="str">
        <f>IF(Table1[[#This Row],[Sales]]&gt;=30000,"High", IF(Table1[[#This Row],[Sales]]&gt;=15000,"Medium","Low"))</f>
        <v>Low</v>
      </c>
      <c r="L200" t="str">
        <f>TEXT(Table1[[#This Row],[Order_Date]],"MMM")</f>
        <v>Aug</v>
      </c>
      <c r="M200" t="str">
        <f>IF(Table1[[#This Row],[Profit]]&gt;=10000,"Excellent",IF(Table1[[#This Row],[Profit]]&gt;5000,"Good","Low"))</f>
        <v>Excellent</v>
      </c>
      <c r="N200" t="str">
        <f>TEXT(Table1[[#This Row],[Order_Date]],"YYYY")</f>
        <v>2025</v>
      </c>
    </row>
    <row r="201" spans="1:14" x14ac:dyDescent="0.25">
      <c r="A201" s="1">
        <v>45561</v>
      </c>
      <c r="B201" t="s">
        <v>17</v>
      </c>
      <c r="C201" t="s">
        <v>41</v>
      </c>
      <c r="D201">
        <v>38046</v>
      </c>
      <c r="E201">
        <v>23664</v>
      </c>
      <c r="F201">
        <v>14382</v>
      </c>
      <c r="G201" t="s">
        <v>27</v>
      </c>
      <c r="H201" t="s">
        <v>78</v>
      </c>
      <c r="I201" t="s">
        <v>53</v>
      </c>
      <c r="J201" s="2">
        <f>Table1[[#This Row],[Profit]]/Table1[[#This Row],[Sales]]*100</f>
        <v>37.801608579088466</v>
      </c>
      <c r="K201" t="str">
        <f>IF(Table1[[#This Row],[Sales]]&gt;=30000,"High", IF(Table1[[#This Row],[Sales]]&gt;=15000,"Medium","Low"))</f>
        <v>High</v>
      </c>
      <c r="L201" t="str">
        <f>TEXT(Table1[[#This Row],[Order_Date]],"MMM")</f>
        <v>Sep</v>
      </c>
      <c r="M201" t="str">
        <f>IF(Table1[[#This Row],[Profit]]&gt;=10000,"Excellent",IF(Table1[[#This Row],[Profit]]&gt;5000,"Good","Low"))</f>
        <v>Excellent</v>
      </c>
      <c r="N201" t="str">
        <f>TEXT(Table1[[#This Row],[Order_Date]],"YYYY")</f>
        <v>2024</v>
      </c>
    </row>
    <row r="202" spans="1:14" x14ac:dyDescent="0.25">
      <c r="A202" s="1">
        <v>45497</v>
      </c>
      <c r="B202" t="s">
        <v>11</v>
      </c>
      <c r="C202" t="s">
        <v>41</v>
      </c>
      <c r="D202">
        <v>19113</v>
      </c>
      <c r="E202">
        <v>15203</v>
      </c>
      <c r="F202">
        <v>3910</v>
      </c>
      <c r="G202" t="s">
        <v>38</v>
      </c>
      <c r="H202" t="s">
        <v>23</v>
      </c>
      <c r="I202" t="s">
        <v>29</v>
      </c>
      <c r="J202" s="2">
        <f>Table1[[#This Row],[Profit]]/Table1[[#This Row],[Sales]]*100</f>
        <v>20.457280385078221</v>
      </c>
      <c r="K202" t="str">
        <f>IF(Table1[[#This Row],[Sales]]&gt;=30000,"High", IF(Table1[[#This Row],[Sales]]&gt;=15000,"Medium","Low"))</f>
        <v>Medium</v>
      </c>
      <c r="L202" t="str">
        <f>TEXT(Table1[[#This Row],[Order_Date]],"MMM")</f>
        <v>Jul</v>
      </c>
      <c r="M202" t="str">
        <f>IF(Table1[[#This Row],[Profit]]&gt;=10000,"Excellent",IF(Table1[[#This Row],[Profit]]&gt;5000,"Good","Low"))</f>
        <v>Low</v>
      </c>
      <c r="N202" t="str">
        <f>TEXT(Table1[[#This Row],[Order_Date]],"YYYY")</f>
        <v>2024</v>
      </c>
    </row>
    <row r="203" spans="1:14" x14ac:dyDescent="0.25">
      <c r="A203" s="1">
        <v>45830</v>
      </c>
      <c r="B203" t="s">
        <v>22</v>
      </c>
      <c r="C203" t="s">
        <v>12</v>
      </c>
      <c r="D203">
        <v>10226</v>
      </c>
      <c r="E203">
        <v>6020</v>
      </c>
      <c r="F203">
        <v>4206</v>
      </c>
      <c r="G203" t="s">
        <v>19</v>
      </c>
      <c r="H203" t="s">
        <v>23</v>
      </c>
      <c r="I203" t="s">
        <v>53</v>
      </c>
      <c r="J203" s="2">
        <f>Table1[[#This Row],[Profit]]/Table1[[#This Row],[Sales]]*100</f>
        <v>41.130451789556034</v>
      </c>
      <c r="K203" t="str">
        <f>IF(Table1[[#This Row],[Sales]]&gt;=30000,"High", IF(Table1[[#This Row],[Sales]]&gt;=15000,"Medium","Low"))</f>
        <v>Low</v>
      </c>
      <c r="L203" t="str">
        <f>TEXT(Table1[[#This Row],[Order_Date]],"MMM")</f>
        <v>Jun</v>
      </c>
      <c r="M203" t="str">
        <f>IF(Table1[[#This Row],[Profit]]&gt;=10000,"Excellent",IF(Table1[[#This Row],[Profit]]&gt;5000,"Good","Low"))</f>
        <v>Low</v>
      </c>
      <c r="N203" t="str">
        <f>TEXT(Table1[[#This Row],[Order_Date]],"YYYY")</f>
        <v>2025</v>
      </c>
    </row>
    <row r="204" spans="1:14" x14ac:dyDescent="0.25">
      <c r="A204" s="1">
        <v>45927</v>
      </c>
      <c r="B204" t="s">
        <v>44</v>
      </c>
      <c r="C204" t="s">
        <v>33</v>
      </c>
      <c r="D204">
        <v>28316</v>
      </c>
      <c r="E204">
        <v>25329</v>
      </c>
      <c r="F204">
        <v>2987</v>
      </c>
      <c r="G204" t="s">
        <v>13</v>
      </c>
      <c r="H204" t="s">
        <v>34</v>
      </c>
      <c r="I204" t="s">
        <v>24</v>
      </c>
      <c r="J204" s="2">
        <f>Table1[[#This Row],[Profit]]/Table1[[#This Row],[Sales]]*100</f>
        <v>10.548806328577482</v>
      </c>
      <c r="K204" t="str">
        <f>IF(Table1[[#This Row],[Sales]]&gt;=30000,"High", IF(Table1[[#This Row],[Sales]]&gt;=15000,"Medium","Low"))</f>
        <v>Medium</v>
      </c>
      <c r="L204" t="str">
        <f>TEXT(Table1[[#This Row],[Order_Date]],"MMM")</f>
        <v>Sep</v>
      </c>
      <c r="M204" t="str">
        <f>IF(Table1[[#This Row],[Profit]]&gt;=10000,"Excellent",IF(Table1[[#This Row],[Profit]]&gt;5000,"Good","Low"))</f>
        <v>Low</v>
      </c>
      <c r="N204" t="str">
        <f>TEXT(Table1[[#This Row],[Order_Date]],"YYYY")</f>
        <v>2025</v>
      </c>
    </row>
    <row r="205" spans="1:14" x14ac:dyDescent="0.25">
      <c r="A205" s="1">
        <v>45837</v>
      </c>
      <c r="B205" t="s">
        <v>22</v>
      </c>
      <c r="C205" t="s">
        <v>33</v>
      </c>
      <c r="D205">
        <v>28380</v>
      </c>
      <c r="E205">
        <v>22803</v>
      </c>
      <c r="F205">
        <v>5577</v>
      </c>
      <c r="G205" t="s">
        <v>19</v>
      </c>
      <c r="H205" t="s">
        <v>20</v>
      </c>
      <c r="I205" t="s">
        <v>15</v>
      </c>
      <c r="J205" s="2">
        <f>Table1[[#This Row],[Profit]]/Table1[[#This Row],[Sales]]*100</f>
        <v>19.651162790697676</v>
      </c>
      <c r="K205" t="str">
        <f>IF(Table1[[#This Row],[Sales]]&gt;=30000,"High", IF(Table1[[#This Row],[Sales]]&gt;=15000,"Medium","Low"))</f>
        <v>Medium</v>
      </c>
      <c r="L205" t="str">
        <f>TEXT(Table1[[#This Row],[Order_Date]],"MMM")</f>
        <v>Jun</v>
      </c>
      <c r="M205" t="str">
        <f>IF(Table1[[#This Row],[Profit]]&gt;=10000,"Excellent",IF(Table1[[#This Row],[Profit]]&gt;5000,"Good","Low"))</f>
        <v>Good</v>
      </c>
      <c r="N205" t="str">
        <f>TEXT(Table1[[#This Row],[Order_Date]],"YYYY")</f>
        <v>2025</v>
      </c>
    </row>
    <row r="206" spans="1:14" x14ac:dyDescent="0.25">
      <c r="A206" s="1">
        <v>45551</v>
      </c>
      <c r="B206" t="s">
        <v>44</v>
      </c>
      <c r="C206" t="s">
        <v>33</v>
      </c>
      <c r="D206">
        <v>38295</v>
      </c>
      <c r="E206">
        <v>29512</v>
      </c>
      <c r="F206">
        <v>8783</v>
      </c>
      <c r="G206" t="s">
        <v>38</v>
      </c>
      <c r="H206" t="s">
        <v>20</v>
      </c>
      <c r="I206" t="s">
        <v>15</v>
      </c>
      <c r="J206" s="2">
        <f>Table1[[#This Row],[Profit]]/Table1[[#This Row],[Sales]]*100</f>
        <v>22.935109022065543</v>
      </c>
      <c r="K206" t="str">
        <f>IF(Table1[[#This Row],[Sales]]&gt;=30000,"High", IF(Table1[[#This Row],[Sales]]&gt;=15000,"Medium","Low"))</f>
        <v>High</v>
      </c>
      <c r="L206" t="str">
        <f>TEXT(Table1[[#This Row],[Order_Date]],"MMM")</f>
        <v>Sep</v>
      </c>
      <c r="M206" t="str">
        <f>IF(Table1[[#This Row],[Profit]]&gt;=10000,"Excellent",IF(Table1[[#This Row],[Profit]]&gt;5000,"Good","Low"))</f>
        <v>Good</v>
      </c>
      <c r="N206" t="str">
        <f>TEXT(Table1[[#This Row],[Order_Date]],"YYYY")</f>
        <v>2024</v>
      </c>
    </row>
    <row r="207" spans="1:14" x14ac:dyDescent="0.25">
      <c r="A207" s="1">
        <v>46023</v>
      </c>
      <c r="B207" t="s">
        <v>22</v>
      </c>
      <c r="C207" t="s">
        <v>36</v>
      </c>
      <c r="D207">
        <v>41385</v>
      </c>
      <c r="E207">
        <v>30241</v>
      </c>
      <c r="F207">
        <v>11144</v>
      </c>
      <c r="G207" t="s">
        <v>38</v>
      </c>
      <c r="H207" t="s">
        <v>23</v>
      </c>
      <c r="I207" t="s">
        <v>15</v>
      </c>
      <c r="J207" s="2">
        <f>Table1[[#This Row],[Profit]]/Table1[[#This Row],[Sales]]*100</f>
        <v>26.927630784100522</v>
      </c>
      <c r="K207" t="str">
        <f>IF(Table1[[#This Row],[Sales]]&gt;=30000,"High", IF(Table1[[#This Row],[Sales]]&gt;=15000,"Medium","Low"))</f>
        <v>High</v>
      </c>
      <c r="L207" t="str">
        <f>TEXT(Table1[[#This Row],[Order_Date]],"MMM")</f>
        <v>Jan</v>
      </c>
      <c r="M207" t="str">
        <f>IF(Table1[[#This Row],[Profit]]&gt;=10000,"Excellent",IF(Table1[[#This Row],[Profit]]&gt;5000,"Good","Low"))</f>
        <v>Excellent</v>
      </c>
      <c r="N207" t="str">
        <f>TEXT(Table1[[#This Row],[Order_Date]],"YYYY")</f>
        <v>2026</v>
      </c>
    </row>
    <row r="208" spans="1:14" x14ac:dyDescent="0.25">
      <c r="A208" s="1">
        <v>45994</v>
      </c>
      <c r="B208" t="s">
        <v>11</v>
      </c>
      <c r="C208" t="s">
        <v>36</v>
      </c>
      <c r="D208">
        <v>5449</v>
      </c>
      <c r="E208">
        <v>3945</v>
      </c>
      <c r="F208">
        <v>1504</v>
      </c>
      <c r="G208" t="s">
        <v>13</v>
      </c>
      <c r="H208" t="s">
        <v>78</v>
      </c>
      <c r="I208" t="s">
        <v>42</v>
      </c>
      <c r="J208" s="2">
        <f>Table1[[#This Row],[Profit]]/Table1[[#This Row],[Sales]]*100</f>
        <v>27.60139475133052</v>
      </c>
      <c r="K208" t="str">
        <f>IF(Table1[[#This Row],[Sales]]&gt;=30000,"High", IF(Table1[[#This Row],[Sales]]&gt;=15000,"Medium","Low"))</f>
        <v>Low</v>
      </c>
      <c r="L208" t="str">
        <f>TEXT(Table1[[#This Row],[Order_Date]],"MMM")</f>
        <v>Dec</v>
      </c>
      <c r="M208" t="str">
        <f>IF(Table1[[#This Row],[Profit]]&gt;=10000,"Excellent",IF(Table1[[#This Row],[Profit]]&gt;5000,"Good","Low"))</f>
        <v>Low</v>
      </c>
      <c r="N208" t="str">
        <f>TEXT(Table1[[#This Row],[Order_Date]],"YYYY")</f>
        <v>2025</v>
      </c>
    </row>
    <row r="209" spans="1:14" x14ac:dyDescent="0.25">
      <c r="A209" s="1">
        <v>45619</v>
      </c>
      <c r="B209" t="s">
        <v>22</v>
      </c>
      <c r="C209" t="s">
        <v>12</v>
      </c>
      <c r="D209">
        <v>23770</v>
      </c>
      <c r="E209">
        <v>4577</v>
      </c>
      <c r="F209">
        <v>19193</v>
      </c>
      <c r="G209" t="s">
        <v>27</v>
      </c>
      <c r="H209" t="s">
        <v>60</v>
      </c>
      <c r="I209" t="s">
        <v>42</v>
      </c>
      <c r="J209" s="2">
        <f>Table1[[#This Row],[Profit]]/Table1[[#This Row],[Sales]]*100</f>
        <v>80.744636095919233</v>
      </c>
      <c r="K209" t="str">
        <f>IF(Table1[[#This Row],[Sales]]&gt;=30000,"High", IF(Table1[[#This Row],[Sales]]&gt;=15000,"Medium","Low"))</f>
        <v>Medium</v>
      </c>
      <c r="L209" t="str">
        <f>TEXT(Table1[[#This Row],[Order_Date]],"MMM")</f>
        <v>Nov</v>
      </c>
      <c r="M209" t="str">
        <f>IF(Table1[[#This Row],[Profit]]&gt;=10000,"Excellent",IF(Table1[[#This Row],[Profit]]&gt;5000,"Good","Low"))</f>
        <v>Excellent</v>
      </c>
      <c r="N209" t="str">
        <f>TEXT(Table1[[#This Row],[Order_Date]],"YYYY")</f>
        <v>2024</v>
      </c>
    </row>
    <row r="210" spans="1:14" x14ac:dyDescent="0.25">
      <c r="A210" s="1">
        <v>45389</v>
      </c>
      <c r="B210" t="s">
        <v>44</v>
      </c>
      <c r="C210" t="s">
        <v>41</v>
      </c>
      <c r="D210">
        <v>34380</v>
      </c>
      <c r="E210">
        <v>22092</v>
      </c>
      <c r="F210">
        <v>12288</v>
      </c>
      <c r="G210" t="s">
        <v>19</v>
      </c>
      <c r="H210" t="s">
        <v>23</v>
      </c>
      <c r="I210" t="s">
        <v>53</v>
      </c>
      <c r="J210" s="2">
        <f>Table1[[#This Row],[Profit]]/Table1[[#This Row],[Sales]]*100</f>
        <v>35.741710296684118</v>
      </c>
      <c r="K210" t="str">
        <f>IF(Table1[[#This Row],[Sales]]&gt;=30000,"High", IF(Table1[[#This Row],[Sales]]&gt;=15000,"Medium","Low"))</f>
        <v>High</v>
      </c>
      <c r="L210" t="str">
        <f>TEXT(Table1[[#This Row],[Order_Date]],"MMM")</f>
        <v>Apr</v>
      </c>
      <c r="M210" t="str">
        <f>IF(Table1[[#This Row],[Profit]]&gt;=10000,"Excellent",IF(Table1[[#This Row],[Profit]]&gt;5000,"Good","Low"))</f>
        <v>Excellent</v>
      </c>
      <c r="N210" t="str">
        <f>TEXT(Table1[[#This Row],[Order_Date]],"YYYY")</f>
        <v>2024</v>
      </c>
    </row>
    <row r="211" spans="1:14" x14ac:dyDescent="0.25">
      <c r="A211" s="1">
        <v>45616</v>
      </c>
      <c r="B211" t="s">
        <v>44</v>
      </c>
      <c r="C211" t="s">
        <v>18</v>
      </c>
      <c r="D211">
        <v>28383</v>
      </c>
      <c r="E211">
        <v>16197</v>
      </c>
      <c r="F211">
        <v>12186</v>
      </c>
      <c r="G211" t="s">
        <v>13</v>
      </c>
      <c r="H211" t="s">
        <v>60</v>
      </c>
      <c r="I211" t="s">
        <v>42</v>
      </c>
      <c r="J211" s="2">
        <f>Table1[[#This Row],[Profit]]/Table1[[#This Row],[Sales]]*100</f>
        <v>42.934150724024946</v>
      </c>
      <c r="K211" t="str">
        <f>IF(Table1[[#This Row],[Sales]]&gt;=30000,"High", IF(Table1[[#This Row],[Sales]]&gt;=15000,"Medium","Low"))</f>
        <v>Medium</v>
      </c>
      <c r="L211" t="str">
        <f>TEXT(Table1[[#This Row],[Order_Date]],"MMM")</f>
        <v>Nov</v>
      </c>
      <c r="M211" t="str">
        <f>IF(Table1[[#This Row],[Profit]]&gt;=10000,"Excellent",IF(Table1[[#This Row],[Profit]]&gt;5000,"Good","Low"))</f>
        <v>Excellent</v>
      </c>
      <c r="N211" t="str">
        <f>TEXT(Table1[[#This Row],[Order_Date]],"YYYY")</f>
        <v>2024</v>
      </c>
    </row>
    <row r="212" spans="1:14" x14ac:dyDescent="0.25">
      <c r="A212" s="1">
        <v>45292</v>
      </c>
      <c r="B212" t="s">
        <v>11</v>
      </c>
      <c r="C212" t="s">
        <v>36</v>
      </c>
      <c r="D212">
        <v>22003</v>
      </c>
      <c r="E212">
        <v>12792</v>
      </c>
      <c r="F212">
        <v>9211</v>
      </c>
      <c r="G212" t="s">
        <v>27</v>
      </c>
      <c r="H212" t="s">
        <v>63</v>
      </c>
      <c r="I212" t="s">
        <v>42</v>
      </c>
      <c r="J212" s="2">
        <f>Table1[[#This Row],[Profit]]/Table1[[#This Row],[Sales]]*100</f>
        <v>41.862473299095576</v>
      </c>
      <c r="K212" t="str">
        <f>IF(Table1[[#This Row],[Sales]]&gt;=30000,"High", IF(Table1[[#This Row],[Sales]]&gt;=15000,"Medium","Low"))</f>
        <v>Medium</v>
      </c>
      <c r="L212" t="str">
        <f>TEXT(Table1[[#This Row],[Order_Date]],"MMM")</f>
        <v>Jan</v>
      </c>
      <c r="M212" t="str">
        <f>IF(Table1[[#This Row],[Profit]]&gt;=10000,"Excellent",IF(Table1[[#This Row],[Profit]]&gt;5000,"Good","Low"))</f>
        <v>Good</v>
      </c>
      <c r="N212" t="str">
        <f>TEXT(Table1[[#This Row],[Order_Date]],"YYYY")</f>
        <v>2024</v>
      </c>
    </row>
    <row r="213" spans="1:14" x14ac:dyDescent="0.25">
      <c r="A213" s="1">
        <v>45557</v>
      </c>
      <c r="B213" t="s">
        <v>11</v>
      </c>
      <c r="C213" t="s">
        <v>41</v>
      </c>
      <c r="D213">
        <v>18359</v>
      </c>
      <c r="E213">
        <v>8467</v>
      </c>
      <c r="F213">
        <v>9892</v>
      </c>
      <c r="G213" t="s">
        <v>19</v>
      </c>
      <c r="H213" t="s">
        <v>23</v>
      </c>
      <c r="I213" t="s">
        <v>15</v>
      </c>
      <c r="J213" s="2">
        <f>Table1[[#This Row],[Profit]]/Table1[[#This Row],[Sales]]*100</f>
        <v>53.880930333896181</v>
      </c>
      <c r="K213" t="str">
        <f>IF(Table1[[#This Row],[Sales]]&gt;=30000,"High", IF(Table1[[#This Row],[Sales]]&gt;=15000,"Medium","Low"))</f>
        <v>Medium</v>
      </c>
      <c r="L213" t="str">
        <f>TEXT(Table1[[#This Row],[Order_Date]],"MMM")</f>
        <v>Sep</v>
      </c>
      <c r="M213" t="str">
        <f>IF(Table1[[#This Row],[Profit]]&gt;=10000,"Excellent",IF(Table1[[#This Row],[Profit]]&gt;5000,"Good","Low"))</f>
        <v>Good</v>
      </c>
      <c r="N213" t="str">
        <f>TEXT(Table1[[#This Row],[Order_Date]],"YYYY")</f>
        <v>2024</v>
      </c>
    </row>
    <row r="214" spans="1:14" x14ac:dyDescent="0.25">
      <c r="A214" s="1">
        <v>46119</v>
      </c>
      <c r="B214" t="s">
        <v>11</v>
      </c>
      <c r="C214" t="s">
        <v>36</v>
      </c>
      <c r="D214">
        <v>12543</v>
      </c>
      <c r="E214">
        <v>6225</v>
      </c>
      <c r="F214">
        <v>6318</v>
      </c>
      <c r="G214" t="s">
        <v>19</v>
      </c>
      <c r="H214" t="s">
        <v>78</v>
      </c>
      <c r="I214" t="s">
        <v>24</v>
      </c>
      <c r="J214" s="2">
        <f>Table1[[#This Row],[Profit]]/Table1[[#This Row],[Sales]]*100</f>
        <v>50.370724707007895</v>
      </c>
      <c r="K214" t="str">
        <f>IF(Table1[[#This Row],[Sales]]&gt;=30000,"High", IF(Table1[[#This Row],[Sales]]&gt;=15000,"Medium","Low"))</f>
        <v>Low</v>
      </c>
      <c r="L214" t="str">
        <f>TEXT(Table1[[#This Row],[Order_Date]],"MMM")</f>
        <v>Apr</v>
      </c>
      <c r="M214" t="str">
        <f>IF(Table1[[#This Row],[Profit]]&gt;=10000,"Excellent",IF(Table1[[#This Row],[Profit]]&gt;5000,"Good","Low"))</f>
        <v>Good</v>
      </c>
      <c r="N214" t="str">
        <f>TEXT(Table1[[#This Row],[Order_Date]],"YYYY")</f>
        <v>2026</v>
      </c>
    </row>
    <row r="215" spans="1:14" x14ac:dyDescent="0.25">
      <c r="A215" s="1">
        <v>45596</v>
      </c>
      <c r="B215" t="s">
        <v>44</v>
      </c>
      <c r="C215" t="s">
        <v>41</v>
      </c>
      <c r="D215">
        <v>19950</v>
      </c>
      <c r="E215">
        <v>16464</v>
      </c>
      <c r="F215">
        <v>3486</v>
      </c>
      <c r="G215" t="s">
        <v>38</v>
      </c>
      <c r="H215" t="s">
        <v>28</v>
      </c>
      <c r="I215" t="s">
        <v>53</v>
      </c>
      <c r="J215" s="2">
        <f>Table1[[#This Row],[Profit]]/Table1[[#This Row],[Sales]]*100</f>
        <v>17.473684210526315</v>
      </c>
      <c r="K215" t="str">
        <f>IF(Table1[[#This Row],[Sales]]&gt;=30000,"High", IF(Table1[[#This Row],[Sales]]&gt;=15000,"Medium","Low"))</f>
        <v>Medium</v>
      </c>
      <c r="L215" t="str">
        <f>TEXT(Table1[[#This Row],[Order_Date]],"MMM")</f>
        <v>Oct</v>
      </c>
      <c r="M215" t="str">
        <f>IF(Table1[[#This Row],[Profit]]&gt;=10000,"Excellent",IF(Table1[[#This Row],[Profit]]&gt;5000,"Good","Low"))</f>
        <v>Low</v>
      </c>
      <c r="N215" t="str">
        <f>TEXT(Table1[[#This Row],[Order_Date]],"YYYY")</f>
        <v>2024</v>
      </c>
    </row>
    <row r="216" spans="1:14" x14ac:dyDescent="0.25">
      <c r="A216" s="1">
        <v>46101</v>
      </c>
      <c r="B216" t="s">
        <v>17</v>
      </c>
      <c r="C216" t="s">
        <v>12</v>
      </c>
      <c r="D216">
        <v>23379</v>
      </c>
      <c r="E216">
        <v>5091</v>
      </c>
      <c r="F216">
        <v>18288</v>
      </c>
      <c r="G216" t="s">
        <v>19</v>
      </c>
      <c r="H216" t="s">
        <v>45</v>
      </c>
      <c r="I216" t="s">
        <v>53</v>
      </c>
      <c r="J216" s="2">
        <f>Table1[[#This Row],[Profit]]/Table1[[#This Row],[Sales]]*100</f>
        <v>78.224047221865774</v>
      </c>
      <c r="K216" t="str">
        <f>IF(Table1[[#This Row],[Sales]]&gt;=30000,"High", IF(Table1[[#This Row],[Sales]]&gt;=15000,"Medium","Low"))</f>
        <v>Medium</v>
      </c>
      <c r="L216" t="str">
        <f>TEXT(Table1[[#This Row],[Order_Date]],"MMM")</f>
        <v>Mar</v>
      </c>
      <c r="M216" t="str">
        <f>IF(Table1[[#This Row],[Profit]]&gt;=10000,"Excellent",IF(Table1[[#This Row],[Profit]]&gt;5000,"Good","Low"))</f>
        <v>Excellent</v>
      </c>
      <c r="N216" t="str">
        <f>TEXT(Table1[[#This Row],[Order_Date]],"YYYY")</f>
        <v>2026</v>
      </c>
    </row>
    <row r="217" spans="1:14" x14ac:dyDescent="0.25">
      <c r="A217" s="1">
        <v>45732</v>
      </c>
      <c r="B217" t="s">
        <v>17</v>
      </c>
      <c r="C217" t="s">
        <v>33</v>
      </c>
      <c r="D217">
        <v>14008</v>
      </c>
      <c r="E217">
        <v>11865</v>
      </c>
      <c r="F217">
        <v>2143</v>
      </c>
      <c r="G217" t="s">
        <v>13</v>
      </c>
      <c r="H217" t="s">
        <v>63</v>
      </c>
      <c r="I217" t="s">
        <v>15</v>
      </c>
      <c r="J217" s="2">
        <f>Table1[[#This Row],[Profit]]/Table1[[#This Row],[Sales]]*100</f>
        <v>15.298400913763563</v>
      </c>
      <c r="K217" t="str">
        <f>IF(Table1[[#This Row],[Sales]]&gt;=30000,"High", IF(Table1[[#This Row],[Sales]]&gt;=15000,"Medium","Low"))</f>
        <v>Low</v>
      </c>
      <c r="L217" t="str">
        <f>TEXT(Table1[[#This Row],[Order_Date]],"MMM")</f>
        <v>Mar</v>
      </c>
      <c r="M217" t="str">
        <f>IF(Table1[[#This Row],[Profit]]&gt;=10000,"Excellent",IF(Table1[[#This Row],[Profit]]&gt;5000,"Good","Low"))</f>
        <v>Low</v>
      </c>
      <c r="N217" t="str">
        <f>TEXT(Table1[[#This Row],[Order_Date]],"YYYY")</f>
        <v>2025</v>
      </c>
    </row>
    <row r="218" spans="1:14" x14ac:dyDescent="0.25">
      <c r="A218" s="1">
        <v>45160</v>
      </c>
      <c r="B218" t="s">
        <v>44</v>
      </c>
      <c r="C218" t="s">
        <v>33</v>
      </c>
      <c r="D218">
        <v>35108</v>
      </c>
      <c r="E218">
        <v>16352</v>
      </c>
      <c r="F218">
        <v>18756</v>
      </c>
      <c r="G218" t="s">
        <v>13</v>
      </c>
      <c r="H218" t="s">
        <v>60</v>
      </c>
      <c r="I218" t="s">
        <v>29</v>
      </c>
      <c r="J218" s="2">
        <f>Table1[[#This Row],[Profit]]/Table1[[#This Row],[Sales]]*100</f>
        <v>53.423721089210439</v>
      </c>
      <c r="K218" t="str">
        <f>IF(Table1[[#This Row],[Sales]]&gt;=30000,"High", IF(Table1[[#This Row],[Sales]]&gt;=15000,"Medium","Low"))</f>
        <v>High</v>
      </c>
      <c r="L218" t="str">
        <f>TEXT(Table1[[#This Row],[Order_Date]],"MMM")</f>
        <v>Aug</v>
      </c>
      <c r="M218" t="str">
        <f>IF(Table1[[#This Row],[Profit]]&gt;=10000,"Excellent",IF(Table1[[#This Row],[Profit]]&gt;5000,"Good","Low"))</f>
        <v>Excellent</v>
      </c>
      <c r="N218" t="str">
        <f>TEXT(Table1[[#This Row],[Order_Date]],"YYYY")</f>
        <v>2023</v>
      </c>
    </row>
    <row r="219" spans="1:14" x14ac:dyDescent="0.25">
      <c r="A219" s="1">
        <v>45667</v>
      </c>
      <c r="B219" t="s">
        <v>26</v>
      </c>
      <c r="C219" t="s">
        <v>41</v>
      </c>
      <c r="D219">
        <v>45616</v>
      </c>
      <c r="E219">
        <v>37739</v>
      </c>
      <c r="F219">
        <v>7877</v>
      </c>
      <c r="G219" t="s">
        <v>13</v>
      </c>
      <c r="H219" t="s">
        <v>28</v>
      </c>
      <c r="I219" t="s">
        <v>15</v>
      </c>
      <c r="J219" s="2">
        <f>Table1[[#This Row],[Profit]]/Table1[[#This Row],[Sales]]*100</f>
        <v>17.268063837250089</v>
      </c>
      <c r="K219" t="str">
        <f>IF(Table1[[#This Row],[Sales]]&gt;=30000,"High", IF(Table1[[#This Row],[Sales]]&gt;=15000,"Medium","Low"))</f>
        <v>High</v>
      </c>
      <c r="L219" t="str">
        <f>TEXT(Table1[[#This Row],[Order_Date]],"MMM")</f>
        <v>Jan</v>
      </c>
      <c r="M219" t="str">
        <f>IF(Table1[[#This Row],[Profit]]&gt;=10000,"Excellent",IF(Table1[[#This Row],[Profit]]&gt;5000,"Good","Low"))</f>
        <v>Good</v>
      </c>
      <c r="N219" t="str">
        <f>TEXT(Table1[[#This Row],[Order_Date]],"YYYY")</f>
        <v>2025</v>
      </c>
    </row>
    <row r="220" spans="1:14" x14ac:dyDescent="0.25">
      <c r="A220" s="1">
        <v>45799</v>
      </c>
      <c r="B220" t="s">
        <v>17</v>
      </c>
      <c r="C220" t="s">
        <v>18</v>
      </c>
      <c r="D220">
        <v>36487</v>
      </c>
      <c r="E220">
        <v>23385</v>
      </c>
      <c r="F220">
        <v>13102</v>
      </c>
      <c r="G220" t="s">
        <v>19</v>
      </c>
      <c r="H220" t="s">
        <v>63</v>
      </c>
      <c r="I220" t="s">
        <v>53</v>
      </c>
      <c r="J220" s="2">
        <f>Table1[[#This Row],[Profit]]/Table1[[#This Row],[Sales]]*100</f>
        <v>35.908679803765722</v>
      </c>
      <c r="K220" t="str">
        <f>IF(Table1[[#This Row],[Sales]]&gt;=30000,"High", IF(Table1[[#This Row],[Sales]]&gt;=15000,"Medium","Low"))</f>
        <v>High</v>
      </c>
      <c r="L220" t="str">
        <f>TEXT(Table1[[#This Row],[Order_Date]],"MMM")</f>
        <v>May</v>
      </c>
      <c r="M220" t="str">
        <f>IF(Table1[[#This Row],[Profit]]&gt;=10000,"Excellent",IF(Table1[[#This Row],[Profit]]&gt;5000,"Good","Low"))</f>
        <v>Excellent</v>
      </c>
      <c r="N220" t="str">
        <f>TEXT(Table1[[#This Row],[Order_Date]],"YYYY")</f>
        <v>2025</v>
      </c>
    </row>
    <row r="221" spans="1:14" x14ac:dyDescent="0.25">
      <c r="A221" s="1">
        <v>45467</v>
      </c>
      <c r="B221" t="s">
        <v>11</v>
      </c>
      <c r="C221" t="s">
        <v>36</v>
      </c>
      <c r="D221">
        <v>28227</v>
      </c>
      <c r="E221">
        <v>23846</v>
      </c>
      <c r="F221">
        <v>4381</v>
      </c>
      <c r="G221" t="s">
        <v>27</v>
      </c>
      <c r="H221" t="s">
        <v>63</v>
      </c>
      <c r="I221" t="s">
        <v>29</v>
      </c>
      <c r="J221" s="2">
        <f>Table1[[#This Row],[Profit]]/Table1[[#This Row],[Sales]]*100</f>
        <v>15.520600843164345</v>
      </c>
      <c r="K221" t="str">
        <f>IF(Table1[[#This Row],[Sales]]&gt;=30000,"High", IF(Table1[[#This Row],[Sales]]&gt;=15000,"Medium","Low"))</f>
        <v>Medium</v>
      </c>
      <c r="L221" t="str">
        <f>TEXT(Table1[[#This Row],[Order_Date]],"MMM")</f>
        <v>Jun</v>
      </c>
      <c r="M221" t="str">
        <f>IF(Table1[[#This Row],[Profit]]&gt;=10000,"Excellent",IF(Table1[[#This Row],[Profit]]&gt;5000,"Good","Low"))</f>
        <v>Low</v>
      </c>
      <c r="N221" t="str">
        <f>TEXT(Table1[[#This Row],[Order_Date]],"YYYY")</f>
        <v>2024</v>
      </c>
    </row>
    <row r="222" spans="1:14" x14ac:dyDescent="0.25">
      <c r="A222" s="1">
        <v>45707</v>
      </c>
      <c r="B222" t="s">
        <v>17</v>
      </c>
      <c r="C222" t="s">
        <v>33</v>
      </c>
      <c r="D222">
        <v>29370</v>
      </c>
      <c r="E222">
        <v>23306</v>
      </c>
      <c r="F222">
        <v>6064</v>
      </c>
      <c r="G222" t="s">
        <v>27</v>
      </c>
      <c r="H222" t="s">
        <v>45</v>
      </c>
      <c r="I222" t="s">
        <v>15</v>
      </c>
      <c r="J222" s="2">
        <f>Table1[[#This Row],[Profit]]/Table1[[#This Row],[Sales]]*100</f>
        <v>20.646918624446712</v>
      </c>
      <c r="K222" t="str">
        <f>IF(Table1[[#This Row],[Sales]]&gt;=30000,"High", IF(Table1[[#This Row],[Sales]]&gt;=15000,"Medium","Low"))</f>
        <v>Medium</v>
      </c>
      <c r="L222" t="str">
        <f>TEXT(Table1[[#This Row],[Order_Date]],"MMM")</f>
        <v>Feb</v>
      </c>
      <c r="M222" t="str">
        <f>IF(Table1[[#This Row],[Profit]]&gt;=10000,"Excellent",IF(Table1[[#This Row],[Profit]]&gt;5000,"Good","Low"))</f>
        <v>Good</v>
      </c>
      <c r="N222" t="str">
        <f>TEXT(Table1[[#This Row],[Order_Date]],"YYYY")</f>
        <v>2025</v>
      </c>
    </row>
    <row r="223" spans="1:14" x14ac:dyDescent="0.25">
      <c r="A223" s="1">
        <v>45233</v>
      </c>
      <c r="B223" t="s">
        <v>26</v>
      </c>
      <c r="C223" t="s">
        <v>18</v>
      </c>
      <c r="D223">
        <v>49017</v>
      </c>
      <c r="E223">
        <v>37036</v>
      </c>
      <c r="F223">
        <v>11981</v>
      </c>
      <c r="G223" t="s">
        <v>13</v>
      </c>
      <c r="H223" t="s">
        <v>78</v>
      </c>
      <c r="I223" t="s">
        <v>29</v>
      </c>
      <c r="J223" s="2">
        <f>Table1[[#This Row],[Profit]]/Table1[[#This Row],[Sales]]*100</f>
        <v>24.442540343146256</v>
      </c>
      <c r="K223" t="str">
        <f>IF(Table1[[#This Row],[Sales]]&gt;=30000,"High", IF(Table1[[#This Row],[Sales]]&gt;=15000,"Medium","Low"))</f>
        <v>High</v>
      </c>
      <c r="L223" t="str">
        <f>TEXT(Table1[[#This Row],[Order_Date]],"MMM")</f>
        <v>Nov</v>
      </c>
      <c r="M223" t="str">
        <f>IF(Table1[[#This Row],[Profit]]&gt;=10000,"Excellent",IF(Table1[[#This Row],[Profit]]&gt;5000,"Good","Low"))</f>
        <v>Excellent</v>
      </c>
      <c r="N223" t="str">
        <f>TEXT(Table1[[#This Row],[Order_Date]],"YYYY")</f>
        <v>2023</v>
      </c>
    </row>
    <row r="224" spans="1:14" x14ac:dyDescent="0.25">
      <c r="A224" s="1">
        <v>46204</v>
      </c>
      <c r="B224" t="s">
        <v>26</v>
      </c>
      <c r="C224" t="s">
        <v>36</v>
      </c>
      <c r="D224">
        <v>38449</v>
      </c>
      <c r="E224">
        <v>28040</v>
      </c>
      <c r="F224">
        <v>10409</v>
      </c>
      <c r="G224" t="s">
        <v>19</v>
      </c>
      <c r="H224" t="s">
        <v>14</v>
      </c>
      <c r="I224" t="s">
        <v>53</v>
      </c>
      <c r="J224" s="2">
        <f>Table1[[#This Row],[Profit]]/Table1[[#This Row],[Sales]]*100</f>
        <v>27.072225545527839</v>
      </c>
      <c r="K224" t="str">
        <f>IF(Table1[[#This Row],[Sales]]&gt;=30000,"High", IF(Table1[[#This Row],[Sales]]&gt;=15000,"Medium","Low"))</f>
        <v>High</v>
      </c>
      <c r="L224" t="str">
        <f>TEXT(Table1[[#This Row],[Order_Date]],"MMM")</f>
        <v>Jul</v>
      </c>
      <c r="M224" t="str">
        <f>IF(Table1[[#This Row],[Profit]]&gt;=10000,"Excellent",IF(Table1[[#This Row],[Profit]]&gt;5000,"Good","Low"))</f>
        <v>Excellent</v>
      </c>
      <c r="N224" t="str">
        <f>TEXT(Table1[[#This Row],[Order_Date]],"YYYY")</f>
        <v>2026</v>
      </c>
    </row>
    <row r="225" spans="1:14" x14ac:dyDescent="0.25">
      <c r="A225" s="1">
        <v>45585</v>
      </c>
      <c r="B225" t="s">
        <v>11</v>
      </c>
      <c r="C225" t="s">
        <v>12</v>
      </c>
      <c r="D225">
        <v>48160</v>
      </c>
      <c r="E225">
        <v>34991</v>
      </c>
      <c r="F225">
        <v>13169</v>
      </c>
      <c r="G225" t="s">
        <v>19</v>
      </c>
      <c r="H225" t="s">
        <v>20</v>
      </c>
      <c r="I225" t="s">
        <v>29</v>
      </c>
      <c r="J225" s="2">
        <f>Table1[[#This Row],[Profit]]/Table1[[#This Row],[Sales]]*100</f>
        <v>27.344269102990033</v>
      </c>
      <c r="K225" t="str">
        <f>IF(Table1[[#This Row],[Sales]]&gt;=30000,"High", IF(Table1[[#This Row],[Sales]]&gt;=15000,"Medium","Low"))</f>
        <v>High</v>
      </c>
      <c r="L225" t="str">
        <f>TEXT(Table1[[#This Row],[Order_Date]],"MMM")</f>
        <v>Oct</v>
      </c>
      <c r="M225" t="str">
        <f>IF(Table1[[#This Row],[Profit]]&gt;=10000,"Excellent",IF(Table1[[#This Row],[Profit]]&gt;5000,"Good","Low"))</f>
        <v>Excellent</v>
      </c>
      <c r="N225" t="str">
        <f>TEXT(Table1[[#This Row],[Order_Date]],"YYYY")</f>
        <v>2024</v>
      </c>
    </row>
    <row r="226" spans="1:14" x14ac:dyDescent="0.25">
      <c r="A226" s="1">
        <v>45284</v>
      </c>
      <c r="B226" t="s">
        <v>44</v>
      </c>
      <c r="C226" t="s">
        <v>41</v>
      </c>
      <c r="D226">
        <v>38825</v>
      </c>
      <c r="E226">
        <v>32620</v>
      </c>
      <c r="F226">
        <v>6205</v>
      </c>
      <c r="G226" t="s">
        <v>19</v>
      </c>
      <c r="H226" t="s">
        <v>28</v>
      </c>
      <c r="I226" t="s">
        <v>42</v>
      </c>
      <c r="J226" s="2">
        <f>Table1[[#This Row],[Profit]]/Table1[[#This Row],[Sales]]*100</f>
        <v>15.981970379909852</v>
      </c>
      <c r="K226" t="str">
        <f>IF(Table1[[#This Row],[Sales]]&gt;=30000,"High", IF(Table1[[#This Row],[Sales]]&gt;=15000,"Medium","Low"))</f>
        <v>High</v>
      </c>
      <c r="L226" t="str">
        <f>TEXT(Table1[[#This Row],[Order_Date]],"MMM")</f>
        <v>Dec</v>
      </c>
      <c r="M226" t="str">
        <f>IF(Table1[[#This Row],[Profit]]&gt;=10000,"Excellent",IF(Table1[[#This Row],[Profit]]&gt;5000,"Good","Low"))</f>
        <v>Good</v>
      </c>
      <c r="N226" t="str">
        <f>TEXT(Table1[[#This Row],[Order_Date]],"YYYY")</f>
        <v>2023</v>
      </c>
    </row>
    <row r="227" spans="1:14" x14ac:dyDescent="0.25">
      <c r="A227" s="1">
        <v>46023</v>
      </c>
      <c r="B227" t="s">
        <v>26</v>
      </c>
      <c r="C227" t="s">
        <v>41</v>
      </c>
      <c r="D227">
        <v>30843</v>
      </c>
      <c r="E227">
        <v>12479</v>
      </c>
      <c r="F227">
        <v>18364</v>
      </c>
      <c r="G227" t="s">
        <v>38</v>
      </c>
      <c r="H227" t="s">
        <v>34</v>
      </c>
      <c r="I227" t="s">
        <v>42</v>
      </c>
      <c r="J227" s="2">
        <f>Table1[[#This Row],[Profit]]/Table1[[#This Row],[Sales]]*100</f>
        <v>59.54025224524203</v>
      </c>
      <c r="K227" t="str">
        <f>IF(Table1[[#This Row],[Sales]]&gt;=30000,"High", IF(Table1[[#This Row],[Sales]]&gt;=15000,"Medium","Low"))</f>
        <v>High</v>
      </c>
      <c r="L227" t="str">
        <f>TEXT(Table1[[#This Row],[Order_Date]],"MMM")</f>
        <v>Jan</v>
      </c>
      <c r="M227" t="str">
        <f>IF(Table1[[#This Row],[Profit]]&gt;=10000,"Excellent",IF(Table1[[#This Row],[Profit]]&gt;5000,"Good","Low"))</f>
        <v>Excellent</v>
      </c>
      <c r="N227" t="str">
        <f>TEXT(Table1[[#This Row],[Order_Date]],"YYYY")</f>
        <v>2026</v>
      </c>
    </row>
    <row r="228" spans="1:14" x14ac:dyDescent="0.25">
      <c r="A228" s="1">
        <v>45948</v>
      </c>
      <c r="B228" t="s">
        <v>11</v>
      </c>
      <c r="C228" t="s">
        <v>12</v>
      </c>
      <c r="D228">
        <v>6290</v>
      </c>
      <c r="E228">
        <v>866</v>
      </c>
      <c r="F228">
        <v>5424</v>
      </c>
      <c r="G228" t="s">
        <v>13</v>
      </c>
      <c r="H228" t="s">
        <v>45</v>
      </c>
      <c r="I228" t="s">
        <v>42</v>
      </c>
      <c r="J228" s="2">
        <f>Table1[[#This Row],[Profit]]/Table1[[#This Row],[Sales]]*100</f>
        <v>86.232114467408579</v>
      </c>
      <c r="K228" t="str">
        <f>IF(Table1[[#This Row],[Sales]]&gt;=30000,"High", IF(Table1[[#This Row],[Sales]]&gt;=15000,"Medium","Low"))</f>
        <v>Low</v>
      </c>
      <c r="L228" t="str">
        <f>TEXT(Table1[[#This Row],[Order_Date]],"MMM")</f>
        <v>Oct</v>
      </c>
      <c r="M228" t="str">
        <f>IF(Table1[[#This Row],[Profit]]&gt;=10000,"Excellent",IF(Table1[[#This Row],[Profit]]&gt;5000,"Good","Low"))</f>
        <v>Good</v>
      </c>
      <c r="N228" t="str">
        <f>TEXT(Table1[[#This Row],[Order_Date]],"YYYY")</f>
        <v>2025</v>
      </c>
    </row>
    <row r="229" spans="1:14" x14ac:dyDescent="0.25">
      <c r="A229" s="1">
        <v>45613</v>
      </c>
      <c r="B229" t="s">
        <v>26</v>
      </c>
      <c r="C229" t="s">
        <v>18</v>
      </c>
      <c r="D229">
        <v>44920</v>
      </c>
      <c r="E229">
        <v>41388</v>
      </c>
      <c r="F229">
        <v>3532</v>
      </c>
      <c r="G229" t="s">
        <v>13</v>
      </c>
      <c r="H229" t="s">
        <v>63</v>
      </c>
      <c r="I229" t="s">
        <v>29</v>
      </c>
      <c r="J229" s="2">
        <f>Table1[[#This Row],[Profit]]/Table1[[#This Row],[Sales]]*100</f>
        <v>7.8628673196794301</v>
      </c>
      <c r="K229" t="str">
        <f>IF(Table1[[#This Row],[Sales]]&gt;=30000,"High", IF(Table1[[#This Row],[Sales]]&gt;=15000,"Medium","Low"))</f>
        <v>High</v>
      </c>
      <c r="L229" t="str">
        <f>TEXT(Table1[[#This Row],[Order_Date]],"MMM")</f>
        <v>Nov</v>
      </c>
      <c r="M229" t="str">
        <f>IF(Table1[[#This Row],[Profit]]&gt;=10000,"Excellent",IF(Table1[[#This Row],[Profit]]&gt;5000,"Good","Low"))</f>
        <v>Low</v>
      </c>
      <c r="N229" t="str">
        <f>TEXT(Table1[[#This Row],[Order_Date]],"YYYY")</f>
        <v>2024</v>
      </c>
    </row>
    <row r="230" spans="1:14" x14ac:dyDescent="0.25">
      <c r="A230" s="1">
        <v>46106</v>
      </c>
      <c r="B230" t="s">
        <v>22</v>
      </c>
      <c r="C230" t="s">
        <v>36</v>
      </c>
      <c r="D230">
        <v>46543</v>
      </c>
      <c r="E230">
        <v>33977</v>
      </c>
      <c r="F230">
        <v>12566</v>
      </c>
      <c r="G230" t="s">
        <v>38</v>
      </c>
      <c r="H230" t="s">
        <v>78</v>
      </c>
      <c r="I230" t="s">
        <v>15</v>
      </c>
      <c r="J230" s="2">
        <f>Table1[[#This Row],[Profit]]/Table1[[#This Row],[Sales]]*100</f>
        <v>26.998689384010483</v>
      </c>
      <c r="K230" t="str">
        <f>IF(Table1[[#This Row],[Sales]]&gt;=30000,"High", IF(Table1[[#This Row],[Sales]]&gt;=15000,"Medium","Low"))</f>
        <v>High</v>
      </c>
      <c r="L230" t="str">
        <f>TEXT(Table1[[#This Row],[Order_Date]],"MMM")</f>
        <v>Mar</v>
      </c>
      <c r="M230" t="str">
        <f>IF(Table1[[#This Row],[Profit]]&gt;=10000,"Excellent",IF(Table1[[#This Row],[Profit]]&gt;5000,"Good","Low"))</f>
        <v>Excellent</v>
      </c>
      <c r="N230" t="str">
        <f>TEXT(Table1[[#This Row],[Order_Date]],"YYYY")</f>
        <v>2026</v>
      </c>
    </row>
    <row r="231" spans="1:14" x14ac:dyDescent="0.25">
      <c r="A231" s="1">
        <v>45985</v>
      </c>
      <c r="B231" t="s">
        <v>22</v>
      </c>
      <c r="C231" t="s">
        <v>33</v>
      </c>
      <c r="D231">
        <v>46050</v>
      </c>
      <c r="E231">
        <v>45285</v>
      </c>
      <c r="F231">
        <v>765</v>
      </c>
      <c r="G231" t="s">
        <v>27</v>
      </c>
      <c r="H231" t="s">
        <v>14</v>
      </c>
      <c r="I231" t="s">
        <v>15</v>
      </c>
      <c r="J231" s="2">
        <f>Table1[[#This Row],[Profit]]/Table1[[#This Row],[Sales]]*100</f>
        <v>1.6612377850162865</v>
      </c>
      <c r="K231" t="str">
        <f>IF(Table1[[#This Row],[Sales]]&gt;=30000,"High", IF(Table1[[#This Row],[Sales]]&gt;=15000,"Medium","Low"))</f>
        <v>High</v>
      </c>
      <c r="L231" t="str">
        <f>TEXT(Table1[[#This Row],[Order_Date]],"MMM")</f>
        <v>Nov</v>
      </c>
      <c r="M231" t="str">
        <f>IF(Table1[[#This Row],[Profit]]&gt;=10000,"Excellent",IF(Table1[[#This Row],[Profit]]&gt;5000,"Good","Low"))</f>
        <v>Low</v>
      </c>
      <c r="N231" t="str">
        <f>TEXT(Table1[[#This Row],[Order_Date]],"YYYY")</f>
        <v>2025</v>
      </c>
    </row>
    <row r="232" spans="1:14" x14ac:dyDescent="0.25">
      <c r="A232" s="1">
        <v>45352</v>
      </c>
      <c r="B232" t="s">
        <v>26</v>
      </c>
      <c r="C232" t="s">
        <v>33</v>
      </c>
      <c r="D232">
        <v>7033</v>
      </c>
      <c r="E232">
        <v>2629</v>
      </c>
      <c r="F232">
        <v>4404</v>
      </c>
      <c r="G232" t="s">
        <v>38</v>
      </c>
      <c r="H232" t="s">
        <v>78</v>
      </c>
      <c r="I232" t="s">
        <v>24</v>
      </c>
      <c r="J232" s="2">
        <f>Table1[[#This Row],[Profit]]/Table1[[#This Row],[Sales]]*100</f>
        <v>62.619081473055594</v>
      </c>
      <c r="K232" t="str">
        <f>IF(Table1[[#This Row],[Sales]]&gt;=30000,"High", IF(Table1[[#This Row],[Sales]]&gt;=15000,"Medium","Low"))</f>
        <v>Low</v>
      </c>
      <c r="L232" t="str">
        <f>TEXT(Table1[[#This Row],[Order_Date]],"MMM")</f>
        <v>Mar</v>
      </c>
      <c r="M232" t="str">
        <f>IF(Table1[[#This Row],[Profit]]&gt;=10000,"Excellent",IF(Table1[[#This Row],[Profit]]&gt;5000,"Good","Low"))</f>
        <v>Low</v>
      </c>
      <c r="N232" t="str">
        <f>TEXT(Table1[[#This Row],[Order_Date]],"YYYY")</f>
        <v>2024</v>
      </c>
    </row>
    <row r="233" spans="1:14" x14ac:dyDescent="0.25">
      <c r="A233" s="1">
        <v>45492</v>
      </c>
      <c r="B233" t="s">
        <v>44</v>
      </c>
      <c r="C233" t="s">
        <v>18</v>
      </c>
      <c r="D233">
        <v>48185</v>
      </c>
      <c r="E233">
        <v>32383</v>
      </c>
      <c r="F233">
        <v>15802</v>
      </c>
      <c r="G233" t="s">
        <v>19</v>
      </c>
      <c r="H233" t="s">
        <v>63</v>
      </c>
      <c r="I233" t="s">
        <v>53</v>
      </c>
      <c r="J233" s="2">
        <f>Table1[[#This Row],[Profit]]/Table1[[#This Row],[Sales]]*100</f>
        <v>32.794438103144131</v>
      </c>
      <c r="K233" t="str">
        <f>IF(Table1[[#This Row],[Sales]]&gt;=30000,"High", IF(Table1[[#This Row],[Sales]]&gt;=15000,"Medium","Low"))</f>
        <v>High</v>
      </c>
      <c r="L233" t="str">
        <f>TEXT(Table1[[#This Row],[Order_Date]],"MMM")</f>
        <v>Jul</v>
      </c>
      <c r="M233" t="str">
        <f>IF(Table1[[#This Row],[Profit]]&gt;=10000,"Excellent",IF(Table1[[#This Row],[Profit]]&gt;5000,"Good","Low"))</f>
        <v>Excellent</v>
      </c>
      <c r="N233" t="str">
        <f>TEXT(Table1[[#This Row],[Order_Date]],"YYYY")</f>
        <v>2024</v>
      </c>
    </row>
    <row r="234" spans="1:14" x14ac:dyDescent="0.25">
      <c r="A234" s="1">
        <v>45750</v>
      </c>
      <c r="B234" t="s">
        <v>11</v>
      </c>
      <c r="C234" t="s">
        <v>41</v>
      </c>
      <c r="D234">
        <v>41463</v>
      </c>
      <c r="E234">
        <v>21807</v>
      </c>
      <c r="F234">
        <v>19656</v>
      </c>
      <c r="G234" t="s">
        <v>19</v>
      </c>
      <c r="H234" t="s">
        <v>60</v>
      </c>
      <c r="I234" t="s">
        <v>53</v>
      </c>
      <c r="J234" s="2">
        <f>Table1[[#This Row],[Profit]]/Table1[[#This Row],[Sales]]*100</f>
        <v>47.406121120034726</v>
      </c>
      <c r="K234" t="str">
        <f>IF(Table1[[#This Row],[Sales]]&gt;=30000,"High", IF(Table1[[#This Row],[Sales]]&gt;=15000,"Medium","Low"))</f>
        <v>High</v>
      </c>
      <c r="L234" t="str">
        <f>TEXT(Table1[[#This Row],[Order_Date]],"MMM")</f>
        <v>Apr</v>
      </c>
      <c r="M234" t="str">
        <f>IF(Table1[[#This Row],[Profit]]&gt;=10000,"Excellent",IF(Table1[[#This Row],[Profit]]&gt;5000,"Good","Low"))</f>
        <v>Excellent</v>
      </c>
      <c r="N234" t="str">
        <f>TEXT(Table1[[#This Row],[Order_Date]],"YYYY")</f>
        <v>2025</v>
      </c>
    </row>
    <row r="235" spans="1:14" x14ac:dyDescent="0.25">
      <c r="A235" s="1">
        <v>46030</v>
      </c>
      <c r="B235" t="s">
        <v>44</v>
      </c>
      <c r="C235" t="s">
        <v>18</v>
      </c>
      <c r="D235">
        <v>48679</v>
      </c>
      <c r="E235">
        <v>40725</v>
      </c>
      <c r="F235">
        <v>7954</v>
      </c>
      <c r="G235" t="s">
        <v>13</v>
      </c>
      <c r="H235" t="s">
        <v>28</v>
      </c>
      <c r="I235" t="s">
        <v>29</v>
      </c>
      <c r="J235" s="2">
        <f>Table1[[#This Row],[Profit]]/Table1[[#This Row],[Sales]]*100</f>
        <v>16.33969473489595</v>
      </c>
      <c r="K235" t="str">
        <f>IF(Table1[[#This Row],[Sales]]&gt;=30000,"High", IF(Table1[[#This Row],[Sales]]&gt;=15000,"Medium","Low"))</f>
        <v>High</v>
      </c>
      <c r="L235" t="str">
        <f>TEXT(Table1[[#This Row],[Order_Date]],"MMM")</f>
        <v>Jan</v>
      </c>
      <c r="M235" t="str">
        <f>IF(Table1[[#This Row],[Profit]]&gt;=10000,"Excellent",IF(Table1[[#This Row],[Profit]]&gt;5000,"Good","Low"))</f>
        <v>Good</v>
      </c>
      <c r="N235" t="str">
        <f>TEXT(Table1[[#This Row],[Order_Date]],"YYYY")</f>
        <v>2026</v>
      </c>
    </row>
    <row r="236" spans="1:14" x14ac:dyDescent="0.25">
      <c r="A236" s="1">
        <v>45727</v>
      </c>
      <c r="B236" t="s">
        <v>26</v>
      </c>
      <c r="C236" t="s">
        <v>18</v>
      </c>
      <c r="D236">
        <v>5832</v>
      </c>
      <c r="E236">
        <v>4307</v>
      </c>
      <c r="F236">
        <v>1525</v>
      </c>
      <c r="G236" t="s">
        <v>38</v>
      </c>
      <c r="H236" t="s">
        <v>63</v>
      </c>
      <c r="I236" t="s">
        <v>15</v>
      </c>
      <c r="J236" s="2">
        <f>Table1[[#This Row],[Profit]]/Table1[[#This Row],[Sales]]*100</f>
        <v>26.148834019204394</v>
      </c>
      <c r="K236" t="str">
        <f>IF(Table1[[#This Row],[Sales]]&gt;=30000,"High", IF(Table1[[#This Row],[Sales]]&gt;=15000,"Medium","Low"))</f>
        <v>Low</v>
      </c>
      <c r="L236" t="str">
        <f>TEXT(Table1[[#This Row],[Order_Date]],"MMM")</f>
        <v>Mar</v>
      </c>
      <c r="M236" t="str">
        <f>IF(Table1[[#This Row],[Profit]]&gt;=10000,"Excellent",IF(Table1[[#This Row],[Profit]]&gt;5000,"Good","Low"))</f>
        <v>Low</v>
      </c>
      <c r="N236" t="str">
        <f>TEXT(Table1[[#This Row],[Order_Date]],"YYYY")</f>
        <v>2025</v>
      </c>
    </row>
    <row r="237" spans="1:14" x14ac:dyDescent="0.25">
      <c r="A237" s="1">
        <v>46141</v>
      </c>
      <c r="B237" t="s">
        <v>17</v>
      </c>
      <c r="C237" t="s">
        <v>41</v>
      </c>
      <c r="D237">
        <v>26930</v>
      </c>
      <c r="E237">
        <v>10272</v>
      </c>
      <c r="F237">
        <v>16658</v>
      </c>
      <c r="G237" t="s">
        <v>19</v>
      </c>
      <c r="H237" t="s">
        <v>31</v>
      </c>
      <c r="I237" t="s">
        <v>29</v>
      </c>
      <c r="J237" s="2">
        <f>Table1[[#This Row],[Profit]]/Table1[[#This Row],[Sales]]*100</f>
        <v>61.856665428889713</v>
      </c>
      <c r="K237" t="str">
        <f>IF(Table1[[#This Row],[Sales]]&gt;=30000,"High", IF(Table1[[#This Row],[Sales]]&gt;=15000,"Medium","Low"))</f>
        <v>Medium</v>
      </c>
      <c r="L237" t="str">
        <f>TEXT(Table1[[#This Row],[Order_Date]],"MMM")</f>
        <v>Apr</v>
      </c>
      <c r="M237" t="str">
        <f>IF(Table1[[#This Row],[Profit]]&gt;=10000,"Excellent",IF(Table1[[#This Row],[Profit]]&gt;5000,"Good","Low"))</f>
        <v>Excellent</v>
      </c>
      <c r="N237" t="str">
        <f>TEXT(Table1[[#This Row],[Order_Date]],"YYYY")</f>
        <v>2026</v>
      </c>
    </row>
    <row r="238" spans="1:14" x14ac:dyDescent="0.25">
      <c r="A238" s="1">
        <v>46046</v>
      </c>
      <c r="B238" t="s">
        <v>44</v>
      </c>
      <c r="C238" t="s">
        <v>12</v>
      </c>
      <c r="D238">
        <v>48571</v>
      </c>
      <c r="E238">
        <v>42615</v>
      </c>
      <c r="F238">
        <v>5956</v>
      </c>
      <c r="G238" t="s">
        <v>27</v>
      </c>
      <c r="H238" t="s">
        <v>63</v>
      </c>
      <c r="I238" t="s">
        <v>24</v>
      </c>
      <c r="J238" s="2">
        <f>Table1[[#This Row],[Profit]]/Table1[[#This Row],[Sales]]*100</f>
        <v>12.262461139362994</v>
      </c>
      <c r="K238" t="str">
        <f>IF(Table1[[#This Row],[Sales]]&gt;=30000,"High", IF(Table1[[#This Row],[Sales]]&gt;=15000,"Medium","Low"))</f>
        <v>High</v>
      </c>
      <c r="L238" t="str">
        <f>TEXT(Table1[[#This Row],[Order_Date]],"MMM")</f>
        <v>Jan</v>
      </c>
      <c r="M238" t="str">
        <f>IF(Table1[[#This Row],[Profit]]&gt;=10000,"Excellent",IF(Table1[[#This Row],[Profit]]&gt;5000,"Good","Low"))</f>
        <v>Good</v>
      </c>
      <c r="N238" t="str">
        <f>TEXT(Table1[[#This Row],[Order_Date]],"YYYY")</f>
        <v>2026</v>
      </c>
    </row>
    <row r="239" spans="1:14" x14ac:dyDescent="0.25">
      <c r="A239" s="1">
        <v>45676</v>
      </c>
      <c r="B239" t="s">
        <v>11</v>
      </c>
      <c r="C239" t="s">
        <v>36</v>
      </c>
      <c r="D239">
        <v>26826</v>
      </c>
      <c r="E239">
        <v>20368</v>
      </c>
      <c r="F239">
        <v>6458</v>
      </c>
      <c r="G239" t="s">
        <v>27</v>
      </c>
      <c r="H239" t="s">
        <v>28</v>
      </c>
      <c r="I239" t="s">
        <v>53</v>
      </c>
      <c r="J239" s="2">
        <f>Table1[[#This Row],[Profit]]/Table1[[#This Row],[Sales]]*100</f>
        <v>24.073659882203831</v>
      </c>
      <c r="K239" t="str">
        <f>IF(Table1[[#This Row],[Sales]]&gt;=30000,"High", IF(Table1[[#This Row],[Sales]]&gt;=15000,"Medium","Low"))</f>
        <v>Medium</v>
      </c>
      <c r="L239" t="str">
        <f>TEXT(Table1[[#This Row],[Order_Date]],"MMM")</f>
        <v>Jan</v>
      </c>
      <c r="M239" t="str">
        <f>IF(Table1[[#This Row],[Profit]]&gt;=10000,"Excellent",IF(Table1[[#This Row],[Profit]]&gt;5000,"Good","Low"))</f>
        <v>Good</v>
      </c>
      <c r="N239" t="str">
        <f>TEXT(Table1[[#This Row],[Order_Date]],"YYYY")</f>
        <v>2025</v>
      </c>
    </row>
    <row r="240" spans="1:14" x14ac:dyDescent="0.25">
      <c r="A240" s="1">
        <v>45297</v>
      </c>
      <c r="B240" t="s">
        <v>17</v>
      </c>
      <c r="C240" t="s">
        <v>33</v>
      </c>
      <c r="D240">
        <v>39238</v>
      </c>
      <c r="E240">
        <v>19262</v>
      </c>
      <c r="F240">
        <v>19976</v>
      </c>
      <c r="G240" t="s">
        <v>38</v>
      </c>
      <c r="H240" t="s">
        <v>34</v>
      </c>
      <c r="I240" t="s">
        <v>29</v>
      </c>
      <c r="J240" s="2">
        <f>Table1[[#This Row],[Profit]]/Table1[[#This Row],[Sales]]*100</f>
        <v>50.909832305418213</v>
      </c>
      <c r="K240" t="str">
        <f>IF(Table1[[#This Row],[Sales]]&gt;=30000,"High", IF(Table1[[#This Row],[Sales]]&gt;=15000,"Medium","Low"))</f>
        <v>High</v>
      </c>
      <c r="L240" t="str">
        <f>TEXT(Table1[[#This Row],[Order_Date]],"MMM")</f>
        <v>Jan</v>
      </c>
      <c r="M240" t="str">
        <f>IF(Table1[[#This Row],[Profit]]&gt;=10000,"Excellent",IF(Table1[[#This Row],[Profit]]&gt;5000,"Good","Low"))</f>
        <v>Excellent</v>
      </c>
      <c r="N240" t="str">
        <f>TEXT(Table1[[#This Row],[Order_Date]],"YYYY")</f>
        <v>2024</v>
      </c>
    </row>
    <row r="241" spans="1:14" x14ac:dyDescent="0.25">
      <c r="A241" s="1">
        <v>45910</v>
      </c>
      <c r="B241" t="s">
        <v>44</v>
      </c>
      <c r="C241" t="s">
        <v>36</v>
      </c>
      <c r="D241">
        <v>14308</v>
      </c>
      <c r="E241">
        <v>9999</v>
      </c>
      <c r="F241">
        <v>4309</v>
      </c>
      <c r="G241" t="s">
        <v>19</v>
      </c>
      <c r="H241" t="s">
        <v>14</v>
      </c>
      <c r="I241" t="s">
        <v>24</v>
      </c>
      <c r="J241" s="2">
        <f>Table1[[#This Row],[Profit]]/Table1[[#This Row],[Sales]]*100</f>
        <v>30.116019010343862</v>
      </c>
      <c r="K241" t="str">
        <f>IF(Table1[[#This Row],[Sales]]&gt;=30000,"High", IF(Table1[[#This Row],[Sales]]&gt;=15000,"Medium","Low"))</f>
        <v>Low</v>
      </c>
      <c r="L241" t="str">
        <f>TEXT(Table1[[#This Row],[Order_Date]],"MMM")</f>
        <v>Sep</v>
      </c>
      <c r="M241" t="str">
        <f>IF(Table1[[#This Row],[Profit]]&gt;=10000,"Excellent",IF(Table1[[#This Row],[Profit]]&gt;5000,"Good","Low"))</f>
        <v>Low</v>
      </c>
      <c r="N241" t="str">
        <f>TEXT(Table1[[#This Row],[Order_Date]],"YYYY")</f>
        <v>2025</v>
      </c>
    </row>
    <row r="242" spans="1:14" x14ac:dyDescent="0.25">
      <c r="A242" s="1">
        <v>46193</v>
      </c>
      <c r="B242" t="s">
        <v>22</v>
      </c>
      <c r="C242" t="s">
        <v>41</v>
      </c>
      <c r="D242">
        <v>34660</v>
      </c>
      <c r="E242">
        <v>33523</v>
      </c>
      <c r="F242">
        <v>1137</v>
      </c>
      <c r="G242" t="s">
        <v>19</v>
      </c>
      <c r="H242" t="s">
        <v>28</v>
      </c>
      <c r="I242" t="s">
        <v>15</v>
      </c>
      <c r="J242" s="2">
        <f>Table1[[#This Row],[Profit]]/Table1[[#This Row],[Sales]]*100</f>
        <v>3.2804385458742065</v>
      </c>
      <c r="K242" t="str">
        <f>IF(Table1[[#This Row],[Sales]]&gt;=30000,"High", IF(Table1[[#This Row],[Sales]]&gt;=15000,"Medium","Low"))</f>
        <v>High</v>
      </c>
      <c r="L242" t="str">
        <f>TEXT(Table1[[#This Row],[Order_Date]],"MMM")</f>
        <v>Jun</v>
      </c>
      <c r="M242" t="str">
        <f>IF(Table1[[#This Row],[Profit]]&gt;=10000,"Excellent",IF(Table1[[#This Row],[Profit]]&gt;5000,"Good","Low"))</f>
        <v>Low</v>
      </c>
      <c r="N242" t="str">
        <f>TEXT(Table1[[#This Row],[Order_Date]],"YYYY")</f>
        <v>2026</v>
      </c>
    </row>
    <row r="243" spans="1:14" x14ac:dyDescent="0.25">
      <c r="A243" s="1">
        <v>45115</v>
      </c>
      <c r="B243" t="s">
        <v>26</v>
      </c>
      <c r="C243" t="s">
        <v>33</v>
      </c>
      <c r="D243">
        <v>30699</v>
      </c>
      <c r="E243">
        <v>17158</v>
      </c>
      <c r="F243">
        <v>13541</v>
      </c>
      <c r="G243" t="s">
        <v>13</v>
      </c>
      <c r="H243" t="s">
        <v>63</v>
      </c>
      <c r="I243" t="s">
        <v>24</v>
      </c>
      <c r="J243" s="2">
        <f>Table1[[#This Row],[Profit]]/Table1[[#This Row],[Sales]]*100</f>
        <v>44.108928629597052</v>
      </c>
      <c r="K243" t="str">
        <f>IF(Table1[[#This Row],[Sales]]&gt;=30000,"High", IF(Table1[[#This Row],[Sales]]&gt;=15000,"Medium","Low"))</f>
        <v>High</v>
      </c>
      <c r="L243" t="str">
        <f>TEXT(Table1[[#This Row],[Order_Date]],"MMM")</f>
        <v>Jul</v>
      </c>
      <c r="M243" t="str">
        <f>IF(Table1[[#This Row],[Profit]]&gt;=10000,"Excellent",IF(Table1[[#This Row],[Profit]]&gt;5000,"Good","Low"))</f>
        <v>Excellent</v>
      </c>
      <c r="N243" t="str">
        <f>TEXT(Table1[[#This Row],[Order_Date]],"YYYY")</f>
        <v>2023</v>
      </c>
    </row>
    <row r="244" spans="1:14" x14ac:dyDescent="0.25">
      <c r="A244" s="1">
        <v>45267</v>
      </c>
      <c r="B244" t="s">
        <v>44</v>
      </c>
      <c r="C244" t="s">
        <v>36</v>
      </c>
      <c r="D244">
        <v>19126</v>
      </c>
      <c r="E244">
        <v>10545</v>
      </c>
      <c r="F244">
        <v>8581</v>
      </c>
      <c r="G244" t="s">
        <v>38</v>
      </c>
      <c r="H244" t="s">
        <v>34</v>
      </c>
      <c r="I244" t="s">
        <v>42</v>
      </c>
      <c r="J244" s="2">
        <f>Table1[[#This Row],[Profit]]/Table1[[#This Row],[Sales]]*100</f>
        <v>44.865627941022687</v>
      </c>
      <c r="K244" t="str">
        <f>IF(Table1[[#This Row],[Sales]]&gt;=30000,"High", IF(Table1[[#This Row],[Sales]]&gt;=15000,"Medium","Low"))</f>
        <v>Medium</v>
      </c>
      <c r="L244" t="str">
        <f>TEXT(Table1[[#This Row],[Order_Date]],"MMM")</f>
        <v>Dec</v>
      </c>
      <c r="M244" t="str">
        <f>IF(Table1[[#This Row],[Profit]]&gt;=10000,"Excellent",IF(Table1[[#This Row],[Profit]]&gt;5000,"Good","Low"))</f>
        <v>Good</v>
      </c>
      <c r="N244" t="str">
        <f>TEXT(Table1[[#This Row],[Order_Date]],"YYYY")</f>
        <v>2023</v>
      </c>
    </row>
    <row r="245" spans="1:14" x14ac:dyDescent="0.25">
      <c r="A245" s="1">
        <v>45954</v>
      </c>
      <c r="B245" t="s">
        <v>17</v>
      </c>
      <c r="C245" t="s">
        <v>41</v>
      </c>
      <c r="D245">
        <v>45017</v>
      </c>
      <c r="E245">
        <v>37813</v>
      </c>
      <c r="F245">
        <v>7204</v>
      </c>
      <c r="G245" t="s">
        <v>13</v>
      </c>
      <c r="H245" t="s">
        <v>28</v>
      </c>
      <c r="I245" t="s">
        <v>29</v>
      </c>
      <c r="J245" s="2">
        <f>Table1[[#This Row],[Profit]]/Table1[[#This Row],[Sales]]*100</f>
        <v>16.002843370282338</v>
      </c>
      <c r="K245" t="str">
        <f>IF(Table1[[#This Row],[Sales]]&gt;=30000,"High", IF(Table1[[#This Row],[Sales]]&gt;=15000,"Medium","Low"))</f>
        <v>High</v>
      </c>
      <c r="L245" t="str">
        <f>TEXT(Table1[[#This Row],[Order_Date]],"MMM")</f>
        <v>Oct</v>
      </c>
      <c r="M245" t="str">
        <f>IF(Table1[[#This Row],[Profit]]&gt;=10000,"Excellent",IF(Table1[[#This Row],[Profit]]&gt;5000,"Good","Low"))</f>
        <v>Good</v>
      </c>
      <c r="N245" t="str">
        <f>TEXT(Table1[[#This Row],[Order_Date]],"YYYY")</f>
        <v>2025</v>
      </c>
    </row>
    <row r="246" spans="1:14" x14ac:dyDescent="0.25">
      <c r="A246" s="1">
        <v>46005</v>
      </c>
      <c r="B246" t="s">
        <v>44</v>
      </c>
      <c r="C246" t="s">
        <v>41</v>
      </c>
      <c r="D246">
        <v>11284</v>
      </c>
      <c r="E246">
        <v>7769</v>
      </c>
      <c r="F246">
        <v>3515</v>
      </c>
      <c r="G246" t="s">
        <v>38</v>
      </c>
      <c r="H246" t="s">
        <v>14</v>
      </c>
      <c r="I246" t="s">
        <v>24</v>
      </c>
      <c r="J246" s="2">
        <f>Table1[[#This Row],[Profit]]/Table1[[#This Row],[Sales]]*100</f>
        <v>31.150301311591633</v>
      </c>
      <c r="K246" t="str">
        <f>IF(Table1[[#This Row],[Sales]]&gt;=30000,"High", IF(Table1[[#This Row],[Sales]]&gt;=15000,"Medium","Low"))</f>
        <v>Low</v>
      </c>
      <c r="L246" t="str">
        <f>TEXT(Table1[[#This Row],[Order_Date]],"MMM")</f>
        <v>Dec</v>
      </c>
      <c r="M246" t="str">
        <f>IF(Table1[[#This Row],[Profit]]&gt;=10000,"Excellent",IF(Table1[[#This Row],[Profit]]&gt;5000,"Good","Low"))</f>
        <v>Low</v>
      </c>
      <c r="N246" t="str">
        <f>TEXT(Table1[[#This Row],[Order_Date]],"YYYY")</f>
        <v>2025</v>
      </c>
    </row>
    <row r="247" spans="1:14" x14ac:dyDescent="0.25">
      <c r="A247" s="1">
        <v>45235</v>
      </c>
      <c r="B247" t="s">
        <v>26</v>
      </c>
      <c r="C247" t="s">
        <v>33</v>
      </c>
      <c r="D247">
        <v>38920</v>
      </c>
      <c r="E247">
        <v>20153</v>
      </c>
      <c r="F247">
        <v>18767</v>
      </c>
      <c r="G247" t="s">
        <v>19</v>
      </c>
      <c r="H247" t="s">
        <v>78</v>
      </c>
      <c r="I247" t="s">
        <v>53</v>
      </c>
      <c r="J247" s="2">
        <f>Table1[[#This Row],[Profit]]/Table1[[#This Row],[Sales]]*100</f>
        <v>48.219424460431654</v>
      </c>
      <c r="K247" t="str">
        <f>IF(Table1[[#This Row],[Sales]]&gt;=30000,"High", IF(Table1[[#This Row],[Sales]]&gt;=15000,"Medium","Low"))</f>
        <v>High</v>
      </c>
      <c r="L247" t="str">
        <f>TEXT(Table1[[#This Row],[Order_Date]],"MMM")</f>
        <v>Nov</v>
      </c>
      <c r="M247" t="str">
        <f>IF(Table1[[#This Row],[Profit]]&gt;=10000,"Excellent",IF(Table1[[#This Row],[Profit]]&gt;5000,"Good","Low"))</f>
        <v>Excellent</v>
      </c>
      <c r="N247" t="str">
        <f>TEXT(Table1[[#This Row],[Order_Date]],"YYYY")</f>
        <v>2023</v>
      </c>
    </row>
    <row r="248" spans="1:14" x14ac:dyDescent="0.25">
      <c r="A248" s="1">
        <v>45562</v>
      </c>
      <c r="B248" t="s">
        <v>26</v>
      </c>
      <c r="C248" t="s">
        <v>12</v>
      </c>
      <c r="D248">
        <v>46433</v>
      </c>
      <c r="E248">
        <v>31043</v>
      </c>
      <c r="F248">
        <v>15390</v>
      </c>
      <c r="G248" t="s">
        <v>13</v>
      </c>
      <c r="H248" t="s">
        <v>60</v>
      </c>
      <c r="I248" t="s">
        <v>53</v>
      </c>
      <c r="J248" s="2">
        <f>Table1[[#This Row],[Profit]]/Table1[[#This Row],[Sales]]*100</f>
        <v>33.144530829367049</v>
      </c>
      <c r="K248" t="str">
        <f>IF(Table1[[#This Row],[Sales]]&gt;=30000,"High", IF(Table1[[#This Row],[Sales]]&gt;=15000,"Medium","Low"))</f>
        <v>High</v>
      </c>
      <c r="L248" t="str">
        <f>TEXT(Table1[[#This Row],[Order_Date]],"MMM")</f>
        <v>Sep</v>
      </c>
      <c r="M248" t="str">
        <f>IF(Table1[[#This Row],[Profit]]&gt;=10000,"Excellent",IF(Table1[[#This Row],[Profit]]&gt;5000,"Good","Low"))</f>
        <v>Excellent</v>
      </c>
      <c r="N248" t="str">
        <f>TEXT(Table1[[#This Row],[Order_Date]],"YYYY")</f>
        <v>2024</v>
      </c>
    </row>
    <row r="249" spans="1:14" x14ac:dyDescent="0.25">
      <c r="A249" s="1">
        <v>45763</v>
      </c>
      <c r="B249" t="s">
        <v>17</v>
      </c>
      <c r="C249" t="s">
        <v>33</v>
      </c>
      <c r="D249">
        <v>44113</v>
      </c>
      <c r="E249">
        <v>32130</v>
      </c>
      <c r="F249">
        <v>11983</v>
      </c>
      <c r="G249" t="s">
        <v>38</v>
      </c>
      <c r="H249" t="s">
        <v>60</v>
      </c>
      <c r="I249" t="s">
        <v>53</v>
      </c>
      <c r="J249" s="2">
        <f>Table1[[#This Row],[Profit]]/Table1[[#This Row],[Sales]]*100</f>
        <v>27.164327975880127</v>
      </c>
      <c r="K249" t="str">
        <f>IF(Table1[[#This Row],[Sales]]&gt;=30000,"High", IF(Table1[[#This Row],[Sales]]&gt;=15000,"Medium","Low"))</f>
        <v>High</v>
      </c>
      <c r="L249" t="str">
        <f>TEXT(Table1[[#This Row],[Order_Date]],"MMM")</f>
        <v>Apr</v>
      </c>
      <c r="M249" t="str">
        <f>IF(Table1[[#This Row],[Profit]]&gt;=10000,"Excellent",IF(Table1[[#This Row],[Profit]]&gt;5000,"Good","Low"))</f>
        <v>Excellent</v>
      </c>
      <c r="N249" t="str">
        <f>TEXT(Table1[[#This Row],[Order_Date]],"YYYY")</f>
        <v>2025</v>
      </c>
    </row>
    <row r="250" spans="1:14" x14ac:dyDescent="0.25">
      <c r="A250" s="1">
        <v>45622</v>
      </c>
      <c r="B250" t="s">
        <v>44</v>
      </c>
      <c r="C250" t="s">
        <v>12</v>
      </c>
      <c r="D250">
        <v>24605</v>
      </c>
      <c r="E250">
        <v>9826</v>
      </c>
      <c r="F250">
        <v>14779</v>
      </c>
      <c r="G250" t="s">
        <v>13</v>
      </c>
      <c r="H250" t="s">
        <v>60</v>
      </c>
      <c r="I250" t="s">
        <v>53</v>
      </c>
      <c r="J250" s="2">
        <f>Table1[[#This Row],[Profit]]/Table1[[#This Row],[Sales]]*100</f>
        <v>60.065027433448478</v>
      </c>
      <c r="K250" t="str">
        <f>IF(Table1[[#This Row],[Sales]]&gt;=30000,"High", IF(Table1[[#This Row],[Sales]]&gt;=15000,"Medium","Low"))</f>
        <v>Medium</v>
      </c>
      <c r="L250" t="str">
        <f>TEXT(Table1[[#This Row],[Order_Date]],"MMM")</f>
        <v>Nov</v>
      </c>
      <c r="M250" t="str">
        <f>IF(Table1[[#This Row],[Profit]]&gt;=10000,"Excellent",IF(Table1[[#This Row],[Profit]]&gt;5000,"Good","Low"))</f>
        <v>Excellent</v>
      </c>
      <c r="N250" t="str">
        <f>TEXT(Table1[[#This Row],[Order_Date]],"YYYY")</f>
        <v>2024</v>
      </c>
    </row>
    <row r="251" spans="1:14" x14ac:dyDescent="0.25">
      <c r="A251" s="1">
        <v>45905</v>
      </c>
      <c r="B251" t="s">
        <v>11</v>
      </c>
      <c r="C251" t="s">
        <v>33</v>
      </c>
      <c r="D251">
        <v>34989</v>
      </c>
      <c r="E251">
        <v>19783</v>
      </c>
      <c r="F251">
        <v>15206</v>
      </c>
      <c r="G251" t="s">
        <v>27</v>
      </c>
      <c r="H251" t="s">
        <v>14</v>
      </c>
      <c r="I251" t="s">
        <v>15</v>
      </c>
      <c r="J251" s="2">
        <f>Table1[[#This Row],[Profit]]/Table1[[#This Row],[Sales]]*100</f>
        <v>43.45937294578296</v>
      </c>
      <c r="K251" t="str">
        <f>IF(Table1[[#This Row],[Sales]]&gt;=30000,"High", IF(Table1[[#This Row],[Sales]]&gt;=15000,"Medium","Low"))</f>
        <v>High</v>
      </c>
      <c r="L251" t="str">
        <f>TEXT(Table1[[#This Row],[Order_Date]],"MMM")</f>
        <v>Sep</v>
      </c>
      <c r="M251" t="str">
        <f>IF(Table1[[#This Row],[Profit]]&gt;=10000,"Excellent",IF(Table1[[#This Row],[Profit]]&gt;5000,"Good","Low"))</f>
        <v>Excellent</v>
      </c>
      <c r="N251" t="str">
        <f>TEXT(Table1[[#This Row],[Order_Date]],"YYYY")</f>
        <v>2025</v>
      </c>
    </row>
    <row r="252" spans="1:14" x14ac:dyDescent="0.25">
      <c r="A252" s="1">
        <v>45937</v>
      </c>
      <c r="B252" t="s">
        <v>44</v>
      </c>
      <c r="C252" t="s">
        <v>33</v>
      </c>
      <c r="D252">
        <v>33095</v>
      </c>
      <c r="E252">
        <v>24381</v>
      </c>
      <c r="F252">
        <v>8714</v>
      </c>
      <c r="G252" t="s">
        <v>13</v>
      </c>
      <c r="H252" t="s">
        <v>28</v>
      </c>
      <c r="I252" t="s">
        <v>15</v>
      </c>
      <c r="J252" s="2">
        <f>Table1[[#This Row],[Profit]]/Table1[[#This Row],[Sales]]*100</f>
        <v>26.330261368786829</v>
      </c>
      <c r="K252" t="str">
        <f>IF(Table1[[#This Row],[Sales]]&gt;=30000,"High", IF(Table1[[#This Row],[Sales]]&gt;=15000,"Medium","Low"))</f>
        <v>High</v>
      </c>
      <c r="L252" t="str">
        <f>TEXT(Table1[[#This Row],[Order_Date]],"MMM")</f>
        <v>Oct</v>
      </c>
      <c r="M252" t="str">
        <f>IF(Table1[[#This Row],[Profit]]&gt;=10000,"Excellent",IF(Table1[[#This Row],[Profit]]&gt;5000,"Good","Low"))</f>
        <v>Good</v>
      </c>
      <c r="N252" t="str">
        <f>TEXT(Table1[[#This Row],[Order_Date]],"YYYY")</f>
        <v>2025</v>
      </c>
    </row>
    <row r="253" spans="1:14" x14ac:dyDescent="0.25">
      <c r="A253" s="1">
        <v>46176</v>
      </c>
      <c r="B253" t="s">
        <v>17</v>
      </c>
      <c r="C253" t="s">
        <v>41</v>
      </c>
      <c r="D253">
        <v>32632</v>
      </c>
      <c r="E253">
        <v>28340</v>
      </c>
      <c r="F253">
        <v>4292</v>
      </c>
      <c r="G253" t="s">
        <v>19</v>
      </c>
      <c r="H253" t="s">
        <v>78</v>
      </c>
      <c r="I253" t="s">
        <v>15</v>
      </c>
      <c r="J253" s="2">
        <f>Table1[[#This Row],[Profit]]/Table1[[#This Row],[Sales]]*100</f>
        <v>13.15273351311596</v>
      </c>
      <c r="K253" t="str">
        <f>IF(Table1[[#This Row],[Sales]]&gt;=30000,"High", IF(Table1[[#This Row],[Sales]]&gt;=15000,"Medium","Low"))</f>
        <v>High</v>
      </c>
      <c r="L253" t="str">
        <f>TEXT(Table1[[#This Row],[Order_Date]],"MMM")</f>
        <v>Jun</v>
      </c>
      <c r="M253" t="str">
        <f>IF(Table1[[#This Row],[Profit]]&gt;=10000,"Excellent",IF(Table1[[#This Row],[Profit]]&gt;5000,"Good","Low"))</f>
        <v>Low</v>
      </c>
      <c r="N253" t="str">
        <f>TEXT(Table1[[#This Row],[Order_Date]],"YYYY")</f>
        <v>2026</v>
      </c>
    </row>
    <row r="254" spans="1:14" x14ac:dyDescent="0.25">
      <c r="A254" s="1">
        <v>45461</v>
      </c>
      <c r="B254" t="s">
        <v>17</v>
      </c>
      <c r="C254" t="s">
        <v>12</v>
      </c>
      <c r="D254">
        <v>27770</v>
      </c>
      <c r="E254">
        <v>16470</v>
      </c>
      <c r="F254">
        <v>11300</v>
      </c>
      <c r="G254" t="s">
        <v>38</v>
      </c>
      <c r="H254" t="s">
        <v>14</v>
      </c>
      <c r="I254" t="s">
        <v>29</v>
      </c>
      <c r="J254" s="2">
        <f>Table1[[#This Row],[Profit]]/Table1[[#This Row],[Sales]]*100</f>
        <v>40.691393590205251</v>
      </c>
      <c r="K254" t="str">
        <f>IF(Table1[[#This Row],[Sales]]&gt;=30000,"High", IF(Table1[[#This Row],[Sales]]&gt;=15000,"Medium","Low"))</f>
        <v>Medium</v>
      </c>
      <c r="L254" t="str">
        <f>TEXT(Table1[[#This Row],[Order_Date]],"MMM")</f>
        <v>Jun</v>
      </c>
      <c r="M254" t="str">
        <f>IF(Table1[[#This Row],[Profit]]&gt;=10000,"Excellent",IF(Table1[[#This Row],[Profit]]&gt;5000,"Good","Low"))</f>
        <v>Excellent</v>
      </c>
      <c r="N254" t="str">
        <f>TEXT(Table1[[#This Row],[Order_Date]],"YYYY")</f>
        <v>2024</v>
      </c>
    </row>
    <row r="255" spans="1:14" x14ac:dyDescent="0.25">
      <c r="A255" s="1">
        <v>45444</v>
      </c>
      <c r="B255" t="s">
        <v>22</v>
      </c>
      <c r="C255" t="s">
        <v>18</v>
      </c>
      <c r="D255">
        <v>9514</v>
      </c>
      <c r="E255">
        <v>905</v>
      </c>
      <c r="F255">
        <v>8609</v>
      </c>
      <c r="G255" t="s">
        <v>38</v>
      </c>
      <c r="H255" t="s">
        <v>31</v>
      </c>
      <c r="I255" t="s">
        <v>24</v>
      </c>
      <c r="J255" s="2">
        <f>Table1[[#This Row],[Profit]]/Table1[[#This Row],[Sales]]*100</f>
        <v>90.487702333403405</v>
      </c>
      <c r="K255" t="str">
        <f>IF(Table1[[#This Row],[Sales]]&gt;=30000,"High", IF(Table1[[#This Row],[Sales]]&gt;=15000,"Medium","Low"))</f>
        <v>Low</v>
      </c>
      <c r="L255" t="str">
        <f>TEXT(Table1[[#This Row],[Order_Date]],"MMM")</f>
        <v>Jun</v>
      </c>
      <c r="M255" t="str">
        <f>IF(Table1[[#This Row],[Profit]]&gt;=10000,"Excellent",IF(Table1[[#This Row],[Profit]]&gt;5000,"Good","Low"))</f>
        <v>Good</v>
      </c>
      <c r="N255" t="str">
        <f>TEXT(Table1[[#This Row],[Order_Date]],"YYYY")</f>
        <v>2024</v>
      </c>
    </row>
    <row r="256" spans="1:14" x14ac:dyDescent="0.25">
      <c r="A256" s="1">
        <v>45810</v>
      </c>
      <c r="B256" t="s">
        <v>44</v>
      </c>
      <c r="C256" t="s">
        <v>33</v>
      </c>
      <c r="D256">
        <v>32515</v>
      </c>
      <c r="E256">
        <v>21916</v>
      </c>
      <c r="F256">
        <v>10599</v>
      </c>
      <c r="G256" t="s">
        <v>27</v>
      </c>
      <c r="H256" t="s">
        <v>78</v>
      </c>
      <c r="I256" t="s">
        <v>29</v>
      </c>
      <c r="J256" s="2">
        <f>Table1[[#This Row],[Profit]]/Table1[[#This Row],[Sales]]*100</f>
        <v>32.597262801783792</v>
      </c>
      <c r="K256" t="str">
        <f>IF(Table1[[#This Row],[Sales]]&gt;=30000,"High", IF(Table1[[#This Row],[Sales]]&gt;=15000,"Medium","Low"))</f>
        <v>High</v>
      </c>
      <c r="L256" t="str">
        <f>TEXT(Table1[[#This Row],[Order_Date]],"MMM")</f>
        <v>Jun</v>
      </c>
      <c r="M256" t="str">
        <f>IF(Table1[[#This Row],[Profit]]&gt;=10000,"Excellent",IF(Table1[[#This Row],[Profit]]&gt;5000,"Good","Low"))</f>
        <v>Excellent</v>
      </c>
      <c r="N256" t="str">
        <f>TEXT(Table1[[#This Row],[Order_Date]],"YYYY")</f>
        <v>2025</v>
      </c>
    </row>
    <row r="257" spans="1:14" x14ac:dyDescent="0.25">
      <c r="A257" s="1">
        <v>45156</v>
      </c>
      <c r="B257" t="s">
        <v>22</v>
      </c>
      <c r="C257" t="s">
        <v>36</v>
      </c>
      <c r="D257">
        <v>16853</v>
      </c>
      <c r="E257">
        <v>13308</v>
      </c>
      <c r="F257">
        <v>3545</v>
      </c>
      <c r="G257" t="s">
        <v>38</v>
      </c>
      <c r="H257" t="s">
        <v>60</v>
      </c>
      <c r="I257" t="s">
        <v>29</v>
      </c>
      <c r="J257" s="2">
        <f>Table1[[#This Row],[Profit]]/Table1[[#This Row],[Sales]]*100</f>
        <v>21.034830593959533</v>
      </c>
      <c r="K257" t="str">
        <f>IF(Table1[[#This Row],[Sales]]&gt;=30000,"High", IF(Table1[[#This Row],[Sales]]&gt;=15000,"Medium","Low"))</f>
        <v>Medium</v>
      </c>
      <c r="L257" t="str">
        <f>TEXT(Table1[[#This Row],[Order_Date]],"MMM")</f>
        <v>Aug</v>
      </c>
      <c r="M257" t="str">
        <f>IF(Table1[[#This Row],[Profit]]&gt;=10000,"Excellent",IF(Table1[[#This Row],[Profit]]&gt;5000,"Good","Low"))</f>
        <v>Low</v>
      </c>
      <c r="N257" t="str">
        <f>TEXT(Table1[[#This Row],[Order_Date]],"YYYY")</f>
        <v>2023</v>
      </c>
    </row>
    <row r="258" spans="1:14" x14ac:dyDescent="0.25">
      <c r="A258" s="1">
        <v>45927</v>
      </c>
      <c r="B258" t="s">
        <v>17</v>
      </c>
      <c r="C258" t="s">
        <v>36</v>
      </c>
      <c r="D258">
        <v>27490</v>
      </c>
      <c r="E258">
        <v>25687</v>
      </c>
      <c r="F258">
        <v>1803</v>
      </c>
      <c r="G258" t="s">
        <v>38</v>
      </c>
      <c r="H258" t="s">
        <v>78</v>
      </c>
      <c r="I258" t="s">
        <v>15</v>
      </c>
      <c r="J258" s="2">
        <f>Table1[[#This Row],[Profit]]/Table1[[#This Row],[Sales]]*100</f>
        <v>6.5587486358675884</v>
      </c>
      <c r="K258" t="str">
        <f>IF(Table1[[#This Row],[Sales]]&gt;=30000,"High", IF(Table1[[#This Row],[Sales]]&gt;=15000,"Medium","Low"))</f>
        <v>Medium</v>
      </c>
      <c r="L258" t="str">
        <f>TEXT(Table1[[#This Row],[Order_Date]],"MMM")</f>
        <v>Sep</v>
      </c>
      <c r="M258" t="str">
        <f>IF(Table1[[#This Row],[Profit]]&gt;=10000,"Excellent",IF(Table1[[#This Row],[Profit]]&gt;5000,"Good","Low"))</f>
        <v>Low</v>
      </c>
      <c r="N258" t="str">
        <f>TEXT(Table1[[#This Row],[Order_Date]],"YYYY")</f>
        <v>2025</v>
      </c>
    </row>
    <row r="259" spans="1:14" x14ac:dyDescent="0.25">
      <c r="A259" s="1">
        <v>45228</v>
      </c>
      <c r="B259" t="s">
        <v>22</v>
      </c>
      <c r="C259" t="s">
        <v>12</v>
      </c>
      <c r="D259">
        <v>14042</v>
      </c>
      <c r="E259">
        <v>5983</v>
      </c>
      <c r="F259">
        <v>8059</v>
      </c>
      <c r="G259" t="s">
        <v>38</v>
      </c>
      <c r="H259" t="s">
        <v>34</v>
      </c>
      <c r="I259" t="s">
        <v>42</v>
      </c>
      <c r="J259" s="2">
        <f>Table1[[#This Row],[Profit]]/Table1[[#This Row],[Sales]]*100</f>
        <v>57.392109386127331</v>
      </c>
      <c r="K259" t="str">
        <f>IF(Table1[[#This Row],[Sales]]&gt;=30000,"High", IF(Table1[[#This Row],[Sales]]&gt;=15000,"Medium","Low"))</f>
        <v>Low</v>
      </c>
      <c r="L259" t="str">
        <f>TEXT(Table1[[#This Row],[Order_Date]],"MMM")</f>
        <v>Oct</v>
      </c>
      <c r="M259" t="str">
        <f>IF(Table1[[#This Row],[Profit]]&gt;=10000,"Excellent",IF(Table1[[#This Row],[Profit]]&gt;5000,"Good","Low"))</f>
        <v>Good</v>
      </c>
      <c r="N259" t="str">
        <f>TEXT(Table1[[#This Row],[Order_Date]],"YYYY")</f>
        <v>2023</v>
      </c>
    </row>
    <row r="260" spans="1:14" x14ac:dyDescent="0.25">
      <c r="A260" s="1">
        <v>45905</v>
      </c>
      <c r="B260" t="s">
        <v>44</v>
      </c>
      <c r="C260" t="s">
        <v>18</v>
      </c>
      <c r="D260">
        <v>14656</v>
      </c>
      <c r="E260">
        <v>1213</v>
      </c>
      <c r="F260">
        <v>13443</v>
      </c>
      <c r="G260" t="s">
        <v>27</v>
      </c>
      <c r="H260" t="s">
        <v>60</v>
      </c>
      <c r="I260" t="s">
        <v>42</v>
      </c>
      <c r="J260" s="2">
        <f>Table1[[#This Row],[Profit]]/Table1[[#This Row],[Sales]]*100</f>
        <v>91.723526200873366</v>
      </c>
      <c r="K260" t="str">
        <f>IF(Table1[[#This Row],[Sales]]&gt;=30000,"High", IF(Table1[[#This Row],[Sales]]&gt;=15000,"Medium","Low"))</f>
        <v>Low</v>
      </c>
      <c r="L260" t="str">
        <f>TEXT(Table1[[#This Row],[Order_Date]],"MMM")</f>
        <v>Sep</v>
      </c>
      <c r="M260" t="str">
        <f>IF(Table1[[#This Row],[Profit]]&gt;=10000,"Excellent",IF(Table1[[#This Row],[Profit]]&gt;5000,"Good","Low"))</f>
        <v>Excellent</v>
      </c>
      <c r="N260" t="str">
        <f>TEXT(Table1[[#This Row],[Order_Date]],"YYYY")</f>
        <v>2025</v>
      </c>
    </row>
    <row r="261" spans="1:14" x14ac:dyDescent="0.25">
      <c r="A261" s="1">
        <v>45973</v>
      </c>
      <c r="B261" t="s">
        <v>26</v>
      </c>
      <c r="C261" t="s">
        <v>41</v>
      </c>
      <c r="D261">
        <v>32518</v>
      </c>
      <c r="E261">
        <v>23852</v>
      </c>
      <c r="F261">
        <v>8666</v>
      </c>
      <c r="G261" t="s">
        <v>19</v>
      </c>
      <c r="H261" t="s">
        <v>20</v>
      </c>
      <c r="I261" t="s">
        <v>29</v>
      </c>
      <c r="J261" s="2">
        <f>Table1[[#This Row],[Profit]]/Table1[[#This Row],[Sales]]*100</f>
        <v>26.649855464665723</v>
      </c>
      <c r="K261" t="str">
        <f>IF(Table1[[#This Row],[Sales]]&gt;=30000,"High", IF(Table1[[#This Row],[Sales]]&gt;=15000,"Medium","Low"))</f>
        <v>High</v>
      </c>
      <c r="L261" t="str">
        <f>TEXT(Table1[[#This Row],[Order_Date]],"MMM")</f>
        <v>Nov</v>
      </c>
      <c r="M261" t="str">
        <f>IF(Table1[[#This Row],[Profit]]&gt;=10000,"Excellent",IF(Table1[[#This Row],[Profit]]&gt;5000,"Good","Low"))</f>
        <v>Good</v>
      </c>
      <c r="N261" t="str">
        <f>TEXT(Table1[[#This Row],[Order_Date]],"YYYY")</f>
        <v>2025</v>
      </c>
    </row>
    <row r="262" spans="1:14" x14ac:dyDescent="0.25">
      <c r="A262" s="1">
        <v>45298</v>
      </c>
      <c r="B262" t="s">
        <v>11</v>
      </c>
      <c r="C262" t="s">
        <v>41</v>
      </c>
      <c r="D262">
        <v>24910</v>
      </c>
      <c r="E262">
        <v>6780</v>
      </c>
      <c r="F262">
        <v>18130</v>
      </c>
      <c r="G262" t="s">
        <v>38</v>
      </c>
      <c r="H262" t="s">
        <v>14</v>
      </c>
      <c r="I262" t="s">
        <v>53</v>
      </c>
      <c r="J262" s="2">
        <f>Table1[[#This Row],[Profit]]/Table1[[#This Row],[Sales]]*100</f>
        <v>72.78201525491771</v>
      </c>
      <c r="K262" t="str">
        <f>IF(Table1[[#This Row],[Sales]]&gt;=30000,"High", IF(Table1[[#This Row],[Sales]]&gt;=15000,"Medium","Low"))</f>
        <v>Medium</v>
      </c>
      <c r="L262" t="str">
        <f>TEXT(Table1[[#This Row],[Order_Date]],"MMM")</f>
        <v>Jan</v>
      </c>
      <c r="M262" t="str">
        <f>IF(Table1[[#This Row],[Profit]]&gt;=10000,"Excellent",IF(Table1[[#This Row],[Profit]]&gt;5000,"Good","Low"))</f>
        <v>Excellent</v>
      </c>
      <c r="N262" t="str">
        <f>TEXT(Table1[[#This Row],[Order_Date]],"YYYY")</f>
        <v>2024</v>
      </c>
    </row>
    <row r="263" spans="1:14" x14ac:dyDescent="0.25">
      <c r="A263" s="1">
        <v>45163</v>
      </c>
      <c r="B263" t="s">
        <v>17</v>
      </c>
      <c r="C263" t="s">
        <v>18</v>
      </c>
      <c r="D263">
        <v>41603</v>
      </c>
      <c r="E263">
        <v>36563</v>
      </c>
      <c r="F263">
        <v>5040</v>
      </c>
      <c r="G263" t="s">
        <v>38</v>
      </c>
      <c r="H263" t="s">
        <v>60</v>
      </c>
      <c r="I263" t="s">
        <v>53</v>
      </c>
      <c r="J263" s="2">
        <f>Table1[[#This Row],[Profit]]/Table1[[#This Row],[Sales]]*100</f>
        <v>12.114510972766388</v>
      </c>
      <c r="K263" t="str">
        <f>IF(Table1[[#This Row],[Sales]]&gt;=30000,"High", IF(Table1[[#This Row],[Sales]]&gt;=15000,"Medium","Low"))</f>
        <v>High</v>
      </c>
      <c r="L263" t="str">
        <f>TEXT(Table1[[#This Row],[Order_Date]],"MMM")</f>
        <v>Aug</v>
      </c>
      <c r="M263" t="str">
        <f>IF(Table1[[#This Row],[Profit]]&gt;=10000,"Excellent",IF(Table1[[#This Row],[Profit]]&gt;5000,"Good","Low"))</f>
        <v>Good</v>
      </c>
      <c r="N263" t="str">
        <f>TEXT(Table1[[#This Row],[Order_Date]],"YYYY")</f>
        <v>2023</v>
      </c>
    </row>
    <row r="264" spans="1:14" x14ac:dyDescent="0.25">
      <c r="A264" s="1">
        <v>46181</v>
      </c>
      <c r="B264" t="s">
        <v>44</v>
      </c>
      <c r="C264" t="s">
        <v>12</v>
      </c>
      <c r="D264">
        <v>15730</v>
      </c>
      <c r="E264">
        <v>14050</v>
      </c>
      <c r="F264">
        <v>1680</v>
      </c>
      <c r="G264" t="s">
        <v>13</v>
      </c>
      <c r="H264" t="s">
        <v>63</v>
      </c>
      <c r="I264" t="s">
        <v>42</v>
      </c>
      <c r="J264" s="2">
        <f>Table1[[#This Row],[Profit]]/Table1[[#This Row],[Sales]]*100</f>
        <v>10.680228862047043</v>
      </c>
      <c r="K264" t="str">
        <f>IF(Table1[[#This Row],[Sales]]&gt;=30000,"High", IF(Table1[[#This Row],[Sales]]&gt;=15000,"Medium","Low"))</f>
        <v>Medium</v>
      </c>
      <c r="L264" t="str">
        <f>TEXT(Table1[[#This Row],[Order_Date]],"MMM")</f>
        <v>Jun</v>
      </c>
      <c r="M264" t="str">
        <f>IF(Table1[[#This Row],[Profit]]&gt;=10000,"Excellent",IF(Table1[[#This Row],[Profit]]&gt;5000,"Good","Low"))</f>
        <v>Low</v>
      </c>
      <c r="N264" t="str">
        <f>TEXT(Table1[[#This Row],[Order_Date]],"YYYY")</f>
        <v>2026</v>
      </c>
    </row>
    <row r="265" spans="1:14" x14ac:dyDescent="0.25">
      <c r="A265" s="1">
        <v>45389</v>
      </c>
      <c r="B265" t="s">
        <v>11</v>
      </c>
      <c r="C265" t="s">
        <v>18</v>
      </c>
      <c r="D265">
        <v>48834</v>
      </c>
      <c r="E265">
        <v>44264</v>
      </c>
      <c r="F265">
        <v>4570</v>
      </c>
      <c r="G265" t="s">
        <v>27</v>
      </c>
      <c r="H265" t="s">
        <v>34</v>
      </c>
      <c r="I265" t="s">
        <v>15</v>
      </c>
      <c r="J265" s="2">
        <f>Table1[[#This Row],[Profit]]/Table1[[#This Row],[Sales]]*100</f>
        <v>9.3582340172830403</v>
      </c>
      <c r="K265" t="str">
        <f>IF(Table1[[#This Row],[Sales]]&gt;=30000,"High", IF(Table1[[#This Row],[Sales]]&gt;=15000,"Medium","Low"))</f>
        <v>High</v>
      </c>
      <c r="L265" t="str">
        <f>TEXT(Table1[[#This Row],[Order_Date]],"MMM")</f>
        <v>Apr</v>
      </c>
      <c r="M265" t="str">
        <f>IF(Table1[[#This Row],[Profit]]&gt;=10000,"Excellent",IF(Table1[[#This Row],[Profit]]&gt;5000,"Good","Low"))</f>
        <v>Low</v>
      </c>
      <c r="N265" t="str">
        <f>TEXT(Table1[[#This Row],[Order_Date]],"YYYY")</f>
        <v>2024</v>
      </c>
    </row>
    <row r="266" spans="1:14" x14ac:dyDescent="0.25">
      <c r="A266" s="1">
        <v>45287</v>
      </c>
      <c r="B266" t="s">
        <v>11</v>
      </c>
      <c r="C266" t="s">
        <v>41</v>
      </c>
      <c r="D266">
        <v>13619</v>
      </c>
      <c r="E266">
        <v>12690</v>
      </c>
      <c r="F266">
        <v>929</v>
      </c>
      <c r="G266" t="s">
        <v>13</v>
      </c>
      <c r="H266" t="s">
        <v>60</v>
      </c>
      <c r="I266" t="s">
        <v>42</v>
      </c>
      <c r="J266" s="2">
        <f>Table1[[#This Row],[Profit]]/Table1[[#This Row],[Sales]]*100</f>
        <v>6.8213525222116154</v>
      </c>
      <c r="K266" t="str">
        <f>IF(Table1[[#This Row],[Sales]]&gt;=30000,"High", IF(Table1[[#This Row],[Sales]]&gt;=15000,"Medium","Low"))</f>
        <v>Low</v>
      </c>
      <c r="L266" t="str">
        <f>TEXT(Table1[[#This Row],[Order_Date]],"MMM")</f>
        <v>Dec</v>
      </c>
      <c r="M266" t="str">
        <f>IF(Table1[[#This Row],[Profit]]&gt;=10000,"Excellent",IF(Table1[[#This Row],[Profit]]&gt;5000,"Good","Low"))</f>
        <v>Low</v>
      </c>
      <c r="N266" t="str">
        <f>TEXT(Table1[[#This Row],[Order_Date]],"YYYY")</f>
        <v>2023</v>
      </c>
    </row>
    <row r="267" spans="1:14" x14ac:dyDescent="0.25">
      <c r="A267" s="1">
        <v>46081</v>
      </c>
      <c r="B267" t="s">
        <v>44</v>
      </c>
      <c r="C267" t="s">
        <v>18</v>
      </c>
      <c r="D267">
        <v>26734</v>
      </c>
      <c r="E267">
        <v>12201</v>
      </c>
      <c r="F267">
        <v>14533</v>
      </c>
      <c r="G267" t="s">
        <v>38</v>
      </c>
      <c r="H267" t="s">
        <v>63</v>
      </c>
      <c r="I267" t="s">
        <v>24</v>
      </c>
      <c r="J267" s="2">
        <f>Table1[[#This Row],[Profit]]/Table1[[#This Row],[Sales]]*100</f>
        <v>54.361487244707121</v>
      </c>
      <c r="K267" t="str">
        <f>IF(Table1[[#This Row],[Sales]]&gt;=30000,"High", IF(Table1[[#This Row],[Sales]]&gt;=15000,"Medium","Low"))</f>
        <v>Medium</v>
      </c>
      <c r="L267" t="str">
        <f>TEXT(Table1[[#This Row],[Order_Date]],"MMM")</f>
        <v>Feb</v>
      </c>
      <c r="M267" t="str">
        <f>IF(Table1[[#This Row],[Profit]]&gt;=10000,"Excellent",IF(Table1[[#This Row],[Profit]]&gt;5000,"Good","Low"))</f>
        <v>Excellent</v>
      </c>
      <c r="N267" t="str">
        <f>TEXT(Table1[[#This Row],[Order_Date]],"YYYY")</f>
        <v>2026</v>
      </c>
    </row>
    <row r="268" spans="1:14" x14ac:dyDescent="0.25">
      <c r="A268" s="1">
        <v>45584</v>
      </c>
      <c r="B268" t="s">
        <v>11</v>
      </c>
      <c r="C268" t="s">
        <v>33</v>
      </c>
      <c r="D268">
        <v>5078</v>
      </c>
      <c r="E268">
        <v>225</v>
      </c>
      <c r="F268">
        <v>4853</v>
      </c>
      <c r="G268" t="s">
        <v>13</v>
      </c>
      <c r="H268" t="s">
        <v>31</v>
      </c>
      <c r="I268" t="s">
        <v>15</v>
      </c>
      <c r="J268" s="2">
        <f>Table1[[#This Row],[Profit]]/Table1[[#This Row],[Sales]]*100</f>
        <v>95.569121701457277</v>
      </c>
      <c r="K268" t="str">
        <f>IF(Table1[[#This Row],[Sales]]&gt;=30000,"High", IF(Table1[[#This Row],[Sales]]&gt;=15000,"Medium","Low"))</f>
        <v>Low</v>
      </c>
      <c r="L268" t="str">
        <f>TEXT(Table1[[#This Row],[Order_Date]],"MMM")</f>
        <v>Oct</v>
      </c>
      <c r="M268" t="str">
        <f>IF(Table1[[#This Row],[Profit]]&gt;=10000,"Excellent",IF(Table1[[#This Row],[Profit]]&gt;5000,"Good","Low"))</f>
        <v>Low</v>
      </c>
      <c r="N268" t="str">
        <f>TEXT(Table1[[#This Row],[Order_Date]],"YYYY")</f>
        <v>2024</v>
      </c>
    </row>
    <row r="269" spans="1:14" x14ac:dyDescent="0.25">
      <c r="A269" s="1">
        <v>45897</v>
      </c>
      <c r="B269" t="s">
        <v>17</v>
      </c>
      <c r="C269" t="s">
        <v>41</v>
      </c>
      <c r="D269">
        <v>27775</v>
      </c>
      <c r="E269">
        <v>11752</v>
      </c>
      <c r="F269">
        <v>16023</v>
      </c>
      <c r="G269" t="s">
        <v>19</v>
      </c>
      <c r="H269" t="s">
        <v>31</v>
      </c>
      <c r="I269" t="s">
        <v>15</v>
      </c>
      <c r="J269" s="2">
        <f>Table1[[#This Row],[Profit]]/Table1[[#This Row],[Sales]]*100</f>
        <v>57.688568856885695</v>
      </c>
      <c r="K269" t="str">
        <f>IF(Table1[[#This Row],[Sales]]&gt;=30000,"High", IF(Table1[[#This Row],[Sales]]&gt;=15000,"Medium","Low"))</f>
        <v>Medium</v>
      </c>
      <c r="L269" t="str">
        <f>TEXT(Table1[[#This Row],[Order_Date]],"MMM")</f>
        <v>Aug</v>
      </c>
      <c r="M269" t="str">
        <f>IF(Table1[[#This Row],[Profit]]&gt;=10000,"Excellent",IF(Table1[[#This Row],[Profit]]&gt;5000,"Good","Low"))</f>
        <v>Excellent</v>
      </c>
      <c r="N269" t="str">
        <f>TEXT(Table1[[#This Row],[Order_Date]],"YYYY")</f>
        <v>2025</v>
      </c>
    </row>
    <row r="270" spans="1:14" x14ac:dyDescent="0.25">
      <c r="A270" s="1">
        <v>45985</v>
      </c>
      <c r="B270" t="s">
        <v>22</v>
      </c>
      <c r="C270" t="s">
        <v>18</v>
      </c>
      <c r="D270">
        <v>14601</v>
      </c>
      <c r="E270">
        <v>139</v>
      </c>
      <c r="F270">
        <v>14462</v>
      </c>
      <c r="G270" t="s">
        <v>27</v>
      </c>
      <c r="H270" t="s">
        <v>28</v>
      </c>
      <c r="I270" t="s">
        <v>53</v>
      </c>
      <c r="J270" s="2">
        <f>Table1[[#This Row],[Profit]]/Table1[[#This Row],[Sales]]*100</f>
        <v>99.048010410245865</v>
      </c>
      <c r="K270" t="str">
        <f>IF(Table1[[#This Row],[Sales]]&gt;=30000,"High", IF(Table1[[#This Row],[Sales]]&gt;=15000,"Medium","Low"))</f>
        <v>Low</v>
      </c>
      <c r="L270" t="str">
        <f>TEXT(Table1[[#This Row],[Order_Date]],"MMM")</f>
        <v>Nov</v>
      </c>
      <c r="M270" t="str">
        <f>IF(Table1[[#This Row],[Profit]]&gt;=10000,"Excellent",IF(Table1[[#This Row],[Profit]]&gt;5000,"Good","Low"))</f>
        <v>Excellent</v>
      </c>
      <c r="N270" t="str">
        <f>TEXT(Table1[[#This Row],[Order_Date]],"YYYY")</f>
        <v>2025</v>
      </c>
    </row>
    <row r="271" spans="1:14" x14ac:dyDescent="0.25">
      <c r="A271" s="1">
        <v>45538</v>
      </c>
      <c r="B271" t="s">
        <v>22</v>
      </c>
      <c r="C271" t="s">
        <v>41</v>
      </c>
      <c r="D271">
        <v>13906</v>
      </c>
      <c r="E271">
        <v>5665</v>
      </c>
      <c r="F271">
        <v>8241</v>
      </c>
      <c r="G271" t="s">
        <v>19</v>
      </c>
      <c r="H271" t="s">
        <v>63</v>
      </c>
      <c r="I271" t="s">
        <v>29</v>
      </c>
      <c r="J271" s="2">
        <f>Table1[[#This Row],[Profit]]/Table1[[#This Row],[Sales]]*100</f>
        <v>59.262188983172734</v>
      </c>
      <c r="K271" t="str">
        <f>IF(Table1[[#This Row],[Sales]]&gt;=30000,"High", IF(Table1[[#This Row],[Sales]]&gt;=15000,"Medium","Low"))</f>
        <v>Low</v>
      </c>
      <c r="L271" t="str">
        <f>TEXT(Table1[[#This Row],[Order_Date]],"MMM")</f>
        <v>Sep</v>
      </c>
      <c r="M271" t="str">
        <f>IF(Table1[[#This Row],[Profit]]&gt;=10000,"Excellent",IF(Table1[[#This Row],[Profit]]&gt;5000,"Good","Low"))</f>
        <v>Good</v>
      </c>
      <c r="N271" t="str">
        <f>TEXT(Table1[[#This Row],[Order_Date]],"YYYY")</f>
        <v>2024</v>
      </c>
    </row>
    <row r="272" spans="1:14" x14ac:dyDescent="0.25">
      <c r="A272" s="1">
        <v>45836</v>
      </c>
      <c r="B272" t="s">
        <v>17</v>
      </c>
      <c r="C272" t="s">
        <v>41</v>
      </c>
      <c r="D272">
        <v>15049</v>
      </c>
      <c r="E272">
        <v>8540</v>
      </c>
      <c r="F272">
        <v>6509</v>
      </c>
      <c r="G272" t="s">
        <v>27</v>
      </c>
      <c r="H272" t="s">
        <v>63</v>
      </c>
      <c r="I272" t="s">
        <v>29</v>
      </c>
      <c r="J272" s="2">
        <f>Table1[[#This Row],[Profit]]/Table1[[#This Row],[Sales]]*100</f>
        <v>43.252043325137883</v>
      </c>
      <c r="K272" t="str">
        <f>IF(Table1[[#This Row],[Sales]]&gt;=30000,"High", IF(Table1[[#This Row],[Sales]]&gt;=15000,"Medium","Low"))</f>
        <v>Medium</v>
      </c>
      <c r="L272" t="str">
        <f>TEXT(Table1[[#This Row],[Order_Date]],"MMM")</f>
        <v>Jun</v>
      </c>
      <c r="M272" t="str">
        <f>IF(Table1[[#This Row],[Profit]]&gt;=10000,"Excellent",IF(Table1[[#This Row],[Profit]]&gt;5000,"Good","Low"))</f>
        <v>Good</v>
      </c>
      <c r="N272" t="str">
        <f>TEXT(Table1[[#This Row],[Order_Date]],"YYYY")</f>
        <v>2025</v>
      </c>
    </row>
    <row r="273" spans="1:14" x14ac:dyDescent="0.25">
      <c r="A273" s="1">
        <v>46045</v>
      </c>
      <c r="B273" t="s">
        <v>26</v>
      </c>
      <c r="C273" t="s">
        <v>41</v>
      </c>
      <c r="D273">
        <v>9719</v>
      </c>
      <c r="E273">
        <v>1916</v>
      </c>
      <c r="F273">
        <v>7803</v>
      </c>
      <c r="G273" t="s">
        <v>19</v>
      </c>
      <c r="H273" t="s">
        <v>20</v>
      </c>
      <c r="I273" t="s">
        <v>42</v>
      </c>
      <c r="J273" s="2">
        <f>Table1[[#This Row],[Profit]]/Table1[[#This Row],[Sales]]*100</f>
        <v>80.286037658195283</v>
      </c>
      <c r="K273" t="str">
        <f>IF(Table1[[#This Row],[Sales]]&gt;=30000,"High", IF(Table1[[#This Row],[Sales]]&gt;=15000,"Medium","Low"))</f>
        <v>Low</v>
      </c>
      <c r="L273" t="str">
        <f>TEXT(Table1[[#This Row],[Order_Date]],"MMM")</f>
        <v>Jan</v>
      </c>
      <c r="M273" t="str">
        <f>IF(Table1[[#This Row],[Profit]]&gt;=10000,"Excellent",IF(Table1[[#This Row],[Profit]]&gt;5000,"Good","Low"))</f>
        <v>Good</v>
      </c>
      <c r="N273" t="str">
        <f>TEXT(Table1[[#This Row],[Order_Date]],"YYYY")</f>
        <v>2026</v>
      </c>
    </row>
    <row r="274" spans="1:14" x14ac:dyDescent="0.25">
      <c r="A274" s="1">
        <v>45530</v>
      </c>
      <c r="B274" t="s">
        <v>17</v>
      </c>
      <c r="C274" t="s">
        <v>12</v>
      </c>
      <c r="D274">
        <v>47467</v>
      </c>
      <c r="E274">
        <v>34250</v>
      </c>
      <c r="F274">
        <v>13217</v>
      </c>
      <c r="G274" t="s">
        <v>13</v>
      </c>
      <c r="H274" t="s">
        <v>45</v>
      </c>
      <c r="I274" t="s">
        <v>15</v>
      </c>
      <c r="J274" s="2">
        <f>Table1[[#This Row],[Profit]]/Table1[[#This Row],[Sales]]*100</f>
        <v>27.844607832810166</v>
      </c>
      <c r="K274" t="str">
        <f>IF(Table1[[#This Row],[Sales]]&gt;=30000,"High", IF(Table1[[#This Row],[Sales]]&gt;=15000,"Medium","Low"))</f>
        <v>High</v>
      </c>
      <c r="L274" t="str">
        <f>TEXT(Table1[[#This Row],[Order_Date]],"MMM")</f>
        <v>Aug</v>
      </c>
      <c r="M274" t="str">
        <f>IF(Table1[[#This Row],[Profit]]&gt;=10000,"Excellent",IF(Table1[[#This Row],[Profit]]&gt;5000,"Good","Low"))</f>
        <v>Excellent</v>
      </c>
      <c r="N274" t="str">
        <f>TEXT(Table1[[#This Row],[Order_Date]],"YYYY")</f>
        <v>2024</v>
      </c>
    </row>
    <row r="275" spans="1:14" x14ac:dyDescent="0.25">
      <c r="A275" s="1">
        <v>45719</v>
      </c>
      <c r="B275" t="s">
        <v>26</v>
      </c>
      <c r="C275" t="s">
        <v>33</v>
      </c>
      <c r="D275">
        <v>16394</v>
      </c>
      <c r="E275">
        <v>10221</v>
      </c>
      <c r="F275">
        <v>6173</v>
      </c>
      <c r="G275" t="s">
        <v>13</v>
      </c>
      <c r="H275" t="s">
        <v>23</v>
      </c>
      <c r="I275" t="s">
        <v>24</v>
      </c>
      <c r="J275" s="2">
        <f>Table1[[#This Row],[Profit]]/Table1[[#This Row],[Sales]]*100</f>
        <v>37.654019763328044</v>
      </c>
      <c r="K275" t="str">
        <f>IF(Table1[[#This Row],[Sales]]&gt;=30000,"High", IF(Table1[[#This Row],[Sales]]&gt;=15000,"Medium","Low"))</f>
        <v>Medium</v>
      </c>
      <c r="L275" t="str">
        <f>TEXT(Table1[[#This Row],[Order_Date]],"MMM")</f>
        <v>Mar</v>
      </c>
      <c r="M275" t="str">
        <f>IF(Table1[[#This Row],[Profit]]&gt;=10000,"Excellent",IF(Table1[[#This Row],[Profit]]&gt;5000,"Good","Low"))</f>
        <v>Good</v>
      </c>
      <c r="N275" t="str">
        <f>TEXT(Table1[[#This Row],[Order_Date]],"YYYY")</f>
        <v>2025</v>
      </c>
    </row>
    <row r="276" spans="1:14" x14ac:dyDescent="0.25">
      <c r="A276" s="1">
        <v>46085</v>
      </c>
      <c r="B276" t="s">
        <v>44</v>
      </c>
      <c r="C276" t="s">
        <v>33</v>
      </c>
      <c r="D276">
        <v>19944</v>
      </c>
      <c r="E276">
        <v>8234</v>
      </c>
      <c r="F276">
        <v>11710</v>
      </c>
      <c r="G276" t="s">
        <v>27</v>
      </c>
      <c r="H276" t="s">
        <v>20</v>
      </c>
      <c r="I276" t="s">
        <v>53</v>
      </c>
      <c r="J276" s="2">
        <f>Table1[[#This Row],[Profit]]/Table1[[#This Row],[Sales]]*100</f>
        <v>58.71440032089852</v>
      </c>
      <c r="K276" t="str">
        <f>IF(Table1[[#This Row],[Sales]]&gt;=30000,"High", IF(Table1[[#This Row],[Sales]]&gt;=15000,"Medium","Low"))</f>
        <v>Medium</v>
      </c>
      <c r="L276" t="str">
        <f>TEXT(Table1[[#This Row],[Order_Date]],"MMM")</f>
        <v>Mar</v>
      </c>
      <c r="M276" t="str">
        <f>IF(Table1[[#This Row],[Profit]]&gt;=10000,"Excellent",IF(Table1[[#This Row],[Profit]]&gt;5000,"Good","Low"))</f>
        <v>Excellent</v>
      </c>
      <c r="N276" t="str">
        <f>TEXT(Table1[[#This Row],[Order_Date]],"YYYY")</f>
        <v>2026</v>
      </c>
    </row>
    <row r="277" spans="1:14" x14ac:dyDescent="0.25">
      <c r="A277" s="1">
        <v>46020</v>
      </c>
      <c r="B277" t="s">
        <v>11</v>
      </c>
      <c r="C277" t="s">
        <v>18</v>
      </c>
      <c r="D277">
        <v>23750</v>
      </c>
      <c r="E277">
        <v>5315</v>
      </c>
      <c r="F277">
        <v>18435</v>
      </c>
      <c r="G277" t="s">
        <v>27</v>
      </c>
      <c r="H277" t="s">
        <v>60</v>
      </c>
      <c r="I277" t="s">
        <v>24</v>
      </c>
      <c r="J277" s="2">
        <f>Table1[[#This Row],[Profit]]/Table1[[#This Row],[Sales]]*100</f>
        <v>77.621052631578948</v>
      </c>
      <c r="K277" t="str">
        <f>IF(Table1[[#This Row],[Sales]]&gt;=30000,"High", IF(Table1[[#This Row],[Sales]]&gt;=15000,"Medium","Low"))</f>
        <v>Medium</v>
      </c>
      <c r="L277" t="str">
        <f>TEXT(Table1[[#This Row],[Order_Date]],"MMM")</f>
        <v>Dec</v>
      </c>
      <c r="M277" t="str">
        <f>IF(Table1[[#This Row],[Profit]]&gt;=10000,"Excellent",IF(Table1[[#This Row],[Profit]]&gt;5000,"Good","Low"))</f>
        <v>Excellent</v>
      </c>
      <c r="N277" t="str">
        <f>TEXT(Table1[[#This Row],[Order_Date]],"YYYY")</f>
        <v>2025</v>
      </c>
    </row>
    <row r="278" spans="1:14" x14ac:dyDescent="0.25">
      <c r="A278" s="1">
        <v>45400</v>
      </c>
      <c r="B278" t="s">
        <v>22</v>
      </c>
      <c r="C278" t="s">
        <v>41</v>
      </c>
      <c r="D278">
        <v>25467</v>
      </c>
      <c r="E278">
        <v>15085</v>
      </c>
      <c r="F278">
        <v>10382</v>
      </c>
      <c r="G278" t="s">
        <v>19</v>
      </c>
      <c r="H278" t="s">
        <v>23</v>
      </c>
      <c r="I278" t="s">
        <v>42</v>
      </c>
      <c r="J278" s="2">
        <f>Table1[[#This Row],[Profit]]/Table1[[#This Row],[Sales]]*100</f>
        <v>40.766482114108456</v>
      </c>
      <c r="K278" t="str">
        <f>IF(Table1[[#This Row],[Sales]]&gt;=30000,"High", IF(Table1[[#This Row],[Sales]]&gt;=15000,"Medium","Low"))</f>
        <v>Medium</v>
      </c>
      <c r="L278" t="str">
        <f>TEXT(Table1[[#This Row],[Order_Date]],"MMM")</f>
        <v>Apr</v>
      </c>
      <c r="M278" t="str">
        <f>IF(Table1[[#This Row],[Profit]]&gt;=10000,"Excellent",IF(Table1[[#This Row],[Profit]]&gt;5000,"Good","Low"))</f>
        <v>Excellent</v>
      </c>
      <c r="N278" t="str">
        <f>TEXT(Table1[[#This Row],[Order_Date]],"YYYY")</f>
        <v>2024</v>
      </c>
    </row>
    <row r="279" spans="1:14" x14ac:dyDescent="0.25">
      <c r="A279" s="1">
        <v>46015</v>
      </c>
      <c r="B279" t="s">
        <v>17</v>
      </c>
      <c r="C279" t="s">
        <v>36</v>
      </c>
      <c r="D279">
        <v>38850</v>
      </c>
      <c r="E279">
        <v>31701</v>
      </c>
      <c r="F279">
        <v>7149</v>
      </c>
      <c r="G279" t="s">
        <v>19</v>
      </c>
      <c r="H279" t="s">
        <v>78</v>
      </c>
      <c r="I279" t="s">
        <v>24</v>
      </c>
      <c r="J279" s="2">
        <f>Table1[[#This Row],[Profit]]/Table1[[#This Row],[Sales]]*100</f>
        <v>18.401544401544399</v>
      </c>
      <c r="K279" t="str">
        <f>IF(Table1[[#This Row],[Sales]]&gt;=30000,"High", IF(Table1[[#This Row],[Sales]]&gt;=15000,"Medium","Low"))</f>
        <v>High</v>
      </c>
      <c r="L279" t="str">
        <f>TEXT(Table1[[#This Row],[Order_Date]],"MMM")</f>
        <v>Dec</v>
      </c>
      <c r="M279" t="str">
        <f>IF(Table1[[#This Row],[Profit]]&gt;=10000,"Excellent",IF(Table1[[#This Row],[Profit]]&gt;5000,"Good","Low"))</f>
        <v>Good</v>
      </c>
      <c r="N279" t="str">
        <f>TEXT(Table1[[#This Row],[Order_Date]],"YYYY")</f>
        <v>2025</v>
      </c>
    </row>
    <row r="280" spans="1:14" x14ac:dyDescent="0.25">
      <c r="A280" s="1">
        <v>45182</v>
      </c>
      <c r="B280" t="s">
        <v>44</v>
      </c>
      <c r="C280" t="s">
        <v>36</v>
      </c>
      <c r="D280">
        <v>30615</v>
      </c>
      <c r="E280">
        <v>23976</v>
      </c>
      <c r="F280">
        <v>6639</v>
      </c>
      <c r="G280" t="s">
        <v>13</v>
      </c>
      <c r="H280" t="s">
        <v>23</v>
      </c>
      <c r="I280" t="s">
        <v>42</v>
      </c>
      <c r="J280" s="2">
        <f>Table1[[#This Row],[Profit]]/Table1[[#This Row],[Sales]]*100</f>
        <v>21.685448309652131</v>
      </c>
      <c r="K280" t="str">
        <f>IF(Table1[[#This Row],[Sales]]&gt;=30000,"High", IF(Table1[[#This Row],[Sales]]&gt;=15000,"Medium","Low"))</f>
        <v>High</v>
      </c>
      <c r="L280" t="str">
        <f>TEXT(Table1[[#This Row],[Order_Date]],"MMM")</f>
        <v>Sep</v>
      </c>
      <c r="M280" t="str">
        <f>IF(Table1[[#This Row],[Profit]]&gt;=10000,"Excellent",IF(Table1[[#This Row],[Profit]]&gt;5000,"Good","Low"))</f>
        <v>Good</v>
      </c>
      <c r="N280" t="str">
        <f>TEXT(Table1[[#This Row],[Order_Date]],"YYYY")</f>
        <v>2023</v>
      </c>
    </row>
    <row r="281" spans="1:14" x14ac:dyDescent="0.25">
      <c r="A281" s="1">
        <v>46182</v>
      </c>
      <c r="B281" t="s">
        <v>44</v>
      </c>
      <c r="C281" t="s">
        <v>33</v>
      </c>
      <c r="D281">
        <v>5008</v>
      </c>
      <c r="E281">
        <v>492</v>
      </c>
      <c r="F281">
        <v>4516</v>
      </c>
      <c r="G281" t="s">
        <v>27</v>
      </c>
      <c r="H281" t="s">
        <v>31</v>
      </c>
      <c r="I281" t="s">
        <v>29</v>
      </c>
      <c r="J281" s="2">
        <f>Table1[[#This Row],[Profit]]/Table1[[#This Row],[Sales]]*100</f>
        <v>90.175718849840251</v>
      </c>
      <c r="K281" t="str">
        <f>IF(Table1[[#This Row],[Sales]]&gt;=30000,"High", IF(Table1[[#This Row],[Sales]]&gt;=15000,"Medium","Low"))</f>
        <v>Low</v>
      </c>
      <c r="L281" t="str">
        <f>TEXT(Table1[[#This Row],[Order_Date]],"MMM")</f>
        <v>Jun</v>
      </c>
      <c r="M281" t="str">
        <f>IF(Table1[[#This Row],[Profit]]&gt;=10000,"Excellent",IF(Table1[[#This Row],[Profit]]&gt;5000,"Good","Low"))</f>
        <v>Low</v>
      </c>
      <c r="N281" t="str">
        <f>TEXT(Table1[[#This Row],[Order_Date]],"YYYY")</f>
        <v>2026</v>
      </c>
    </row>
    <row r="282" spans="1:14" x14ac:dyDescent="0.25">
      <c r="A282" s="1">
        <v>46190</v>
      </c>
      <c r="B282" t="s">
        <v>17</v>
      </c>
      <c r="C282" t="s">
        <v>36</v>
      </c>
      <c r="D282">
        <v>13437</v>
      </c>
      <c r="E282">
        <v>2780</v>
      </c>
      <c r="F282">
        <v>10657</v>
      </c>
      <c r="G282" t="s">
        <v>13</v>
      </c>
      <c r="H282" t="s">
        <v>34</v>
      </c>
      <c r="I282" t="s">
        <v>15</v>
      </c>
      <c r="J282" s="2">
        <f>Table1[[#This Row],[Profit]]/Table1[[#This Row],[Sales]]*100</f>
        <v>79.310858078440134</v>
      </c>
      <c r="K282" t="str">
        <f>IF(Table1[[#This Row],[Sales]]&gt;=30000,"High", IF(Table1[[#This Row],[Sales]]&gt;=15000,"Medium","Low"))</f>
        <v>Low</v>
      </c>
      <c r="L282" t="str">
        <f>TEXT(Table1[[#This Row],[Order_Date]],"MMM")</f>
        <v>Jun</v>
      </c>
      <c r="M282" t="str">
        <f>IF(Table1[[#This Row],[Profit]]&gt;=10000,"Excellent",IF(Table1[[#This Row],[Profit]]&gt;5000,"Good","Low"))</f>
        <v>Excellent</v>
      </c>
      <c r="N282" t="str">
        <f>TEXT(Table1[[#This Row],[Order_Date]],"YYYY")</f>
        <v>2026</v>
      </c>
    </row>
    <row r="283" spans="1:14" x14ac:dyDescent="0.25">
      <c r="A283" s="1">
        <v>45749</v>
      </c>
      <c r="B283" t="s">
        <v>17</v>
      </c>
      <c r="C283" t="s">
        <v>33</v>
      </c>
      <c r="D283">
        <v>7959</v>
      </c>
      <c r="E283">
        <v>1111</v>
      </c>
      <c r="F283">
        <v>6848</v>
      </c>
      <c r="G283" t="s">
        <v>27</v>
      </c>
      <c r="H283" t="s">
        <v>63</v>
      </c>
      <c r="I283" t="s">
        <v>29</v>
      </c>
      <c r="J283" s="2">
        <f>Table1[[#This Row],[Profit]]/Table1[[#This Row],[Sales]]*100</f>
        <v>86.040959919587891</v>
      </c>
      <c r="K283" t="str">
        <f>IF(Table1[[#This Row],[Sales]]&gt;=30000,"High", IF(Table1[[#This Row],[Sales]]&gt;=15000,"Medium","Low"))</f>
        <v>Low</v>
      </c>
      <c r="L283" t="str">
        <f>TEXT(Table1[[#This Row],[Order_Date]],"MMM")</f>
        <v>Apr</v>
      </c>
      <c r="M283" t="str">
        <f>IF(Table1[[#This Row],[Profit]]&gt;=10000,"Excellent",IF(Table1[[#This Row],[Profit]]&gt;5000,"Good","Low"))</f>
        <v>Good</v>
      </c>
      <c r="N283" t="str">
        <f>TEXT(Table1[[#This Row],[Order_Date]],"YYYY")</f>
        <v>2025</v>
      </c>
    </row>
    <row r="284" spans="1:14" x14ac:dyDescent="0.25">
      <c r="A284" s="1">
        <v>45615</v>
      </c>
      <c r="B284" t="s">
        <v>17</v>
      </c>
      <c r="C284" t="s">
        <v>33</v>
      </c>
      <c r="D284">
        <v>27400</v>
      </c>
      <c r="E284">
        <v>11689</v>
      </c>
      <c r="F284">
        <v>15711</v>
      </c>
      <c r="G284" t="s">
        <v>19</v>
      </c>
      <c r="H284" t="s">
        <v>78</v>
      </c>
      <c r="I284" t="s">
        <v>24</v>
      </c>
      <c r="J284" s="2">
        <f>Table1[[#This Row],[Profit]]/Table1[[#This Row],[Sales]]*100</f>
        <v>57.339416058394164</v>
      </c>
      <c r="K284" t="str">
        <f>IF(Table1[[#This Row],[Sales]]&gt;=30000,"High", IF(Table1[[#This Row],[Sales]]&gt;=15000,"Medium","Low"))</f>
        <v>Medium</v>
      </c>
      <c r="L284" t="str">
        <f>TEXT(Table1[[#This Row],[Order_Date]],"MMM")</f>
        <v>Nov</v>
      </c>
      <c r="M284" t="str">
        <f>IF(Table1[[#This Row],[Profit]]&gt;=10000,"Excellent",IF(Table1[[#This Row],[Profit]]&gt;5000,"Good","Low"))</f>
        <v>Excellent</v>
      </c>
      <c r="N284" t="str">
        <f>TEXT(Table1[[#This Row],[Order_Date]],"YYYY")</f>
        <v>2024</v>
      </c>
    </row>
    <row r="285" spans="1:14" x14ac:dyDescent="0.25">
      <c r="A285" s="1">
        <v>45365</v>
      </c>
      <c r="B285" t="s">
        <v>44</v>
      </c>
      <c r="C285" t="s">
        <v>12</v>
      </c>
      <c r="D285">
        <v>13725</v>
      </c>
      <c r="E285">
        <v>2461</v>
      </c>
      <c r="F285">
        <v>11264</v>
      </c>
      <c r="G285" t="s">
        <v>27</v>
      </c>
      <c r="H285" t="s">
        <v>28</v>
      </c>
      <c r="I285" t="s">
        <v>15</v>
      </c>
      <c r="J285" s="2">
        <f>Table1[[#This Row],[Profit]]/Table1[[#This Row],[Sales]]*100</f>
        <v>82.069216757741344</v>
      </c>
      <c r="K285" t="str">
        <f>IF(Table1[[#This Row],[Sales]]&gt;=30000,"High", IF(Table1[[#This Row],[Sales]]&gt;=15000,"Medium","Low"))</f>
        <v>Low</v>
      </c>
      <c r="L285" t="str">
        <f>TEXT(Table1[[#This Row],[Order_Date]],"MMM")</f>
        <v>Mar</v>
      </c>
      <c r="M285" t="str">
        <f>IF(Table1[[#This Row],[Profit]]&gt;=10000,"Excellent",IF(Table1[[#This Row],[Profit]]&gt;5000,"Good","Low"))</f>
        <v>Excellent</v>
      </c>
      <c r="N285" t="str">
        <f>TEXT(Table1[[#This Row],[Order_Date]],"YYYY")</f>
        <v>2024</v>
      </c>
    </row>
    <row r="286" spans="1:14" x14ac:dyDescent="0.25">
      <c r="A286" s="1">
        <v>46001</v>
      </c>
      <c r="B286" t="s">
        <v>17</v>
      </c>
      <c r="C286" t="s">
        <v>18</v>
      </c>
      <c r="D286">
        <v>12796</v>
      </c>
      <c r="E286">
        <v>10490</v>
      </c>
      <c r="F286">
        <v>2306</v>
      </c>
      <c r="G286" t="s">
        <v>13</v>
      </c>
      <c r="H286" t="s">
        <v>31</v>
      </c>
      <c r="I286" t="s">
        <v>24</v>
      </c>
      <c r="J286" s="2">
        <f>Table1[[#This Row],[Profit]]/Table1[[#This Row],[Sales]]*100</f>
        <v>18.021256642700845</v>
      </c>
      <c r="K286" t="str">
        <f>IF(Table1[[#This Row],[Sales]]&gt;=30000,"High", IF(Table1[[#This Row],[Sales]]&gt;=15000,"Medium","Low"))</f>
        <v>Low</v>
      </c>
      <c r="L286" t="str">
        <f>TEXT(Table1[[#This Row],[Order_Date]],"MMM")</f>
        <v>Dec</v>
      </c>
      <c r="M286" t="str">
        <f>IF(Table1[[#This Row],[Profit]]&gt;=10000,"Excellent",IF(Table1[[#This Row],[Profit]]&gt;5000,"Good","Low"))</f>
        <v>Low</v>
      </c>
      <c r="N286" t="str">
        <f>TEXT(Table1[[#This Row],[Order_Date]],"YYYY")</f>
        <v>2025</v>
      </c>
    </row>
    <row r="287" spans="1:14" x14ac:dyDescent="0.25">
      <c r="A287" s="1">
        <v>45475</v>
      </c>
      <c r="B287" t="s">
        <v>17</v>
      </c>
      <c r="C287" t="s">
        <v>33</v>
      </c>
      <c r="D287">
        <v>39346</v>
      </c>
      <c r="E287">
        <v>20947</v>
      </c>
      <c r="F287">
        <v>18399</v>
      </c>
      <c r="G287" t="s">
        <v>13</v>
      </c>
      <c r="H287" t="s">
        <v>45</v>
      </c>
      <c r="I287" t="s">
        <v>24</v>
      </c>
      <c r="J287" s="2">
        <f>Table1[[#This Row],[Profit]]/Table1[[#This Row],[Sales]]*100</f>
        <v>46.762059675697657</v>
      </c>
      <c r="K287" t="str">
        <f>IF(Table1[[#This Row],[Sales]]&gt;=30000,"High", IF(Table1[[#This Row],[Sales]]&gt;=15000,"Medium","Low"))</f>
        <v>High</v>
      </c>
      <c r="L287" t="str">
        <f>TEXT(Table1[[#This Row],[Order_Date]],"MMM")</f>
        <v>Jul</v>
      </c>
      <c r="M287" t="str">
        <f>IF(Table1[[#This Row],[Profit]]&gt;=10000,"Excellent",IF(Table1[[#This Row],[Profit]]&gt;5000,"Good","Low"))</f>
        <v>Excellent</v>
      </c>
      <c r="N287" t="str">
        <f>TEXT(Table1[[#This Row],[Order_Date]],"YYYY")</f>
        <v>2024</v>
      </c>
    </row>
    <row r="288" spans="1:14" x14ac:dyDescent="0.25">
      <c r="A288" s="1">
        <v>45978</v>
      </c>
      <c r="B288" t="s">
        <v>44</v>
      </c>
      <c r="C288" t="s">
        <v>12</v>
      </c>
      <c r="D288">
        <v>33936</v>
      </c>
      <c r="E288">
        <v>22126</v>
      </c>
      <c r="F288">
        <v>11810</v>
      </c>
      <c r="G288" t="s">
        <v>19</v>
      </c>
      <c r="H288" t="s">
        <v>34</v>
      </c>
      <c r="I288" t="s">
        <v>15</v>
      </c>
      <c r="J288" s="2">
        <f>Table1[[#This Row],[Profit]]/Table1[[#This Row],[Sales]]*100</f>
        <v>34.800801508722301</v>
      </c>
      <c r="K288" t="str">
        <f>IF(Table1[[#This Row],[Sales]]&gt;=30000,"High", IF(Table1[[#This Row],[Sales]]&gt;=15000,"Medium","Low"))</f>
        <v>High</v>
      </c>
      <c r="L288" t="str">
        <f>TEXT(Table1[[#This Row],[Order_Date]],"MMM")</f>
        <v>Nov</v>
      </c>
      <c r="M288" t="str">
        <f>IF(Table1[[#This Row],[Profit]]&gt;=10000,"Excellent",IF(Table1[[#This Row],[Profit]]&gt;5000,"Good","Low"))</f>
        <v>Excellent</v>
      </c>
      <c r="N288" t="str">
        <f>TEXT(Table1[[#This Row],[Order_Date]],"YYYY")</f>
        <v>2025</v>
      </c>
    </row>
    <row r="289" spans="1:14" x14ac:dyDescent="0.25">
      <c r="A289" s="1">
        <v>45504</v>
      </c>
      <c r="B289" t="s">
        <v>17</v>
      </c>
      <c r="C289" t="s">
        <v>36</v>
      </c>
      <c r="D289">
        <v>26479</v>
      </c>
      <c r="E289">
        <v>13677</v>
      </c>
      <c r="F289">
        <v>12802</v>
      </c>
      <c r="G289" t="s">
        <v>19</v>
      </c>
      <c r="H289" t="s">
        <v>28</v>
      </c>
      <c r="I289" t="s">
        <v>24</v>
      </c>
      <c r="J289" s="2">
        <f>Table1[[#This Row],[Profit]]/Table1[[#This Row],[Sales]]*100</f>
        <v>48.347747271422634</v>
      </c>
      <c r="K289" t="str">
        <f>IF(Table1[[#This Row],[Sales]]&gt;=30000,"High", IF(Table1[[#This Row],[Sales]]&gt;=15000,"Medium","Low"))</f>
        <v>Medium</v>
      </c>
      <c r="L289" t="str">
        <f>TEXT(Table1[[#This Row],[Order_Date]],"MMM")</f>
        <v>Jul</v>
      </c>
      <c r="M289" t="str">
        <f>IF(Table1[[#This Row],[Profit]]&gt;=10000,"Excellent",IF(Table1[[#This Row],[Profit]]&gt;5000,"Good","Low"))</f>
        <v>Excellent</v>
      </c>
      <c r="N289" t="str">
        <f>TEXT(Table1[[#This Row],[Order_Date]],"YYYY")</f>
        <v>2024</v>
      </c>
    </row>
    <row r="290" spans="1:14" x14ac:dyDescent="0.25">
      <c r="A290" s="1">
        <v>45209</v>
      </c>
      <c r="B290" t="s">
        <v>26</v>
      </c>
      <c r="C290" t="s">
        <v>33</v>
      </c>
      <c r="D290">
        <v>39753</v>
      </c>
      <c r="E290">
        <v>20975</v>
      </c>
      <c r="F290">
        <v>18778</v>
      </c>
      <c r="G290" t="s">
        <v>38</v>
      </c>
      <c r="H290" t="s">
        <v>34</v>
      </c>
      <c r="I290" t="s">
        <v>53</v>
      </c>
      <c r="J290" s="2">
        <f>Table1[[#This Row],[Profit]]/Table1[[#This Row],[Sales]]*100</f>
        <v>47.236686539380671</v>
      </c>
      <c r="K290" t="str">
        <f>IF(Table1[[#This Row],[Sales]]&gt;=30000,"High", IF(Table1[[#This Row],[Sales]]&gt;=15000,"Medium","Low"))</f>
        <v>High</v>
      </c>
      <c r="L290" t="str">
        <f>TEXT(Table1[[#This Row],[Order_Date]],"MMM")</f>
        <v>Oct</v>
      </c>
      <c r="M290" t="str">
        <f>IF(Table1[[#This Row],[Profit]]&gt;=10000,"Excellent",IF(Table1[[#This Row],[Profit]]&gt;5000,"Good","Low"))</f>
        <v>Excellent</v>
      </c>
      <c r="N290" t="str">
        <f>TEXT(Table1[[#This Row],[Order_Date]],"YYYY")</f>
        <v>2023</v>
      </c>
    </row>
    <row r="291" spans="1:14" x14ac:dyDescent="0.25">
      <c r="A291" s="1">
        <v>45245</v>
      </c>
      <c r="B291" t="s">
        <v>11</v>
      </c>
      <c r="C291" t="s">
        <v>36</v>
      </c>
      <c r="D291">
        <v>20579</v>
      </c>
      <c r="E291">
        <v>10375</v>
      </c>
      <c r="F291">
        <v>10204</v>
      </c>
      <c r="G291" t="s">
        <v>38</v>
      </c>
      <c r="H291" t="s">
        <v>34</v>
      </c>
      <c r="I291" t="s">
        <v>42</v>
      </c>
      <c r="J291" s="2">
        <f>Table1[[#This Row],[Profit]]/Table1[[#This Row],[Sales]]*100</f>
        <v>49.584527916808398</v>
      </c>
      <c r="K291" t="str">
        <f>IF(Table1[[#This Row],[Sales]]&gt;=30000,"High", IF(Table1[[#This Row],[Sales]]&gt;=15000,"Medium","Low"))</f>
        <v>Medium</v>
      </c>
      <c r="L291" t="str">
        <f>TEXT(Table1[[#This Row],[Order_Date]],"MMM")</f>
        <v>Nov</v>
      </c>
      <c r="M291" t="str">
        <f>IF(Table1[[#This Row],[Profit]]&gt;=10000,"Excellent",IF(Table1[[#This Row],[Profit]]&gt;5000,"Good","Low"))</f>
        <v>Excellent</v>
      </c>
      <c r="N291" t="str">
        <f>TEXT(Table1[[#This Row],[Order_Date]],"YYYY")</f>
        <v>2023</v>
      </c>
    </row>
    <row r="292" spans="1:14" x14ac:dyDescent="0.25">
      <c r="A292" s="1">
        <v>45960</v>
      </c>
      <c r="B292" t="s">
        <v>26</v>
      </c>
      <c r="C292" t="s">
        <v>41</v>
      </c>
      <c r="D292">
        <v>34396</v>
      </c>
      <c r="E292">
        <v>17089</v>
      </c>
      <c r="F292">
        <v>17307</v>
      </c>
      <c r="G292" t="s">
        <v>27</v>
      </c>
      <c r="H292" t="s">
        <v>60</v>
      </c>
      <c r="I292" t="s">
        <v>29</v>
      </c>
      <c r="J292" s="2">
        <f>Table1[[#This Row],[Profit]]/Table1[[#This Row],[Sales]]*100</f>
        <v>50.316897313641121</v>
      </c>
      <c r="K292" t="str">
        <f>IF(Table1[[#This Row],[Sales]]&gt;=30000,"High", IF(Table1[[#This Row],[Sales]]&gt;=15000,"Medium","Low"))</f>
        <v>High</v>
      </c>
      <c r="L292" t="str">
        <f>TEXT(Table1[[#This Row],[Order_Date]],"MMM")</f>
        <v>Oct</v>
      </c>
      <c r="M292" t="str">
        <f>IF(Table1[[#This Row],[Profit]]&gt;=10000,"Excellent",IF(Table1[[#This Row],[Profit]]&gt;5000,"Good","Low"))</f>
        <v>Excellent</v>
      </c>
      <c r="N292" t="str">
        <f>TEXT(Table1[[#This Row],[Order_Date]],"YYYY")</f>
        <v>2025</v>
      </c>
    </row>
    <row r="293" spans="1:14" x14ac:dyDescent="0.25">
      <c r="A293" s="1">
        <v>45719</v>
      </c>
      <c r="B293" t="s">
        <v>44</v>
      </c>
      <c r="C293" t="s">
        <v>33</v>
      </c>
      <c r="D293">
        <v>38611</v>
      </c>
      <c r="E293">
        <v>36626</v>
      </c>
      <c r="F293">
        <v>1985</v>
      </c>
      <c r="G293" t="s">
        <v>27</v>
      </c>
      <c r="H293" t="s">
        <v>60</v>
      </c>
      <c r="I293" t="s">
        <v>29</v>
      </c>
      <c r="J293" s="2">
        <f>Table1[[#This Row],[Profit]]/Table1[[#This Row],[Sales]]*100</f>
        <v>5.1410219885524846</v>
      </c>
      <c r="K293" t="str">
        <f>IF(Table1[[#This Row],[Sales]]&gt;=30000,"High", IF(Table1[[#This Row],[Sales]]&gt;=15000,"Medium","Low"))</f>
        <v>High</v>
      </c>
      <c r="L293" t="str">
        <f>TEXT(Table1[[#This Row],[Order_Date]],"MMM")</f>
        <v>Mar</v>
      </c>
      <c r="M293" t="str">
        <f>IF(Table1[[#This Row],[Profit]]&gt;=10000,"Excellent",IF(Table1[[#This Row],[Profit]]&gt;5000,"Good","Low"))</f>
        <v>Low</v>
      </c>
      <c r="N293" t="str">
        <f>TEXT(Table1[[#This Row],[Order_Date]],"YYYY")</f>
        <v>2025</v>
      </c>
    </row>
    <row r="294" spans="1:14" x14ac:dyDescent="0.25">
      <c r="A294" s="1">
        <v>46110</v>
      </c>
      <c r="B294" t="s">
        <v>17</v>
      </c>
      <c r="C294" t="s">
        <v>36</v>
      </c>
      <c r="D294">
        <v>23399</v>
      </c>
      <c r="E294">
        <v>8889</v>
      </c>
      <c r="F294">
        <v>14510</v>
      </c>
      <c r="G294" t="s">
        <v>38</v>
      </c>
      <c r="H294" t="s">
        <v>34</v>
      </c>
      <c r="I294" t="s">
        <v>29</v>
      </c>
      <c r="J294" s="2">
        <f>Table1[[#This Row],[Profit]]/Table1[[#This Row],[Sales]]*100</f>
        <v>62.011197059703406</v>
      </c>
      <c r="K294" t="str">
        <f>IF(Table1[[#This Row],[Sales]]&gt;=30000,"High", IF(Table1[[#This Row],[Sales]]&gt;=15000,"Medium","Low"))</f>
        <v>Medium</v>
      </c>
      <c r="L294" t="str">
        <f>TEXT(Table1[[#This Row],[Order_Date]],"MMM")</f>
        <v>Mar</v>
      </c>
      <c r="M294" t="str">
        <f>IF(Table1[[#This Row],[Profit]]&gt;=10000,"Excellent",IF(Table1[[#This Row],[Profit]]&gt;5000,"Good","Low"))</f>
        <v>Excellent</v>
      </c>
      <c r="N294" t="str">
        <f>TEXT(Table1[[#This Row],[Order_Date]],"YYYY")</f>
        <v>2026</v>
      </c>
    </row>
    <row r="295" spans="1:14" x14ac:dyDescent="0.25">
      <c r="A295" s="1">
        <v>45629</v>
      </c>
      <c r="B295" t="s">
        <v>11</v>
      </c>
      <c r="C295" t="s">
        <v>36</v>
      </c>
      <c r="D295">
        <v>7478</v>
      </c>
      <c r="E295">
        <v>4244</v>
      </c>
      <c r="F295">
        <v>3234</v>
      </c>
      <c r="G295" t="s">
        <v>38</v>
      </c>
      <c r="H295" t="s">
        <v>14</v>
      </c>
      <c r="I295" t="s">
        <v>53</v>
      </c>
      <c r="J295" s="2">
        <f>Table1[[#This Row],[Profit]]/Table1[[#This Row],[Sales]]*100</f>
        <v>43.246857448515648</v>
      </c>
      <c r="K295" t="str">
        <f>IF(Table1[[#This Row],[Sales]]&gt;=30000,"High", IF(Table1[[#This Row],[Sales]]&gt;=15000,"Medium","Low"))</f>
        <v>Low</v>
      </c>
      <c r="L295" t="str">
        <f>TEXT(Table1[[#This Row],[Order_Date]],"MMM")</f>
        <v>Dec</v>
      </c>
      <c r="M295" t="str">
        <f>IF(Table1[[#This Row],[Profit]]&gt;=10000,"Excellent",IF(Table1[[#This Row],[Profit]]&gt;5000,"Good","Low"))</f>
        <v>Low</v>
      </c>
      <c r="N295" t="str">
        <f>TEXT(Table1[[#This Row],[Order_Date]],"YYYY")</f>
        <v>2024</v>
      </c>
    </row>
    <row r="296" spans="1:14" x14ac:dyDescent="0.25">
      <c r="A296" s="1">
        <v>45204</v>
      </c>
      <c r="B296" t="s">
        <v>44</v>
      </c>
      <c r="C296" t="s">
        <v>18</v>
      </c>
      <c r="D296">
        <v>34245</v>
      </c>
      <c r="E296">
        <v>19290</v>
      </c>
      <c r="F296">
        <v>14955</v>
      </c>
      <c r="G296" t="s">
        <v>27</v>
      </c>
      <c r="H296" t="s">
        <v>23</v>
      </c>
      <c r="I296" t="s">
        <v>24</v>
      </c>
      <c r="J296" s="2">
        <f>Table1[[#This Row],[Profit]]/Table1[[#This Row],[Sales]]*100</f>
        <v>43.670608848007006</v>
      </c>
      <c r="K296" t="str">
        <f>IF(Table1[[#This Row],[Sales]]&gt;=30000,"High", IF(Table1[[#This Row],[Sales]]&gt;=15000,"Medium","Low"))</f>
        <v>High</v>
      </c>
      <c r="L296" t="str">
        <f>TEXT(Table1[[#This Row],[Order_Date]],"MMM")</f>
        <v>Oct</v>
      </c>
      <c r="M296" t="str">
        <f>IF(Table1[[#This Row],[Profit]]&gt;=10000,"Excellent",IF(Table1[[#This Row],[Profit]]&gt;5000,"Good","Low"))</f>
        <v>Excellent</v>
      </c>
      <c r="N296" t="str">
        <f>TEXT(Table1[[#This Row],[Order_Date]],"YYYY")</f>
        <v>2023</v>
      </c>
    </row>
    <row r="297" spans="1:14" x14ac:dyDescent="0.25">
      <c r="A297" s="1">
        <v>45753</v>
      </c>
      <c r="B297" t="s">
        <v>44</v>
      </c>
      <c r="C297" t="s">
        <v>41</v>
      </c>
      <c r="D297">
        <v>34870</v>
      </c>
      <c r="E297">
        <v>20232</v>
      </c>
      <c r="F297">
        <v>14638</v>
      </c>
      <c r="G297" t="s">
        <v>13</v>
      </c>
      <c r="H297" t="s">
        <v>23</v>
      </c>
      <c r="I297" t="s">
        <v>24</v>
      </c>
      <c r="J297" s="2">
        <f>Table1[[#This Row],[Profit]]/Table1[[#This Row],[Sales]]*100</f>
        <v>41.978778319472326</v>
      </c>
      <c r="K297" t="str">
        <f>IF(Table1[[#This Row],[Sales]]&gt;=30000,"High", IF(Table1[[#This Row],[Sales]]&gt;=15000,"Medium","Low"))</f>
        <v>High</v>
      </c>
      <c r="L297" t="str">
        <f>TEXT(Table1[[#This Row],[Order_Date]],"MMM")</f>
        <v>Apr</v>
      </c>
      <c r="M297" t="str">
        <f>IF(Table1[[#This Row],[Profit]]&gt;=10000,"Excellent",IF(Table1[[#This Row],[Profit]]&gt;5000,"Good","Low"))</f>
        <v>Excellent</v>
      </c>
      <c r="N297" t="str">
        <f>TEXT(Table1[[#This Row],[Order_Date]],"YYYY")</f>
        <v>2025</v>
      </c>
    </row>
    <row r="298" spans="1:14" x14ac:dyDescent="0.25">
      <c r="A298" s="1">
        <v>45150</v>
      </c>
      <c r="B298" t="s">
        <v>11</v>
      </c>
      <c r="C298" t="s">
        <v>12</v>
      </c>
      <c r="D298">
        <v>42545</v>
      </c>
      <c r="E298">
        <v>28895</v>
      </c>
      <c r="F298">
        <v>13650</v>
      </c>
      <c r="G298" t="s">
        <v>19</v>
      </c>
      <c r="H298" t="s">
        <v>31</v>
      </c>
      <c r="I298" t="s">
        <v>29</v>
      </c>
      <c r="J298" s="2">
        <f>Table1[[#This Row],[Profit]]/Table1[[#This Row],[Sales]]*100</f>
        <v>32.083676107650724</v>
      </c>
      <c r="K298" t="str">
        <f>IF(Table1[[#This Row],[Sales]]&gt;=30000,"High", IF(Table1[[#This Row],[Sales]]&gt;=15000,"Medium","Low"))</f>
        <v>High</v>
      </c>
      <c r="L298" t="str">
        <f>TEXT(Table1[[#This Row],[Order_Date]],"MMM")</f>
        <v>Aug</v>
      </c>
      <c r="M298" t="str">
        <f>IF(Table1[[#This Row],[Profit]]&gt;=10000,"Excellent",IF(Table1[[#This Row],[Profit]]&gt;5000,"Good","Low"))</f>
        <v>Excellent</v>
      </c>
      <c r="N298" t="str">
        <f>TEXT(Table1[[#This Row],[Order_Date]],"YYYY")</f>
        <v>2023</v>
      </c>
    </row>
    <row r="299" spans="1:14" x14ac:dyDescent="0.25">
      <c r="A299" s="1">
        <v>45151</v>
      </c>
      <c r="B299" t="s">
        <v>17</v>
      </c>
      <c r="C299" t="s">
        <v>36</v>
      </c>
      <c r="D299">
        <v>5903</v>
      </c>
      <c r="E299">
        <v>5069</v>
      </c>
      <c r="F299">
        <v>834</v>
      </c>
      <c r="G299" t="s">
        <v>19</v>
      </c>
      <c r="H299" t="s">
        <v>45</v>
      </c>
      <c r="I299" t="s">
        <v>42</v>
      </c>
      <c r="J299" s="2">
        <f>Table1[[#This Row],[Profit]]/Table1[[#This Row],[Sales]]*100</f>
        <v>14.128409283415214</v>
      </c>
      <c r="K299" t="str">
        <f>IF(Table1[[#This Row],[Sales]]&gt;=30000,"High", IF(Table1[[#This Row],[Sales]]&gt;=15000,"Medium","Low"))</f>
        <v>Low</v>
      </c>
      <c r="L299" t="str">
        <f>TEXT(Table1[[#This Row],[Order_Date]],"MMM")</f>
        <v>Aug</v>
      </c>
      <c r="M299" t="str">
        <f>IF(Table1[[#This Row],[Profit]]&gt;=10000,"Excellent",IF(Table1[[#This Row],[Profit]]&gt;5000,"Good","Low"))</f>
        <v>Low</v>
      </c>
      <c r="N299" t="str">
        <f>TEXT(Table1[[#This Row],[Order_Date]],"YYYY")</f>
        <v>2023</v>
      </c>
    </row>
    <row r="300" spans="1:14" x14ac:dyDescent="0.25">
      <c r="A300" s="1">
        <v>45851</v>
      </c>
      <c r="B300" t="s">
        <v>26</v>
      </c>
      <c r="C300" t="s">
        <v>18</v>
      </c>
      <c r="D300">
        <v>48096</v>
      </c>
      <c r="E300">
        <v>45936</v>
      </c>
      <c r="F300">
        <v>2160</v>
      </c>
      <c r="G300" t="s">
        <v>13</v>
      </c>
      <c r="H300" t="s">
        <v>34</v>
      </c>
      <c r="I300" t="s">
        <v>24</v>
      </c>
      <c r="J300" s="2">
        <f>Table1[[#This Row],[Profit]]/Table1[[#This Row],[Sales]]*100</f>
        <v>4.4910179640718564</v>
      </c>
      <c r="K300" t="str">
        <f>IF(Table1[[#This Row],[Sales]]&gt;=30000,"High", IF(Table1[[#This Row],[Sales]]&gt;=15000,"Medium","Low"))</f>
        <v>High</v>
      </c>
      <c r="L300" t="str">
        <f>TEXT(Table1[[#This Row],[Order_Date]],"MMM")</f>
        <v>Jul</v>
      </c>
      <c r="M300" t="str">
        <f>IF(Table1[[#This Row],[Profit]]&gt;=10000,"Excellent",IF(Table1[[#This Row],[Profit]]&gt;5000,"Good","Low"))</f>
        <v>Low</v>
      </c>
      <c r="N300" t="str">
        <f>TEXT(Table1[[#This Row],[Order_Date]],"YYYY")</f>
        <v>2025</v>
      </c>
    </row>
    <row r="301" spans="1:14" x14ac:dyDescent="0.25">
      <c r="A301" s="1">
        <v>45996</v>
      </c>
      <c r="B301" t="s">
        <v>22</v>
      </c>
      <c r="C301" t="s">
        <v>18</v>
      </c>
      <c r="D301">
        <v>32568</v>
      </c>
      <c r="E301">
        <v>13332</v>
      </c>
      <c r="F301">
        <v>19236</v>
      </c>
      <c r="G301" t="s">
        <v>13</v>
      </c>
      <c r="H301" t="s">
        <v>34</v>
      </c>
      <c r="I301" t="s">
        <v>15</v>
      </c>
      <c r="J301" s="2">
        <f>Table1[[#This Row],[Profit]]/Table1[[#This Row],[Sales]]*100</f>
        <v>59.064112011790712</v>
      </c>
      <c r="K301" t="str">
        <f>IF(Table1[[#This Row],[Sales]]&gt;=30000,"High", IF(Table1[[#This Row],[Sales]]&gt;=15000,"Medium","Low"))</f>
        <v>High</v>
      </c>
      <c r="L301" t="str">
        <f>TEXT(Table1[[#This Row],[Order_Date]],"MMM")</f>
        <v>Dec</v>
      </c>
      <c r="M301" t="str">
        <f>IF(Table1[[#This Row],[Profit]]&gt;=10000,"Excellent",IF(Table1[[#This Row],[Profit]]&gt;5000,"Good","Low"))</f>
        <v>Excellent</v>
      </c>
      <c r="N301" t="str">
        <f>TEXT(Table1[[#This Row],[Order_Date]],"YYYY")</f>
        <v>2025</v>
      </c>
    </row>
    <row r="302" spans="1:14" x14ac:dyDescent="0.25">
      <c r="A302" s="1">
        <v>45671</v>
      </c>
      <c r="B302" t="s">
        <v>22</v>
      </c>
      <c r="C302" t="s">
        <v>36</v>
      </c>
      <c r="D302">
        <v>33166</v>
      </c>
      <c r="E302">
        <v>24753</v>
      </c>
      <c r="F302">
        <v>8413</v>
      </c>
      <c r="G302" t="s">
        <v>38</v>
      </c>
      <c r="H302" t="s">
        <v>20</v>
      </c>
      <c r="I302" t="s">
        <v>42</v>
      </c>
      <c r="J302" s="2">
        <f>Table1[[#This Row],[Profit]]/Table1[[#This Row],[Sales]]*100</f>
        <v>25.366339021889889</v>
      </c>
      <c r="K302" t="str">
        <f>IF(Table1[[#This Row],[Sales]]&gt;=30000,"High", IF(Table1[[#This Row],[Sales]]&gt;=15000,"Medium","Low"))</f>
        <v>High</v>
      </c>
      <c r="L302" t="str">
        <f>TEXT(Table1[[#This Row],[Order_Date]],"MMM")</f>
        <v>Jan</v>
      </c>
      <c r="M302" t="str">
        <f>IF(Table1[[#This Row],[Profit]]&gt;=10000,"Excellent",IF(Table1[[#This Row],[Profit]]&gt;5000,"Good","Low"))</f>
        <v>Good</v>
      </c>
      <c r="N302" t="str">
        <f>TEXT(Table1[[#This Row],[Order_Date]],"YYYY")</f>
        <v>2025</v>
      </c>
    </row>
    <row r="303" spans="1:14" x14ac:dyDescent="0.25">
      <c r="A303" s="1">
        <v>45458</v>
      </c>
      <c r="B303" t="s">
        <v>22</v>
      </c>
      <c r="C303" t="s">
        <v>12</v>
      </c>
      <c r="D303">
        <v>35382</v>
      </c>
      <c r="E303">
        <v>24909</v>
      </c>
      <c r="F303">
        <v>10473</v>
      </c>
      <c r="G303" t="s">
        <v>13</v>
      </c>
      <c r="H303" t="s">
        <v>63</v>
      </c>
      <c r="I303" t="s">
        <v>53</v>
      </c>
      <c r="J303" s="2">
        <f>Table1[[#This Row],[Profit]]/Table1[[#This Row],[Sales]]*100</f>
        <v>29.599796506698322</v>
      </c>
      <c r="K303" t="str">
        <f>IF(Table1[[#This Row],[Sales]]&gt;=30000,"High", IF(Table1[[#This Row],[Sales]]&gt;=15000,"Medium","Low"))</f>
        <v>High</v>
      </c>
      <c r="L303" t="str">
        <f>TEXT(Table1[[#This Row],[Order_Date]],"MMM")</f>
        <v>Jun</v>
      </c>
      <c r="M303" t="str">
        <f>IF(Table1[[#This Row],[Profit]]&gt;=10000,"Excellent",IF(Table1[[#This Row],[Profit]]&gt;5000,"Good","Low"))</f>
        <v>Excellent</v>
      </c>
      <c r="N303" t="str">
        <f>TEXT(Table1[[#This Row],[Order_Date]],"YYYY")</f>
        <v>2024</v>
      </c>
    </row>
    <row r="304" spans="1:14" x14ac:dyDescent="0.25">
      <c r="A304" s="1">
        <v>45521</v>
      </c>
      <c r="B304" t="s">
        <v>17</v>
      </c>
      <c r="C304" t="s">
        <v>33</v>
      </c>
      <c r="D304">
        <v>35965</v>
      </c>
      <c r="E304">
        <v>33205</v>
      </c>
      <c r="F304">
        <v>2760</v>
      </c>
      <c r="G304" t="s">
        <v>13</v>
      </c>
      <c r="H304" t="s">
        <v>63</v>
      </c>
      <c r="I304" t="s">
        <v>29</v>
      </c>
      <c r="J304" s="2">
        <f>Table1[[#This Row],[Profit]]/Table1[[#This Row],[Sales]]*100</f>
        <v>7.6741276240789666</v>
      </c>
      <c r="K304" t="str">
        <f>IF(Table1[[#This Row],[Sales]]&gt;=30000,"High", IF(Table1[[#This Row],[Sales]]&gt;=15000,"Medium","Low"))</f>
        <v>High</v>
      </c>
      <c r="L304" t="str">
        <f>TEXT(Table1[[#This Row],[Order_Date]],"MMM")</f>
        <v>Aug</v>
      </c>
      <c r="M304" t="str">
        <f>IF(Table1[[#This Row],[Profit]]&gt;=10000,"Excellent",IF(Table1[[#This Row],[Profit]]&gt;5000,"Good","Low"))</f>
        <v>Low</v>
      </c>
      <c r="N304" t="str">
        <f>TEXT(Table1[[#This Row],[Order_Date]],"YYYY")</f>
        <v>2024</v>
      </c>
    </row>
    <row r="305" spans="1:14" x14ac:dyDescent="0.25">
      <c r="A305" s="1">
        <v>45755</v>
      </c>
      <c r="B305" t="s">
        <v>22</v>
      </c>
      <c r="C305" t="s">
        <v>33</v>
      </c>
      <c r="D305">
        <v>45412</v>
      </c>
      <c r="E305">
        <v>39847</v>
      </c>
      <c r="F305">
        <v>5565</v>
      </c>
      <c r="G305" t="s">
        <v>38</v>
      </c>
      <c r="H305" t="s">
        <v>63</v>
      </c>
      <c r="I305" t="s">
        <v>15</v>
      </c>
      <c r="J305" s="2">
        <f>Table1[[#This Row],[Profit]]/Table1[[#This Row],[Sales]]*100</f>
        <v>12.254470184092311</v>
      </c>
      <c r="K305" t="str">
        <f>IF(Table1[[#This Row],[Sales]]&gt;=30000,"High", IF(Table1[[#This Row],[Sales]]&gt;=15000,"Medium","Low"))</f>
        <v>High</v>
      </c>
      <c r="L305" t="str">
        <f>TEXT(Table1[[#This Row],[Order_Date]],"MMM")</f>
        <v>Apr</v>
      </c>
      <c r="M305" t="str">
        <f>IF(Table1[[#This Row],[Profit]]&gt;=10000,"Excellent",IF(Table1[[#This Row],[Profit]]&gt;5000,"Good","Low"))</f>
        <v>Good</v>
      </c>
      <c r="N305" t="str">
        <f>TEXT(Table1[[#This Row],[Order_Date]],"YYYY")</f>
        <v>2025</v>
      </c>
    </row>
    <row r="306" spans="1:14" x14ac:dyDescent="0.25">
      <c r="A306" s="1">
        <v>45525</v>
      </c>
      <c r="B306" t="s">
        <v>17</v>
      </c>
      <c r="C306" t="s">
        <v>41</v>
      </c>
      <c r="D306">
        <v>18189</v>
      </c>
      <c r="E306">
        <v>8015</v>
      </c>
      <c r="F306">
        <v>10174</v>
      </c>
      <c r="G306" t="s">
        <v>38</v>
      </c>
      <c r="H306" t="s">
        <v>60</v>
      </c>
      <c r="I306" t="s">
        <v>15</v>
      </c>
      <c r="J306" s="2">
        <f>Table1[[#This Row],[Profit]]/Table1[[#This Row],[Sales]]*100</f>
        <v>55.934905712243662</v>
      </c>
      <c r="K306" t="str">
        <f>IF(Table1[[#This Row],[Sales]]&gt;=30000,"High", IF(Table1[[#This Row],[Sales]]&gt;=15000,"Medium","Low"))</f>
        <v>Medium</v>
      </c>
      <c r="L306" t="str">
        <f>TEXT(Table1[[#This Row],[Order_Date]],"MMM")</f>
        <v>Aug</v>
      </c>
      <c r="M306" t="str">
        <f>IF(Table1[[#This Row],[Profit]]&gt;=10000,"Excellent",IF(Table1[[#This Row],[Profit]]&gt;5000,"Good","Low"))</f>
        <v>Excellent</v>
      </c>
      <c r="N306" t="str">
        <f>TEXT(Table1[[#This Row],[Order_Date]],"YYYY")</f>
        <v>2024</v>
      </c>
    </row>
    <row r="307" spans="1:14" x14ac:dyDescent="0.25">
      <c r="A307" s="1">
        <v>45408</v>
      </c>
      <c r="B307" t="s">
        <v>11</v>
      </c>
      <c r="C307" t="s">
        <v>12</v>
      </c>
      <c r="D307">
        <v>23811</v>
      </c>
      <c r="E307">
        <v>12891</v>
      </c>
      <c r="F307">
        <v>10920</v>
      </c>
      <c r="G307" t="s">
        <v>27</v>
      </c>
      <c r="H307" t="s">
        <v>20</v>
      </c>
      <c r="I307" t="s">
        <v>29</v>
      </c>
      <c r="J307" s="2">
        <f>Table1[[#This Row],[Profit]]/Table1[[#This Row],[Sales]]*100</f>
        <v>45.861156608290287</v>
      </c>
      <c r="K307" t="str">
        <f>IF(Table1[[#This Row],[Sales]]&gt;=30000,"High", IF(Table1[[#This Row],[Sales]]&gt;=15000,"Medium","Low"))</f>
        <v>Medium</v>
      </c>
      <c r="L307" t="str">
        <f>TEXT(Table1[[#This Row],[Order_Date]],"MMM")</f>
        <v>Apr</v>
      </c>
      <c r="M307" t="str">
        <f>IF(Table1[[#This Row],[Profit]]&gt;=10000,"Excellent",IF(Table1[[#This Row],[Profit]]&gt;5000,"Good","Low"))</f>
        <v>Excellent</v>
      </c>
      <c r="N307" t="str">
        <f>TEXT(Table1[[#This Row],[Order_Date]],"YYYY")</f>
        <v>2024</v>
      </c>
    </row>
    <row r="308" spans="1:14" x14ac:dyDescent="0.25">
      <c r="A308" s="1">
        <v>46069</v>
      </c>
      <c r="B308" t="s">
        <v>11</v>
      </c>
      <c r="C308" t="s">
        <v>12</v>
      </c>
      <c r="D308">
        <v>38234</v>
      </c>
      <c r="E308">
        <v>33290</v>
      </c>
      <c r="F308">
        <v>4944</v>
      </c>
      <c r="G308" t="s">
        <v>38</v>
      </c>
      <c r="H308" t="s">
        <v>63</v>
      </c>
      <c r="I308" t="s">
        <v>53</v>
      </c>
      <c r="J308" s="2">
        <f>Table1[[#This Row],[Profit]]/Table1[[#This Row],[Sales]]*100</f>
        <v>12.93089919966522</v>
      </c>
      <c r="K308" t="str">
        <f>IF(Table1[[#This Row],[Sales]]&gt;=30000,"High", IF(Table1[[#This Row],[Sales]]&gt;=15000,"Medium","Low"))</f>
        <v>High</v>
      </c>
      <c r="L308" t="str">
        <f>TEXT(Table1[[#This Row],[Order_Date]],"MMM")</f>
        <v>Feb</v>
      </c>
      <c r="M308" t="str">
        <f>IF(Table1[[#This Row],[Profit]]&gt;=10000,"Excellent",IF(Table1[[#This Row],[Profit]]&gt;5000,"Good","Low"))</f>
        <v>Low</v>
      </c>
      <c r="N308" t="str">
        <f>TEXT(Table1[[#This Row],[Order_Date]],"YYYY")</f>
        <v>2026</v>
      </c>
    </row>
    <row r="309" spans="1:14" x14ac:dyDescent="0.25">
      <c r="A309" s="1">
        <v>45220</v>
      </c>
      <c r="B309" t="s">
        <v>11</v>
      </c>
      <c r="C309" t="s">
        <v>18</v>
      </c>
      <c r="D309">
        <v>21003</v>
      </c>
      <c r="E309">
        <v>15961</v>
      </c>
      <c r="F309">
        <v>5042</v>
      </c>
      <c r="G309" t="s">
        <v>27</v>
      </c>
      <c r="H309" t="s">
        <v>78</v>
      </c>
      <c r="I309" t="s">
        <v>42</v>
      </c>
      <c r="J309" s="2">
        <f>Table1[[#This Row],[Profit]]/Table1[[#This Row],[Sales]]*100</f>
        <v>24.006094367471313</v>
      </c>
      <c r="K309" t="str">
        <f>IF(Table1[[#This Row],[Sales]]&gt;=30000,"High", IF(Table1[[#This Row],[Sales]]&gt;=15000,"Medium","Low"))</f>
        <v>Medium</v>
      </c>
      <c r="L309" t="str">
        <f>TEXT(Table1[[#This Row],[Order_Date]],"MMM")</f>
        <v>Oct</v>
      </c>
      <c r="M309" t="str">
        <f>IF(Table1[[#This Row],[Profit]]&gt;=10000,"Excellent",IF(Table1[[#This Row],[Profit]]&gt;5000,"Good","Low"))</f>
        <v>Good</v>
      </c>
      <c r="N309" t="str">
        <f>TEXT(Table1[[#This Row],[Order_Date]],"YYYY")</f>
        <v>2023</v>
      </c>
    </row>
    <row r="310" spans="1:14" x14ac:dyDescent="0.25">
      <c r="A310" s="1">
        <v>45285</v>
      </c>
      <c r="B310" t="s">
        <v>17</v>
      </c>
      <c r="C310" t="s">
        <v>18</v>
      </c>
      <c r="D310">
        <v>28941</v>
      </c>
      <c r="E310">
        <v>11366</v>
      </c>
      <c r="F310">
        <v>17575</v>
      </c>
      <c r="G310" t="s">
        <v>38</v>
      </c>
      <c r="H310" t="s">
        <v>60</v>
      </c>
      <c r="I310" t="s">
        <v>15</v>
      </c>
      <c r="J310" s="2">
        <f>Table1[[#This Row],[Profit]]/Table1[[#This Row],[Sales]]*100</f>
        <v>60.72699630282299</v>
      </c>
      <c r="K310" t="str">
        <f>IF(Table1[[#This Row],[Sales]]&gt;=30000,"High", IF(Table1[[#This Row],[Sales]]&gt;=15000,"Medium","Low"))</f>
        <v>Medium</v>
      </c>
      <c r="L310" t="str">
        <f>TEXT(Table1[[#This Row],[Order_Date]],"MMM")</f>
        <v>Dec</v>
      </c>
      <c r="M310" t="str">
        <f>IF(Table1[[#This Row],[Profit]]&gt;=10000,"Excellent",IF(Table1[[#This Row],[Profit]]&gt;5000,"Good","Low"))</f>
        <v>Excellent</v>
      </c>
      <c r="N310" t="str">
        <f>TEXT(Table1[[#This Row],[Order_Date]],"YYYY")</f>
        <v>2023</v>
      </c>
    </row>
    <row r="311" spans="1:14" x14ac:dyDescent="0.25">
      <c r="A311" s="1">
        <v>45420</v>
      </c>
      <c r="B311" t="s">
        <v>17</v>
      </c>
      <c r="C311" t="s">
        <v>36</v>
      </c>
      <c r="D311">
        <v>47044</v>
      </c>
      <c r="E311">
        <v>40596</v>
      </c>
      <c r="F311">
        <v>6448</v>
      </c>
      <c r="G311" t="s">
        <v>13</v>
      </c>
      <c r="H311" t="s">
        <v>60</v>
      </c>
      <c r="I311" t="s">
        <v>29</v>
      </c>
      <c r="J311" s="2">
        <f>Table1[[#This Row],[Profit]]/Table1[[#This Row],[Sales]]*100</f>
        <v>13.706317490009354</v>
      </c>
      <c r="K311" t="str">
        <f>IF(Table1[[#This Row],[Sales]]&gt;=30000,"High", IF(Table1[[#This Row],[Sales]]&gt;=15000,"Medium","Low"))</f>
        <v>High</v>
      </c>
      <c r="L311" t="str">
        <f>TEXT(Table1[[#This Row],[Order_Date]],"MMM")</f>
        <v>May</v>
      </c>
      <c r="M311" t="str">
        <f>IF(Table1[[#This Row],[Profit]]&gt;=10000,"Excellent",IF(Table1[[#This Row],[Profit]]&gt;5000,"Good","Low"))</f>
        <v>Good</v>
      </c>
      <c r="N311" t="str">
        <f>TEXT(Table1[[#This Row],[Order_Date]],"YYYY")</f>
        <v>2024</v>
      </c>
    </row>
    <row r="312" spans="1:14" x14ac:dyDescent="0.25">
      <c r="A312" s="1">
        <v>45438</v>
      </c>
      <c r="B312" t="s">
        <v>17</v>
      </c>
      <c r="C312" t="s">
        <v>33</v>
      </c>
      <c r="D312">
        <v>16039</v>
      </c>
      <c r="E312">
        <v>6460</v>
      </c>
      <c r="F312">
        <v>9579</v>
      </c>
      <c r="G312" t="s">
        <v>19</v>
      </c>
      <c r="H312" t="s">
        <v>31</v>
      </c>
      <c r="I312" t="s">
        <v>42</v>
      </c>
      <c r="J312" s="2">
        <f>Table1[[#This Row],[Profit]]/Table1[[#This Row],[Sales]]*100</f>
        <v>59.723174761518791</v>
      </c>
      <c r="K312" t="str">
        <f>IF(Table1[[#This Row],[Sales]]&gt;=30000,"High", IF(Table1[[#This Row],[Sales]]&gt;=15000,"Medium","Low"))</f>
        <v>Medium</v>
      </c>
      <c r="L312" t="str">
        <f>TEXT(Table1[[#This Row],[Order_Date]],"MMM")</f>
        <v>May</v>
      </c>
      <c r="M312" t="str">
        <f>IF(Table1[[#This Row],[Profit]]&gt;=10000,"Excellent",IF(Table1[[#This Row],[Profit]]&gt;5000,"Good","Low"))</f>
        <v>Good</v>
      </c>
      <c r="N312" t="str">
        <f>TEXT(Table1[[#This Row],[Order_Date]],"YYYY")</f>
        <v>2024</v>
      </c>
    </row>
    <row r="313" spans="1:14" x14ac:dyDescent="0.25">
      <c r="A313" s="1">
        <v>45841</v>
      </c>
      <c r="B313" t="s">
        <v>17</v>
      </c>
      <c r="C313" t="s">
        <v>12</v>
      </c>
      <c r="D313">
        <v>9812</v>
      </c>
      <c r="E313">
        <v>663</v>
      </c>
      <c r="F313">
        <v>9149</v>
      </c>
      <c r="G313" t="s">
        <v>19</v>
      </c>
      <c r="H313" t="s">
        <v>31</v>
      </c>
      <c r="I313" t="s">
        <v>15</v>
      </c>
      <c r="J313" s="2">
        <f>Table1[[#This Row],[Profit]]/Table1[[#This Row],[Sales]]*100</f>
        <v>93.242967794537307</v>
      </c>
      <c r="K313" t="str">
        <f>IF(Table1[[#This Row],[Sales]]&gt;=30000,"High", IF(Table1[[#This Row],[Sales]]&gt;=15000,"Medium","Low"))</f>
        <v>Low</v>
      </c>
      <c r="L313" t="str">
        <f>TEXT(Table1[[#This Row],[Order_Date]],"MMM")</f>
        <v>Jul</v>
      </c>
      <c r="M313" t="str">
        <f>IF(Table1[[#This Row],[Profit]]&gt;=10000,"Excellent",IF(Table1[[#This Row],[Profit]]&gt;5000,"Good","Low"))</f>
        <v>Good</v>
      </c>
      <c r="N313" t="str">
        <f>TEXT(Table1[[#This Row],[Order_Date]],"YYYY")</f>
        <v>2025</v>
      </c>
    </row>
    <row r="314" spans="1:14" x14ac:dyDescent="0.25">
      <c r="A314" s="1">
        <v>45792</v>
      </c>
      <c r="B314" t="s">
        <v>17</v>
      </c>
      <c r="C314" t="s">
        <v>36</v>
      </c>
      <c r="D314">
        <v>38876</v>
      </c>
      <c r="E314">
        <v>36649</v>
      </c>
      <c r="F314">
        <v>2227</v>
      </c>
      <c r="G314" t="s">
        <v>19</v>
      </c>
      <c r="H314" t="s">
        <v>20</v>
      </c>
      <c r="I314" t="s">
        <v>53</v>
      </c>
      <c r="J314" s="2">
        <f>Table1[[#This Row],[Profit]]/Table1[[#This Row],[Sales]]*100</f>
        <v>5.7284700072023877</v>
      </c>
      <c r="K314" t="str">
        <f>IF(Table1[[#This Row],[Sales]]&gt;=30000,"High", IF(Table1[[#This Row],[Sales]]&gt;=15000,"Medium","Low"))</f>
        <v>High</v>
      </c>
      <c r="L314" t="str">
        <f>TEXT(Table1[[#This Row],[Order_Date]],"MMM")</f>
        <v>May</v>
      </c>
      <c r="M314" t="str">
        <f>IF(Table1[[#This Row],[Profit]]&gt;=10000,"Excellent",IF(Table1[[#This Row],[Profit]]&gt;5000,"Good","Low"))</f>
        <v>Low</v>
      </c>
      <c r="N314" t="str">
        <f>TEXT(Table1[[#This Row],[Order_Date]],"YYYY")</f>
        <v>2025</v>
      </c>
    </row>
    <row r="315" spans="1:14" x14ac:dyDescent="0.25">
      <c r="A315" s="1">
        <v>45134</v>
      </c>
      <c r="B315" t="s">
        <v>17</v>
      </c>
      <c r="C315" t="s">
        <v>36</v>
      </c>
      <c r="D315">
        <v>16405</v>
      </c>
      <c r="E315">
        <v>15161</v>
      </c>
      <c r="F315">
        <v>1244</v>
      </c>
      <c r="G315" t="s">
        <v>27</v>
      </c>
      <c r="H315" t="s">
        <v>45</v>
      </c>
      <c r="I315" t="s">
        <v>42</v>
      </c>
      <c r="J315" s="2">
        <f>Table1[[#This Row],[Profit]]/Table1[[#This Row],[Sales]]*100</f>
        <v>7.5830539469673885</v>
      </c>
      <c r="K315" t="str">
        <f>IF(Table1[[#This Row],[Sales]]&gt;=30000,"High", IF(Table1[[#This Row],[Sales]]&gt;=15000,"Medium","Low"))</f>
        <v>Medium</v>
      </c>
      <c r="L315" t="str">
        <f>TEXT(Table1[[#This Row],[Order_Date]],"MMM")</f>
        <v>Jul</v>
      </c>
      <c r="M315" t="str">
        <f>IF(Table1[[#This Row],[Profit]]&gt;=10000,"Excellent",IF(Table1[[#This Row],[Profit]]&gt;5000,"Good","Low"))</f>
        <v>Low</v>
      </c>
      <c r="N315" t="str">
        <f>TEXT(Table1[[#This Row],[Order_Date]],"YYYY")</f>
        <v>2023</v>
      </c>
    </row>
    <row r="316" spans="1:14" x14ac:dyDescent="0.25">
      <c r="A316" s="1">
        <v>45151</v>
      </c>
      <c r="B316" t="s">
        <v>11</v>
      </c>
      <c r="C316" t="s">
        <v>33</v>
      </c>
      <c r="D316">
        <v>25749</v>
      </c>
      <c r="E316">
        <v>17074</v>
      </c>
      <c r="F316">
        <v>8675</v>
      </c>
      <c r="G316" t="s">
        <v>13</v>
      </c>
      <c r="H316" t="s">
        <v>63</v>
      </c>
      <c r="I316" t="s">
        <v>42</v>
      </c>
      <c r="J316" s="2">
        <f>Table1[[#This Row],[Profit]]/Table1[[#This Row],[Sales]]*100</f>
        <v>33.690628762282032</v>
      </c>
      <c r="K316" t="str">
        <f>IF(Table1[[#This Row],[Sales]]&gt;=30000,"High", IF(Table1[[#This Row],[Sales]]&gt;=15000,"Medium","Low"))</f>
        <v>Medium</v>
      </c>
      <c r="L316" t="str">
        <f>TEXT(Table1[[#This Row],[Order_Date]],"MMM")</f>
        <v>Aug</v>
      </c>
      <c r="M316" t="str">
        <f>IF(Table1[[#This Row],[Profit]]&gt;=10000,"Excellent",IF(Table1[[#This Row],[Profit]]&gt;5000,"Good","Low"))</f>
        <v>Good</v>
      </c>
      <c r="N316" t="str">
        <f>TEXT(Table1[[#This Row],[Order_Date]],"YYYY")</f>
        <v>2023</v>
      </c>
    </row>
    <row r="317" spans="1:14" x14ac:dyDescent="0.25">
      <c r="A317" s="1">
        <v>45528</v>
      </c>
      <c r="B317" t="s">
        <v>44</v>
      </c>
      <c r="C317" t="s">
        <v>33</v>
      </c>
      <c r="D317">
        <v>36669</v>
      </c>
      <c r="E317">
        <v>26186</v>
      </c>
      <c r="F317">
        <v>10483</v>
      </c>
      <c r="G317" t="s">
        <v>38</v>
      </c>
      <c r="H317" t="s">
        <v>31</v>
      </c>
      <c r="I317" t="s">
        <v>24</v>
      </c>
      <c r="J317" s="2">
        <f>Table1[[#This Row],[Profit]]/Table1[[#This Row],[Sales]]*100</f>
        <v>28.588180752133958</v>
      </c>
      <c r="K317" t="str">
        <f>IF(Table1[[#This Row],[Sales]]&gt;=30000,"High", IF(Table1[[#This Row],[Sales]]&gt;=15000,"Medium","Low"))</f>
        <v>High</v>
      </c>
      <c r="L317" t="str">
        <f>TEXT(Table1[[#This Row],[Order_Date]],"MMM")</f>
        <v>Aug</v>
      </c>
      <c r="M317" t="str">
        <f>IF(Table1[[#This Row],[Profit]]&gt;=10000,"Excellent",IF(Table1[[#This Row],[Profit]]&gt;5000,"Good","Low"))</f>
        <v>Excellent</v>
      </c>
      <c r="N317" t="str">
        <f>TEXT(Table1[[#This Row],[Order_Date]],"YYYY")</f>
        <v>2024</v>
      </c>
    </row>
    <row r="318" spans="1:14" x14ac:dyDescent="0.25">
      <c r="A318" s="1">
        <v>45183</v>
      </c>
      <c r="B318" t="s">
        <v>26</v>
      </c>
      <c r="C318" t="s">
        <v>18</v>
      </c>
      <c r="D318">
        <v>7866</v>
      </c>
      <c r="E318">
        <v>5532</v>
      </c>
      <c r="F318">
        <v>2334</v>
      </c>
      <c r="G318" t="s">
        <v>13</v>
      </c>
      <c r="H318" t="s">
        <v>14</v>
      </c>
      <c r="I318" t="s">
        <v>29</v>
      </c>
      <c r="J318" s="2">
        <f>Table1[[#This Row],[Profit]]/Table1[[#This Row],[Sales]]*100</f>
        <v>29.672006102212052</v>
      </c>
      <c r="K318" t="str">
        <f>IF(Table1[[#This Row],[Sales]]&gt;=30000,"High", IF(Table1[[#This Row],[Sales]]&gt;=15000,"Medium","Low"))</f>
        <v>Low</v>
      </c>
      <c r="L318" t="str">
        <f>TEXT(Table1[[#This Row],[Order_Date]],"MMM")</f>
        <v>Sep</v>
      </c>
      <c r="M318" t="str">
        <f>IF(Table1[[#This Row],[Profit]]&gt;=10000,"Excellent",IF(Table1[[#This Row],[Profit]]&gt;5000,"Good","Low"))</f>
        <v>Low</v>
      </c>
      <c r="N318" t="str">
        <f>TEXT(Table1[[#This Row],[Order_Date]],"YYYY")</f>
        <v>2023</v>
      </c>
    </row>
    <row r="319" spans="1:14" x14ac:dyDescent="0.25">
      <c r="A319" s="1">
        <v>46020</v>
      </c>
      <c r="B319" t="s">
        <v>17</v>
      </c>
      <c r="C319" t="s">
        <v>33</v>
      </c>
      <c r="D319">
        <v>30772</v>
      </c>
      <c r="E319">
        <v>24098</v>
      </c>
      <c r="F319">
        <v>6674</v>
      </c>
      <c r="G319" t="s">
        <v>27</v>
      </c>
      <c r="H319" t="s">
        <v>31</v>
      </c>
      <c r="I319" t="s">
        <v>29</v>
      </c>
      <c r="J319" s="2">
        <f>Table1[[#This Row],[Profit]]/Table1[[#This Row],[Sales]]*100</f>
        <v>21.688548030677239</v>
      </c>
      <c r="K319" t="str">
        <f>IF(Table1[[#This Row],[Sales]]&gt;=30000,"High", IF(Table1[[#This Row],[Sales]]&gt;=15000,"Medium","Low"))</f>
        <v>High</v>
      </c>
      <c r="L319" t="str">
        <f>TEXT(Table1[[#This Row],[Order_Date]],"MMM")</f>
        <v>Dec</v>
      </c>
      <c r="M319" t="str">
        <f>IF(Table1[[#This Row],[Profit]]&gt;=10000,"Excellent",IF(Table1[[#This Row],[Profit]]&gt;5000,"Good","Low"))</f>
        <v>Good</v>
      </c>
      <c r="N319" t="str">
        <f>TEXT(Table1[[#This Row],[Order_Date]],"YYYY")</f>
        <v>2025</v>
      </c>
    </row>
    <row r="320" spans="1:14" x14ac:dyDescent="0.25">
      <c r="A320" s="1">
        <v>45244</v>
      </c>
      <c r="B320" t="s">
        <v>17</v>
      </c>
      <c r="C320" t="s">
        <v>12</v>
      </c>
      <c r="D320">
        <v>38929</v>
      </c>
      <c r="E320">
        <v>38149</v>
      </c>
      <c r="F320">
        <v>780</v>
      </c>
      <c r="G320" t="s">
        <v>19</v>
      </c>
      <c r="H320" t="s">
        <v>63</v>
      </c>
      <c r="I320" t="s">
        <v>15</v>
      </c>
      <c r="J320" s="2">
        <f>Table1[[#This Row],[Profit]]/Table1[[#This Row],[Sales]]*100</f>
        <v>2.0036476662642246</v>
      </c>
      <c r="K320" t="str">
        <f>IF(Table1[[#This Row],[Sales]]&gt;=30000,"High", IF(Table1[[#This Row],[Sales]]&gt;=15000,"Medium","Low"))</f>
        <v>High</v>
      </c>
      <c r="L320" t="str">
        <f>TEXT(Table1[[#This Row],[Order_Date]],"MMM")</f>
        <v>Nov</v>
      </c>
      <c r="M320" t="str">
        <f>IF(Table1[[#This Row],[Profit]]&gt;=10000,"Excellent",IF(Table1[[#This Row],[Profit]]&gt;5000,"Good","Low"))</f>
        <v>Low</v>
      </c>
      <c r="N320" t="str">
        <f>TEXT(Table1[[#This Row],[Order_Date]],"YYYY")</f>
        <v>2023</v>
      </c>
    </row>
    <row r="321" spans="1:14" x14ac:dyDescent="0.25">
      <c r="A321" s="1">
        <v>45734</v>
      </c>
      <c r="B321" t="s">
        <v>22</v>
      </c>
      <c r="C321" t="s">
        <v>18</v>
      </c>
      <c r="D321">
        <v>35474</v>
      </c>
      <c r="E321">
        <v>34077</v>
      </c>
      <c r="F321">
        <v>1397</v>
      </c>
      <c r="G321" t="s">
        <v>27</v>
      </c>
      <c r="H321" t="s">
        <v>34</v>
      </c>
      <c r="I321" t="s">
        <v>15</v>
      </c>
      <c r="J321" s="2">
        <f>Table1[[#This Row],[Profit]]/Table1[[#This Row],[Sales]]*100</f>
        <v>3.9380955065681906</v>
      </c>
      <c r="K321" t="str">
        <f>IF(Table1[[#This Row],[Sales]]&gt;=30000,"High", IF(Table1[[#This Row],[Sales]]&gt;=15000,"Medium","Low"))</f>
        <v>High</v>
      </c>
      <c r="L321" t="str">
        <f>TEXT(Table1[[#This Row],[Order_Date]],"MMM")</f>
        <v>Mar</v>
      </c>
      <c r="M321" t="str">
        <f>IF(Table1[[#This Row],[Profit]]&gt;=10000,"Excellent",IF(Table1[[#This Row],[Profit]]&gt;5000,"Good","Low"))</f>
        <v>Low</v>
      </c>
      <c r="N321" t="str">
        <f>TEXT(Table1[[#This Row],[Order_Date]],"YYYY")</f>
        <v>2025</v>
      </c>
    </row>
    <row r="322" spans="1:14" x14ac:dyDescent="0.25">
      <c r="A322" s="1">
        <v>45670</v>
      </c>
      <c r="B322" t="s">
        <v>22</v>
      </c>
      <c r="C322" t="s">
        <v>41</v>
      </c>
      <c r="D322">
        <v>11941</v>
      </c>
      <c r="E322">
        <v>7380</v>
      </c>
      <c r="F322">
        <v>4561</v>
      </c>
      <c r="G322" t="s">
        <v>13</v>
      </c>
      <c r="H322" t="s">
        <v>78</v>
      </c>
      <c r="I322" t="s">
        <v>29</v>
      </c>
      <c r="J322" s="2">
        <f>Table1[[#This Row],[Profit]]/Table1[[#This Row],[Sales]]*100</f>
        <v>38.196130977305081</v>
      </c>
      <c r="K322" t="str">
        <f>IF(Table1[[#This Row],[Sales]]&gt;=30000,"High", IF(Table1[[#This Row],[Sales]]&gt;=15000,"Medium","Low"))</f>
        <v>Low</v>
      </c>
      <c r="L322" t="str">
        <f>TEXT(Table1[[#This Row],[Order_Date]],"MMM")</f>
        <v>Jan</v>
      </c>
      <c r="M322" t="str">
        <f>IF(Table1[[#This Row],[Profit]]&gt;=10000,"Excellent",IF(Table1[[#This Row],[Profit]]&gt;5000,"Good","Low"))</f>
        <v>Low</v>
      </c>
      <c r="N322" t="str">
        <f>TEXT(Table1[[#This Row],[Order_Date]],"YYYY")</f>
        <v>2025</v>
      </c>
    </row>
    <row r="323" spans="1:14" x14ac:dyDescent="0.25">
      <c r="A323" s="1">
        <v>45514</v>
      </c>
      <c r="B323" t="s">
        <v>17</v>
      </c>
      <c r="C323" t="s">
        <v>33</v>
      </c>
      <c r="D323">
        <v>17139</v>
      </c>
      <c r="E323">
        <v>917</v>
      </c>
      <c r="F323">
        <v>16222</v>
      </c>
      <c r="G323" t="s">
        <v>27</v>
      </c>
      <c r="H323" t="s">
        <v>63</v>
      </c>
      <c r="I323" t="s">
        <v>29</v>
      </c>
      <c r="J323" s="2">
        <f>Table1[[#This Row],[Profit]]/Table1[[#This Row],[Sales]]*100</f>
        <v>94.649629499970828</v>
      </c>
      <c r="K323" t="str">
        <f>IF(Table1[[#This Row],[Sales]]&gt;=30000,"High", IF(Table1[[#This Row],[Sales]]&gt;=15000,"Medium","Low"))</f>
        <v>Medium</v>
      </c>
      <c r="L323" t="str">
        <f>TEXT(Table1[[#This Row],[Order_Date]],"MMM")</f>
        <v>Aug</v>
      </c>
      <c r="M323" t="str">
        <f>IF(Table1[[#This Row],[Profit]]&gt;=10000,"Excellent",IF(Table1[[#This Row],[Profit]]&gt;5000,"Good","Low"))</f>
        <v>Excellent</v>
      </c>
      <c r="N323" t="str">
        <f>TEXT(Table1[[#This Row],[Order_Date]],"YYYY")</f>
        <v>2024</v>
      </c>
    </row>
    <row r="324" spans="1:14" x14ac:dyDescent="0.25">
      <c r="A324" s="1">
        <v>46048</v>
      </c>
      <c r="B324" t="s">
        <v>22</v>
      </c>
      <c r="C324" t="s">
        <v>12</v>
      </c>
      <c r="D324">
        <v>24863</v>
      </c>
      <c r="E324">
        <v>10287</v>
      </c>
      <c r="F324">
        <v>14576</v>
      </c>
      <c r="G324" t="s">
        <v>38</v>
      </c>
      <c r="H324" t="s">
        <v>45</v>
      </c>
      <c r="I324" t="s">
        <v>24</v>
      </c>
      <c r="J324" s="2">
        <f>Table1[[#This Row],[Profit]]/Table1[[#This Row],[Sales]]*100</f>
        <v>58.625266460201907</v>
      </c>
      <c r="K324" t="str">
        <f>IF(Table1[[#This Row],[Sales]]&gt;=30000,"High", IF(Table1[[#This Row],[Sales]]&gt;=15000,"Medium","Low"))</f>
        <v>Medium</v>
      </c>
      <c r="L324" t="str">
        <f>TEXT(Table1[[#This Row],[Order_Date]],"MMM")</f>
        <v>Jan</v>
      </c>
      <c r="M324" t="str">
        <f>IF(Table1[[#This Row],[Profit]]&gt;=10000,"Excellent",IF(Table1[[#This Row],[Profit]]&gt;5000,"Good","Low"))</f>
        <v>Excellent</v>
      </c>
      <c r="N324" t="str">
        <f>TEXT(Table1[[#This Row],[Order_Date]],"YYYY")</f>
        <v>2026</v>
      </c>
    </row>
    <row r="325" spans="1:14" x14ac:dyDescent="0.25">
      <c r="A325" s="1">
        <v>45739</v>
      </c>
      <c r="B325" t="s">
        <v>17</v>
      </c>
      <c r="C325" t="s">
        <v>18</v>
      </c>
      <c r="D325">
        <v>5616</v>
      </c>
      <c r="E325">
        <v>4503</v>
      </c>
      <c r="F325">
        <v>1113</v>
      </c>
      <c r="G325" t="s">
        <v>19</v>
      </c>
      <c r="H325" t="s">
        <v>63</v>
      </c>
      <c r="I325" t="s">
        <v>42</v>
      </c>
      <c r="J325" s="2">
        <f>Table1[[#This Row],[Profit]]/Table1[[#This Row],[Sales]]*100</f>
        <v>19.818376068376068</v>
      </c>
      <c r="K325" t="str">
        <f>IF(Table1[[#This Row],[Sales]]&gt;=30000,"High", IF(Table1[[#This Row],[Sales]]&gt;=15000,"Medium","Low"))</f>
        <v>Low</v>
      </c>
      <c r="L325" t="str">
        <f>TEXT(Table1[[#This Row],[Order_Date]],"MMM")</f>
        <v>Mar</v>
      </c>
      <c r="M325" t="str">
        <f>IF(Table1[[#This Row],[Profit]]&gt;=10000,"Excellent",IF(Table1[[#This Row],[Profit]]&gt;5000,"Good","Low"))</f>
        <v>Low</v>
      </c>
      <c r="N325" t="str">
        <f>TEXT(Table1[[#This Row],[Order_Date]],"YYYY")</f>
        <v>2025</v>
      </c>
    </row>
    <row r="326" spans="1:14" x14ac:dyDescent="0.25">
      <c r="A326" s="1">
        <v>45900</v>
      </c>
      <c r="B326" t="s">
        <v>44</v>
      </c>
      <c r="C326" t="s">
        <v>18</v>
      </c>
      <c r="D326">
        <v>11220</v>
      </c>
      <c r="E326">
        <v>6887</v>
      </c>
      <c r="F326">
        <v>4333</v>
      </c>
      <c r="G326" t="s">
        <v>13</v>
      </c>
      <c r="H326" t="s">
        <v>63</v>
      </c>
      <c r="I326" t="s">
        <v>42</v>
      </c>
      <c r="J326" s="2">
        <f>Table1[[#This Row],[Profit]]/Table1[[#This Row],[Sales]]*100</f>
        <v>38.618538324420676</v>
      </c>
      <c r="K326" t="str">
        <f>IF(Table1[[#This Row],[Sales]]&gt;=30000,"High", IF(Table1[[#This Row],[Sales]]&gt;=15000,"Medium","Low"))</f>
        <v>Low</v>
      </c>
      <c r="L326" t="str">
        <f>TEXT(Table1[[#This Row],[Order_Date]],"MMM")</f>
        <v>Aug</v>
      </c>
      <c r="M326" t="str">
        <f>IF(Table1[[#This Row],[Profit]]&gt;=10000,"Excellent",IF(Table1[[#This Row],[Profit]]&gt;5000,"Good","Low"))</f>
        <v>Low</v>
      </c>
      <c r="N326" t="str">
        <f>TEXT(Table1[[#This Row],[Order_Date]],"YYYY")</f>
        <v>2025</v>
      </c>
    </row>
    <row r="327" spans="1:14" x14ac:dyDescent="0.25">
      <c r="A327" s="1">
        <v>45840</v>
      </c>
      <c r="B327" t="s">
        <v>11</v>
      </c>
      <c r="C327" t="s">
        <v>41</v>
      </c>
      <c r="D327">
        <v>41478</v>
      </c>
      <c r="E327">
        <v>38701</v>
      </c>
      <c r="F327">
        <v>2777</v>
      </c>
      <c r="G327" t="s">
        <v>13</v>
      </c>
      <c r="H327" t="s">
        <v>23</v>
      </c>
      <c r="I327" t="s">
        <v>24</v>
      </c>
      <c r="J327" s="2">
        <f>Table1[[#This Row],[Profit]]/Table1[[#This Row],[Sales]]*100</f>
        <v>6.6951154829066013</v>
      </c>
      <c r="K327" t="str">
        <f>IF(Table1[[#This Row],[Sales]]&gt;=30000,"High", IF(Table1[[#This Row],[Sales]]&gt;=15000,"Medium","Low"))</f>
        <v>High</v>
      </c>
      <c r="L327" t="str">
        <f>TEXT(Table1[[#This Row],[Order_Date]],"MMM")</f>
        <v>Jul</v>
      </c>
      <c r="M327" t="str">
        <f>IF(Table1[[#This Row],[Profit]]&gt;=10000,"Excellent",IF(Table1[[#This Row],[Profit]]&gt;5000,"Good","Low"))</f>
        <v>Low</v>
      </c>
      <c r="N327" t="str">
        <f>TEXT(Table1[[#This Row],[Order_Date]],"YYYY")</f>
        <v>2025</v>
      </c>
    </row>
    <row r="328" spans="1:14" x14ac:dyDescent="0.25">
      <c r="A328" s="1">
        <v>45121</v>
      </c>
      <c r="B328" t="s">
        <v>22</v>
      </c>
      <c r="C328" t="s">
        <v>12</v>
      </c>
      <c r="D328">
        <v>6655</v>
      </c>
      <c r="E328">
        <v>1230</v>
      </c>
      <c r="F328">
        <v>5425</v>
      </c>
      <c r="G328" t="s">
        <v>38</v>
      </c>
      <c r="H328" t="s">
        <v>45</v>
      </c>
      <c r="I328" t="s">
        <v>15</v>
      </c>
      <c r="J328" s="2">
        <f>Table1[[#This Row],[Profit]]/Table1[[#This Row],[Sales]]*100</f>
        <v>81.517655897821186</v>
      </c>
      <c r="K328" t="str">
        <f>IF(Table1[[#This Row],[Sales]]&gt;=30000,"High", IF(Table1[[#This Row],[Sales]]&gt;=15000,"Medium","Low"))</f>
        <v>Low</v>
      </c>
      <c r="L328" t="str">
        <f>TEXT(Table1[[#This Row],[Order_Date]],"MMM")</f>
        <v>Jul</v>
      </c>
      <c r="M328" t="str">
        <f>IF(Table1[[#This Row],[Profit]]&gt;=10000,"Excellent",IF(Table1[[#This Row],[Profit]]&gt;5000,"Good","Low"))</f>
        <v>Good</v>
      </c>
      <c r="N328" t="str">
        <f>TEXT(Table1[[#This Row],[Order_Date]],"YYYY")</f>
        <v>2023</v>
      </c>
    </row>
    <row r="329" spans="1:14" x14ac:dyDescent="0.25">
      <c r="A329" s="1">
        <v>46072</v>
      </c>
      <c r="B329" t="s">
        <v>26</v>
      </c>
      <c r="C329" t="s">
        <v>33</v>
      </c>
      <c r="D329">
        <v>9521</v>
      </c>
      <c r="E329">
        <v>8216</v>
      </c>
      <c r="F329">
        <v>1305</v>
      </c>
      <c r="G329" t="s">
        <v>13</v>
      </c>
      <c r="H329" t="s">
        <v>34</v>
      </c>
      <c r="I329" t="s">
        <v>53</v>
      </c>
      <c r="J329" s="2">
        <f>Table1[[#This Row],[Profit]]/Table1[[#This Row],[Sales]]*100</f>
        <v>13.706543430311942</v>
      </c>
      <c r="K329" t="str">
        <f>IF(Table1[[#This Row],[Sales]]&gt;=30000,"High", IF(Table1[[#This Row],[Sales]]&gt;=15000,"Medium","Low"))</f>
        <v>Low</v>
      </c>
      <c r="L329" t="str">
        <f>TEXT(Table1[[#This Row],[Order_Date]],"MMM")</f>
        <v>Feb</v>
      </c>
      <c r="M329" t="str">
        <f>IF(Table1[[#This Row],[Profit]]&gt;=10000,"Excellent",IF(Table1[[#This Row],[Profit]]&gt;5000,"Good","Low"))</f>
        <v>Low</v>
      </c>
      <c r="N329" t="str">
        <f>TEXT(Table1[[#This Row],[Order_Date]],"YYYY")</f>
        <v>2026</v>
      </c>
    </row>
    <row r="330" spans="1:14" x14ac:dyDescent="0.25">
      <c r="A330" s="1">
        <v>45501</v>
      </c>
      <c r="B330" t="s">
        <v>17</v>
      </c>
      <c r="C330" t="s">
        <v>18</v>
      </c>
      <c r="D330">
        <v>12621</v>
      </c>
      <c r="E330">
        <v>6953</v>
      </c>
      <c r="F330">
        <v>5668</v>
      </c>
      <c r="G330" t="s">
        <v>27</v>
      </c>
      <c r="H330" t="s">
        <v>63</v>
      </c>
      <c r="I330" t="s">
        <v>53</v>
      </c>
      <c r="J330" s="2">
        <f>Table1[[#This Row],[Profit]]/Table1[[#This Row],[Sales]]*100</f>
        <v>44.909278187148402</v>
      </c>
      <c r="K330" t="str">
        <f>IF(Table1[[#This Row],[Sales]]&gt;=30000,"High", IF(Table1[[#This Row],[Sales]]&gt;=15000,"Medium","Low"))</f>
        <v>Low</v>
      </c>
      <c r="L330" t="str">
        <f>TEXT(Table1[[#This Row],[Order_Date]],"MMM")</f>
        <v>Jul</v>
      </c>
      <c r="M330" t="str">
        <f>IF(Table1[[#This Row],[Profit]]&gt;=10000,"Excellent",IF(Table1[[#This Row],[Profit]]&gt;5000,"Good","Low"))</f>
        <v>Good</v>
      </c>
      <c r="N330" t="str">
        <f>TEXT(Table1[[#This Row],[Order_Date]],"YYYY")</f>
        <v>2024</v>
      </c>
    </row>
    <row r="331" spans="1:14" x14ac:dyDescent="0.25">
      <c r="A331" s="1">
        <v>45472</v>
      </c>
      <c r="B331" t="s">
        <v>22</v>
      </c>
      <c r="C331" t="s">
        <v>36</v>
      </c>
      <c r="D331">
        <v>34587</v>
      </c>
      <c r="E331">
        <v>31056</v>
      </c>
      <c r="F331">
        <v>3531</v>
      </c>
      <c r="G331" t="s">
        <v>13</v>
      </c>
      <c r="H331" t="s">
        <v>14</v>
      </c>
      <c r="I331" t="s">
        <v>42</v>
      </c>
      <c r="J331" s="2">
        <f>Table1[[#This Row],[Profit]]/Table1[[#This Row],[Sales]]*100</f>
        <v>10.209038077890536</v>
      </c>
      <c r="K331" t="str">
        <f>IF(Table1[[#This Row],[Sales]]&gt;=30000,"High", IF(Table1[[#This Row],[Sales]]&gt;=15000,"Medium","Low"))</f>
        <v>High</v>
      </c>
      <c r="L331" t="str">
        <f>TEXT(Table1[[#This Row],[Order_Date]],"MMM")</f>
        <v>Jun</v>
      </c>
      <c r="M331" t="str">
        <f>IF(Table1[[#This Row],[Profit]]&gt;=10000,"Excellent",IF(Table1[[#This Row],[Profit]]&gt;5000,"Good","Low"))</f>
        <v>Low</v>
      </c>
      <c r="N331" t="str">
        <f>TEXT(Table1[[#This Row],[Order_Date]],"YYYY")</f>
        <v>2024</v>
      </c>
    </row>
    <row r="332" spans="1:14" x14ac:dyDescent="0.25">
      <c r="A332" s="1">
        <v>45483</v>
      </c>
      <c r="B332" t="s">
        <v>26</v>
      </c>
      <c r="C332" t="s">
        <v>41</v>
      </c>
      <c r="D332">
        <v>13178</v>
      </c>
      <c r="E332">
        <v>12382</v>
      </c>
      <c r="F332">
        <v>796</v>
      </c>
      <c r="G332" t="s">
        <v>19</v>
      </c>
      <c r="H332" t="s">
        <v>28</v>
      </c>
      <c r="I332" t="s">
        <v>53</v>
      </c>
      <c r="J332" s="2">
        <f>Table1[[#This Row],[Profit]]/Table1[[#This Row],[Sales]]*100</f>
        <v>6.0403703141599641</v>
      </c>
      <c r="K332" t="str">
        <f>IF(Table1[[#This Row],[Sales]]&gt;=30000,"High", IF(Table1[[#This Row],[Sales]]&gt;=15000,"Medium","Low"))</f>
        <v>Low</v>
      </c>
      <c r="L332" t="str">
        <f>TEXT(Table1[[#This Row],[Order_Date]],"MMM")</f>
        <v>Jul</v>
      </c>
      <c r="M332" t="str">
        <f>IF(Table1[[#This Row],[Profit]]&gt;=10000,"Excellent",IF(Table1[[#This Row],[Profit]]&gt;5000,"Good","Low"))</f>
        <v>Low</v>
      </c>
      <c r="N332" t="str">
        <f>TEXT(Table1[[#This Row],[Order_Date]],"YYYY")</f>
        <v>2024</v>
      </c>
    </row>
    <row r="333" spans="1:14" x14ac:dyDescent="0.25">
      <c r="A333" s="1">
        <v>45271</v>
      </c>
      <c r="B333" t="s">
        <v>17</v>
      </c>
      <c r="C333" t="s">
        <v>41</v>
      </c>
      <c r="D333">
        <v>16413</v>
      </c>
      <c r="E333">
        <v>9924</v>
      </c>
      <c r="F333">
        <v>6489</v>
      </c>
      <c r="G333" t="s">
        <v>19</v>
      </c>
      <c r="H333" t="s">
        <v>34</v>
      </c>
      <c r="I333" t="s">
        <v>53</v>
      </c>
      <c r="J333" s="2">
        <f>Table1[[#This Row],[Profit]]/Table1[[#This Row],[Sales]]*100</f>
        <v>39.535733869493697</v>
      </c>
      <c r="K333" t="str">
        <f>IF(Table1[[#This Row],[Sales]]&gt;=30000,"High", IF(Table1[[#This Row],[Sales]]&gt;=15000,"Medium","Low"))</f>
        <v>Medium</v>
      </c>
      <c r="L333" t="str">
        <f>TEXT(Table1[[#This Row],[Order_Date]],"MMM")</f>
        <v>Dec</v>
      </c>
      <c r="M333" t="str">
        <f>IF(Table1[[#This Row],[Profit]]&gt;=10000,"Excellent",IF(Table1[[#This Row],[Profit]]&gt;5000,"Good","Low"))</f>
        <v>Good</v>
      </c>
      <c r="N333" t="str">
        <f>TEXT(Table1[[#This Row],[Order_Date]],"YYYY")</f>
        <v>2023</v>
      </c>
    </row>
    <row r="334" spans="1:14" x14ac:dyDescent="0.25">
      <c r="A334" s="1">
        <v>45172</v>
      </c>
      <c r="B334" t="s">
        <v>17</v>
      </c>
      <c r="C334" t="s">
        <v>41</v>
      </c>
      <c r="D334">
        <v>49772</v>
      </c>
      <c r="E334">
        <v>36410</v>
      </c>
      <c r="F334">
        <v>13362</v>
      </c>
      <c r="G334" t="s">
        <v>38</v>
      </c>
      <c r="H334" t="s">
        <v>28</v>
      </c>
      <c r="I334" t="s">
        <v>24</v>
      </c>
      <c r="J334" s="2">
        <f>Table1[[#This Row],[Profit]]/Table1[[#This Row],[Sales]]*100</f>
        <v>26.846419673712131</v>
      </c>
      <c r="K334" t="str">
        <f>IF(Table1[[#This Row],[Sales]]&gt;=30000,"High", IF(Table1[[#This Row],[Sales]]&gt;=15000,"Medium","Low"))</f>
        <v>High</v>
      </c>
      <c r="L334" t="str">
        <f>TEXT(Table1[[#This Row],[Order_Date]],"MMM")</f>
        <v>Sep</v>
      </c>
      <c r="M334" t="str">
        <f>IF(Table1[[#This Row],[Profit]]&gt;=10000,"Excellent",IF(Table1[[#This Row],[Profit]]&gt;5000,"Good","Low"))</f>
        <v>Excellent</v>
      </c>
      <c r="N334" t="str">
        <f>TEXT(Table1[[#This Row],[Order_Date]],"YYYY")</f>
        <v>2023</v>
      </c>
    </row>
    <row r="335" spans="1:14" x14ac:dyDescent="0.25">
      <c r="A335" s="1">
        <v>45417</v>
      </c>
      <c r="B335" t="s">
        <v>44</v>
      </c>
      <c r="C335" t="s">
        <v>33</v>
      </c>
      <c r="D335">
        <v>8588</v>
      </c>
      <c r="E335">
        <v>4382</v>
      </c>
      <c r="F335">
        <v>4206</v>
      </c>
      <c r="G335" t="s">
        <v>13</v>
      </c>
      <c r="H335" t="s">
        <v>31</v>
      </c>
      <c r="I335" t="s">
        <v>24</v>
      </c>
      <c r="J335" s="2">
        <f>Table1[[#This Row],[Profit]]/Table1[[#This Row],[Sales]]*100</f>
        <v>48.975314392175129</v>
      </c>
      <c r="K335" t="str">
        <f>IF(Table1[[#This Row],[Sales]]&gt;=30000,"High", IF(Table1[[#This Row],[Sales]]&gt;=15000,"Medium","Low"))</f>
        <v>Low</v>
      </c>
      <c r="L335" t="str">
        <f>TEXT(Table1[[#This Row],[Order_Date]],"MMM")</f>
        <v>May</v>
      </c>
      <c r="M335" t="str">
        <f>IF(Table1[[#This Row],[Profit]]&gt;=10000,"Excellent",IF(Table1[[#This Row],[Profit]]&gt;5000,"Good","Low"))</f>
        <v>Low</v>
      </c>
      <c r="N335" t="str">
        <f>TEXT(Table1[[#This Row],[Order_Date]],"YYYY")</f>
        <v>2024</v>
      </c>
    </row>
    <row r="336" spans="1:14" x14ac:dyDescent="0.25">
      <c r="A336" s="1">
        <v>45948</v>
      </c>
      <c r="B336" t="s">
        <v>17</v>
      </c>
      <c r="C336" t="s">
        <v>33</v>
      </c>
      <c r="D336">
        <v>42903</v>
      </c>
      <c r="E336">
        <v>40587</v>
      </c>
      <c r="F336">
        <v>2316</v>
      </c>
      <c r="G336" t="s">
        <v>19</v>
      </c>
      <c r="H336" t="s">
        <v>23</v>
      </c>
      <c r="I336" t="s">
        <v>42</v>
      </c>
      <c r="J336" s="2">
        <f>Table1[[#This Row],[Profit]]/Table1[[#This Row],[Sales]]*100</f>
        <v>5.3982239004265438</v>
      </c>
      <c r="K336" t="str">
        <f>IF(Table1[[#This Row],[Sales]]&gt;=30000,"High", IF(Table1[[#This Row],[Sales]]&gt;=15000,"Medium","Low"))</f>
        <v>High</v>
      </c>
      <c r="L336" t="str">
        <f>TEXT(Table1[[#This Row],[Order_Date]],"MMM")</f>
        <v>Oct</v>
      </c>
      <c r="M336" t="str">
        <f>IF(Table1[[#This Row],[Profit]]&gt;=10000,"Excellent",IF(Table1[[#This Row],[Profit]]&gt;5000,"Good","Low"))</f>
        <v>Low</v>
      </c>
      <c r="N336" t="str">
        <f>TEXT(Table1[[#This Row],[Order_Date]],"YYYY")</f>
        <v>2025</v>
      </c>
    </row>
    <row r="337" spans="1:14" x14ac:dyDescent="0.25">
      <c r="A337" s="1">
        <v>45958</v>
      </c>
      <c r="B337" t="s">
        <v>11</v>
      </c>
      <c r="C337" t="s">
        <v>18</v>
      </c>
      <c r="D337">
        <v>33903</v>
      </c>
      <c r="E337">
        <v>32487</v>
      </c>
      <c r="F337">
        <v>1416</v>
      </c>
      <c r="G337" t="s">
        <v>27</v>
      </c>
      <c r="H337" t="s">
        <v>28</v>
      </c>
      <c r="I337" t="s">
        <v>29</v>
      </c>
      <c r="J337" s="2">
        <f>Table1[[#This Row],[Profit]]/Table1[[#This Row],[Sales]]*100</f>
        <v>4.176621537916998</v>
      </c>
      <c r="K337" t="str">
        <f>IF(Table1[[#This Row],[Sales]]&gt;=30000,"High", IF(Table1[[#This Row],[Sales]]&gt;=15000,"Medium","Low"))</f>
        <v>High</v>
      </c>
      <c r="L337" t="str">
        <f>TEXT(Table1[[#This Row],[Order_Date]],"MMM")</f>
        <v>Oct</v>
      </c>
      <c r="M337" t="str">
        <f>IF(Table1[[#This Row],[Profit]]&gt;=10000,"Excellent",IF(Table1[[#This Row],[Profit]]&gt;5000,"Good","Low"))</f>
        <v>Low</v>
      </c>
      <c r="N337" t="str">
        <f>TEXT(Table1[[#This Row],[Order_Date]],"YYYY")</f>
        <v>2025</v>
      </c>
    </row>
    <row r="338" spans="1:14" x14ac:dyDescent="0.25">
      <c r="A338" s="1">
        <v>45374</v>
      </c>
      <c r="B338" t="s">
        <v>44</v>
      </c>
      <c r="C338" t="s">
        <v>41</v>
      </c>
      <c r="D338">
        <v>13980</v>
      </c>
      <c r="E338">
        <v>1582</v>
      </c>
      <c r="F338">
        <v>12398</v>
      </c>
      <c r="G338" t="s">
        <v>38</v>
      </c>
      <c r="H338" t="s">
        <v>20</v>
      </c>
      <c r="I338" t="s">
        <v>53</v>
      </c>
      <c r="J338" s="2">
        <f>Table1[[#This Row],[Profit]]/Table1[[#This Row],[Sales]]*100</f>
        <v>88.683834048640918</v>
      </c>
      <c r="K338" t="str">
        <f>IF(Table1[[#This Row],[Sales]]&gt;=30000,"High", IF(Table1[[#This Row],[Sales]]&gt;=15000,"Medium","Low"))</f>
        <v>Low</v>
      </c>
      <c r="L338" t="str">
        <f>TEXT(Table1[[#This Row],[Order_Date]],"MMM")</f>
        <v>Mar</v>
      </c>
      <c r="M338" t="str">
        <f>IF(Table1[[#This Row],[Profit]]&gt;=10000,"Excellent",IF(Table1[[#This Row],[Profit]]&gt;5000,"Good","Low"))</f>
        <v>Excellent</v>
      </c>
      <c r="N338" t="str">
        <f>TEXT(Table1[[#This Row],[Order_Date]],"YYYY")</f>
        <v>2024</v>
      </c>
    </row>
    <row r="339" spans="1:14" x14ac:dyDescent="0.25">
      <c r="A339" s="1">
        <v>46195</v>
      </c>
      <c r="B339" t="s">
        <v>22</v>
      </c>
      <c r="C339" t="s">
        <v>12</v>
      </c>
      <c r="D339">
        <v>31192</v>
      </c>
      <c r="E339">
        <v>18947</v>
      </c>
      <c r="F339">
        <v>12245</v>
      </c>
      <c r="G339" t="s">
        <v>38</v>
      </c>
      <c r="H339" t="s">
        <v>34</v>
      </c>
      <c r="I339" t="s">
        <v>53</v>
      </c>
      <c r="J339" s="2">
        <f>Table1[[#This Row],[Profit]]/Table1[[#This Row],[Sales]]*100</f>
        <v>39.256860733521414</v>
      </c>
      <c r="K339" t="str">
        <f>IF(Table1[[#This Row],[Sales]]&gt;=30000,"High", IF(Table1[[#This Row],[Sales]]&gt;=15000,"Medium","Low"))</f>
        <v>High</v>
      </c>
      <c r="L339" t="str">
        <f>TEXT(Table1[[#This Row],[Order_Date]],"MMM")</f>
        <v>Jun</v>
      </c>
      <c r="M339" t="str">
        <f>IF(Table1[[#This Row],[Profit]]&gt;=10000,"Excellent",IF(Table1[[#This Row],[Profit]]&gt;5000,"Good","Low"))</f>
        <v>Excellent</v>
      </c>
      <c r="N339" t="str">
        <f>TEXT(Table1[[#This Row],[Order_Date]],"YYYY")</f>
        <v>2026</v>
      </c>
    </row>
    <row r="340" spans="1:14" x14ac:dyDescent="0.25">
      <c r="A340" s="1">
        <v>45721</v>
      </c>
      <c r="B340" t="s">
        <v>11</v>
      </c>
      <c r="C340" t="s">
        <v>18</v>
      </c>
      <c r="D340">
        <v>48515</v>
      </c>
      <c r="E340">
        <v>44531</v>
      </c>
      <c r="F340">
        <v>3984</v>
      </c>
      <c r="G340" t="s">
        <v>19</v>
      </c>
      <c r="H340" t="s">
        <v>31</v>
      </c>
      <c r="I340" t="s">
        <v>24</v>
      </c>
      <c r="J340" s="2">
        <f>Table1[[#This Row],[Profit]]/Table1[[#This Row],[Sales]]*100</f>
        <v>8.211893228898278</v>
      </c>
      <c r="K340" t="str">
        <f>IF(Table1[[#This Row],[Sales]]&gt;=30000,"High", IF(Table1[[#This Row],[Sales]]&gt;=15000,"Medium","Low"))</f>
        <v>High</v>
      </c>
      <c r="L340" t="str">
        <f>TEXT(Table1[[#This Row],[Order_Date]],"MMM")</f>
        <v>Mar</v>
      </c>
      <c r="M340" t="str">
        <f>IF(Table1[[#This Row],[Profit]]&gt;=10000,"Excellent",IF(Table1[[#This Row],[Profit]]&gt;5000,"Good","Low"))</f>
        <v>Low</v>
      </c>
      <c r="N340" t="str">
        <f>TEXT(Table1[[#This Row],[Order_Date]],"YYYY")</f>
        <v>2025</v>
      </c>
    </row>
    <row r="341" spans="1:14" x14ac:dyDescent="0.25">
      <c r="A341" s="1">
        <v>45311</v>
      </c>
      <c r="B341" t="s">
        <v>22</v>
      </c>
      <c r="C341" t="s">
        <v>36</v>
      </c>
      <c r="D341">
        <v>45355</v>
      </c>
      <c r="E341">
        <v>38801</v>
      </c>
      <c r="F341">
        <v>6554</v>
      </c>
      <c r="G341" t="s">
        <v>13</v>
      </c>
      <c r="H341" t="s">
        <v>14</v>
      </c>
      <c r="I341" t="s">
        <v>15</v>
      </c>
      <c r="J341" s="2">
        <f>Table1[[#This Row],[Profit]]/Table1[[#This Row],[Sales]]*100</f>
        <v>14.450446477786352</v>
      </c>
      <c r="K341" t="str">
        <f>IF(Table1[[#This Row],[Sales]]&gt;=30000,"High", IF(Table1[[#This Row],[Sales]]&gt;=15000,"Medium","Low"))</f>
        <v>High</v>
      </c>
      <c r="L341" t="str">
        <f>TEXT(Table1[[#This Row],[Order_Date]],"MMM")</f>
        <v>Jan</v>
      </c>
      <c r="M341" t="str">
        <f>IF(Table1[[#This Row],[Profit]]&gt;=10000,"Excellent",IF(Table1[[#This Row],[Profit]]&gt;5000,"Good","Low"))</f>
        <v>Good</v>
      </c>
      <c r="N341" t="str">
        <f>TEXT(Table1[[#This Row],[Order_Date]],"YYYY")</f>
        <v>2024</v>
      </c>
    </row>
    <row r="342" spans="1:14" x14ac:dyDescent="0.25">
      <c r="A342" s="1">
        <v>45788</v>
      </c>
      <c r="B342" t="s">
        <v>17</v>
      </c>
      <c r="C342" t="s">
        <v>36</v>
      </c>
      <c r="D342">
        <v>25957</v>
      </c>
      <c r="E342">
        <v>8398</v>
      </c>
      <c r="F342">
        <v>17559</v>
      </c>
      <c r="G342" t="s">
        <v>38</v>
      </c>
      <c r="H342" t="s">
        <v>31</v>
      </c>
      <c r="I342" t="s">
        <v>24</v>
      </c>
      <c r="J342" s="2">
        <f>Table1[[#This Row],[Profit]]/Table1[[#This Row],[Sales]]*100</f>
        <v>67.646492275686711</v>
      </c>
      <c r="K342" t="str">
        <f>IF(Table1[[#This Row],[Sales]]&gt;=30000,"High", IF(Table1[[#This Row],[Sales]]&gt;=15000,"Medium","Low"))</f>
        <v>Medium</v>
      </c>
      <c r="L342" t="str">
        <f>TEXT(Table1[[#This Row],[Order_Date]],"MMM")</f>
        <v>May</v>
      </c>
      <c r="M342" t="str">
        <f>IF(Table1[[#This Row],[Profit]]&gt;=10000,"Excellent",IF(Table1[[#This Row],[Profit]]&gt;5000,"Good","Low"))</f>
        <v>Excellent</v>
      </c>
      <c r="N342" t="str">
        <f>TEXT(Table1[[#This Row],[Order_Date]],"YYYY")</f>
        <v>2025</v>
      </c>
    </row>
    <row r="343" spans="1:14" x14ac:dyDescent="0.25">
      <c r="A343" s="1">
        <v>45175</v>
      </c>
      <c r="B343" t="s">
        <v>22</v>
      </c>
      <c r="C343" t="s">
        <v>12</v>
      </c>
      <c r="D343">
        <v>35674</v>
      </c>
      <c r="E343">
        <v>34841</v>
      </c>
      <c r="F343">
        <v>833</v>
      </c>
      <c r="G343" t="s">
        <v>27</v>
      </c>
      <c r="H343" t="s">
        <v>34</v>
      </c>
      <c r="I343" t="s">
        <v>24</v>
      </c>
      <c r="J343" s="2">
        <f>Table1[[#This Row],[Profit]]/Table1[[#This Row],[Sales]]*100</f>
        <v>2.3350339182597968</v>
      </c>
      <c r="K343" t="str">
        <f>IF(Table1[[#This Row],[Sales]]&gt;=30000,"High", IF(Table1[[#This Row],[Sales]]&gt;=15000,"Medium","Low"))</f>
        <v>High</v>
      </c>
      <c r="L343" t="str">
        <f>TEXT(Table1[[#This Row],[Order_Date]],"MMM")</f>
        <v>Sep</v>
      </c>
      <c r="M343" t="str">
        <f>IF(Table1[[#This Row],[Profit]]&gt;=10000,"Excellent",IF(Table1[[#This Row],[Profit]]&gt;5000,"Good","Low"))</f>
        <v>Low</v>
      </c>
      <c r="N343" t="str">
        <f>TEXT(Table1[[#This Row],[Order_Date]],"YYYY")</f>
        <v>2023</v>
      </c>
    </row>
    <row r="344" spans="1:14" x14ac:dyDescent="0.25">
      <c r="A344" s="1">
        <v>46198</v>
      </c>
      <c r="B344" t="s">
        <v>22</v>
      </c>
      <c r="C344" t="s">
        <v>41</v>
      </c>
      <c r="D344">
        <v>15270</v>
      </c>
      <c r="E344">
        <v>1790</v>
      </c>
      <c r="F344">
        <v>13480</v>
      </c>
      <c r="G344" t="s">
        <v>19</v>
      </c>
      <c r="H344" t="s">
        <v>14</v>
      </c>
      <c r="I344" t="s">
        <v>53</v>
      </c>
      <c r="J344" s="2">
        <f>Table1[[#This Row],[Profit]]/Table1[[#This Row],[Sales]]*100</f>
        <v>88.277668631303214</v>
      </c>
      <c r="K344" t="str">
        <f>IF(Table1[[#This Row],[Sales]]&gt;=30000,"High", IF(Table1[[#This Row],[Sales]]&gt;=15000,"Medium","Low"))</f>
        <v>Medium</v>
      </c>
      <c r="L344" t="str">
        <f>TEXT(Table1[[#This Row],[Order_Date]],"MMM")</f>
        <v>Jun</v>
      </c>
      <c r="M344" t="str">
        <f>IF(Table1[[#This Row],[Profit]]&gt;=10000,"Excellent",IF(Table1[[#This Row],[Profit]]&gt;5000,"Good","Low"))</f>
        <v>Excellent</v>
      </c>
      <c r="N344" t="str">
        <f>TEXT(Table1[[#This Row],[Order_Date]],"YYYY")</f>
        <v>2026</v>
      </c>
    </row>
    <row r="345" spans="1:14" x14ac:dyDescent="0.25">
      <c r="A345" s="1">
        <v>45755</v>
      </c>
      <c r="B345" t="s">
        <v>17</v>
      </c>
      <c r="C345" t="s">
        <v>18</v>
      </c>
      <c r="D345">
        <v>8051</v>
      </c>
      <c r="E345">
        <v>2230</v>
      </c>
      <c r="F345">
        <v>5821</v>
      </c>
      <c r="G345" t="s">
        <v>19</v>
      </c>
      <c r="H345" t="s">
        <v>78</v>
      </c>
      <c r="I345" t="s">
        <v>24</v>
      </c>
      <c r="J345" s="2">
        <f>Table1[[#This Row],[Profit]]/Table1[[#This Row],[Sales]]*100</f>
        <v>72.301577443795807</v>
      </c>
      <c r="K345" t="str">
        <f>IF(Table1[[#This Row],[Sales]]&gt;=30000,"High", IF(Table1[[#This Row],[Sales]]&gt;=15000,"Medium","Low"))</f>
        <v>Low</v>
      </c>
      <c r="L345" t="str">
        <f>TEXT(Table1[[#This Row],[Order_Date]],"MMM")</f>
        <v>Apr</v>
      </c>
      <c r="M345" t="str">
        <f>IF(Table1[[#This Row],[Profit]]&gt;=10000,"Excellent",IF(Table1[[#This Row],[Profit]]&gt;5000,"Good","Low"))</f>
        <v>Good</v>
      </c>
      <c r="N345" t="str">
        <f>TEXT(Table1[[#This Row],[Order_Date]],"YYYY")</f>
        <v>2025</v>
      </c>
    </row>
    <row r="346" spans="1:14" x14ac:dyDescent="0.25">
      <c r="A346" s="1">
        <v>46207</v>
      </c>
      <c r="B346" t="s">
        <v>17</v>
      </c>
      <c r="C346" t="s">
        <v>41</v>
      </c>
      <c r="D346">
        <v>5471</v>
      </c>
      <c r="E346">
        <v>1806</v>
      </c>
      <c r="F346">
        <v>3665</v>
      </c>
      <c r="G346" t="s">
        <v>27</v>
      </c>
      <c r="H346" t="s">
        <v>63</v>
      </c>
      <c r="I346" t="s">
        <v>15</v>
      </c>
      <c r="J346" s="2">
        <f>Table1[[#This Row],[Profit]]/Table1[[#This Row],[Sales]]*100</f>
        <v>66.989581429354786</v>
      </c>
      <c r="K346" t="str">
        <f>IF(Table1[[#This Row],[Sales]]&gt;=30000,"High", IF(Table1[[#This Row],[Sales]]&gt;=15000,"Medium","Low"))</f>
        <v>Low</v>
      </c>
      <c r="L346" t="str">
        <f>TEXT(Table1[[#This Row],[Order_Date]],"MMM")</f>
        <v>Jul</v>
      </c>
      <c r="M346" t="str">
        <f>IF(Table1[[#This Row],[Profit]]&gt;=10000,"Excellent",IF(Table1[[#This Row],[Profit]]&gt;5000,"Good","Low"))</f>
        <v>Low</v>
      </c>
      <c r="N346" t="str">
        <f>TEXT(Table1[[#This Row],[Order_Date]],"YYYY")</f>
        <v>2026</v>
      </c>
    </row>
    <row r="347" spans="1:14" x14ac:dyDescent="0.25">
      <c r="A347" s="1">
        <v>45200</v>
      </c>
      <c r="B347" t="s">
        <v>11</v>
      </c>
      <c r="C347" t="s">
        <v>18</v>
      </c>
      <c r="D347">
        <v>44869</v>
      </c>
      <c r="E347">
        <v>33953</v>
      </c>
      <c r="F347">
        <v>10916</v>
      </c>
      <c r="G347" t="s">
        <v>19</v>
      </c>
      <c r="H347" t="s">
        <v>28</v>
      </c>
      <c r="I347" t="s">
        <v>42</v>
      </c>
      <c r="J347" s="2">
        <f>Table1[[#This Row],[Profit]]/Table1[[#This Row],[Sales]]*100</f>
        <v>24.328601038578974</v>
      </c>
      <c r="K347" t="str">
        <f>IF(Table1[[#This Row],[Sales]]&gt;=30000,"High", IF(Table1[[#This Row],[Sales]]&gt;=15000,"Medium","Low"))</f>
        <v>High</v>
      </c>
      <c r="L347" t="str">
        <f>TEXT(Table1[[#This Row],[Order_Date]],"MMM")</f>
        <v>Oct</v>
      </c>
      <c r="M347" t="str">
        <f>IF(Table1[[#This Row],[Profit]]&gt;=10000,"Excellent",IF(Table1[[#This Row],[Profit]]&gt;5000,"Good","Low"))</f>
        <v>Excellent</v>
      </c>
      <c r="N347" t="str">
        <f>TEXT(Table1[[#This Row],[Order_Date]],"YYYY")</f>
        <v>2023</v>
      </c>
    </row>
    <row r="348" spans="1:14" x14ac:dyDescent="0.25">
      <c r="A348" s="1">
        <v>45404</v>
      </c>
      <c r="B348" t="s">
        <v>11</v>
      </c>
      <c r="C348" t="s">
        <v>33</v>
      </c>
      <c r="D348">
        <v>13362</v>
      </c>
      <c r="E348">
        <v>11969</v>
      </c>
      <c r="F348">
        <v>1393</v>
      </c>
      <c r="G348" t="s">
        <v>27</v>
      </c>
      <c r="H348" t="s">
        <v>60</v>
      </c>
      <c r="I348" t="s">
        <v>29</v>
      </c>
      <c r="J348" s="2">
        <f>Table1[[#This Row],[Profit]]/Table1[[#This Row],[Sales]]*100</f>
        <v>10.425086064960336</v>
      </c>
      <c r="K348" t="str">
        <f>IF(Table1[[#This Row],[Sales]]&gt;=30000,"High", IF(Table1[[#This Row],[Sales]]&gt;=15000,"Medium","Low"))</f>
        <v>Low</v>
      </c>
      <c r="L348" t="str">
        <f>TEXT(Table1[[#This Row],[Order_Date]],"MMM")</f>
        <v>Apr</v>
      </c>
      <c r="M348" t="str">
        <f>IF(Table1[[#This Row],[Profit]]&gt;=10000,"Excellent",IF(Table1[[#This Row],[Profit]]&gt;5000,"Good","Low"))</f>
        <v>Low</v>
      </c>
      <c r="N348" t="str">
        <f>TEXT(Table1[[#This Row],[Order_Date]],"YYYY")</f>
        <v>2024</v>
      </c>
    </row>
    <row r="349" spans="1:14" x14ac:dyDescent="0.25">
      <c r="A349" s="1">
        <v>46039</v>
      </c>
      <c r="B349" t="s">
        <v>11</v>
      </c>
      <c r="C349" t="s">
        <v>18</v>
      </c>
      <c r="D349">
        <v>18674</v>
      </c>
      <c r="E349">
        <v>11213</v>
      </c>
      <c r="F349">
        <v>7461</v>
      </c>
      <c r="G349" t="s">
        <v>19</v>
      </c>
      <c r="H349" t="s">
        <v>34</v>
      </c>
      <c r="I349" t="s">
        <v>15</v>
      </c>
      <c r="J349" s="2">
        <f>Table1[[#This Row],[Profit]]/Table1[[#This Row],[Sales]]*100</f>
        <v>39.953946663810648</v>
      </c>
      <c r="K349" t="str">
        <f>IF(Table1[[#This Row],[Sales]]&gt;=30000,"High", IF(Table1[[#This Row],[Sales]]&gt;=15000,"Medium","Low"))</f>
        <v>Medium</v>
      </c>
      <c r="L349" t="str">
        <f>TEXT(Table1[[#This Row],[Order_Date]],"MMM")</f>
        <v>Jan</v>
      </c>
      <c r="M349" t="str">
        <f>IF(Table1[[#This Row],[Profit]]&gt;=10000,"Excellent",IF(Table1[[#This Row],[Profit]]&gt;5000,"Good","Low"))</f>
        <v>Good</v>
      </c>
      <c r="N349" t="str">
        <f>TEXT(Table1[[#This Row],[Order_Date]],"YYYY")</f>
        <v>2026</v>
      </c>
    </row>
    <row r="350" spans="1:14" x14ac:dyDescent="0.25">
      <c r="A350" s="1">
        <v>45662</v>
      </c>
      <c r="B350" t="s">
        <v>44</v>
      </c>
      <c r="C350" t="s">
        <v>33</v>
      </c>
      <c r="D350">
        <v>23050</v>
      </c>
      <c r="E350">
        <v>19917</v>
      </c>
      <c r="F350">
        <v>3133</v>
      </c>
      <c r="G350" t="s">
        <v>27</v>
      </c>
      <c r="H350" t="s">
        <v>34</v>
      </c>
      <c r="I350" t="s">
        <v>42</v>
      </c>
      <c r="J350" s="2">
        <f>Table1[[#This Row],[Profit]]/Table1[[#This Row],[Sales]]*100</f>
        <v>13.592190889370933</v>
      </c>
      <c r="K350" t="str">
        <f>IF(Table1[[#This Row],[Sales]]&gt;=30000,"High", IF(Table1[[#This Row],[Sales]]&gt;=15000,"Medium","Low"))</f>
        <v>Medium</v>
      </c>
      <c r="L350" t="str">
        <f>TEXT(Table1[[#This Row],[Order_Date]],"MMM")</f>
        <v>Jan</v>
      </c>
      <c r="M350" t="str">
        <f>IF(Table1[[#This Row],[Profit]]&gt;=10000,"Excellent",IF(Table1[[#This Row],[Profit]]&gt;5000,"Good","Low"))</f>
        <v>Low</v>
      </c>
      <c r="N350" t="str">
        <f>TEXT(Table1[[#This Row],[Order_Date]],"YYYY")</f>
        <v>2025</v>
      </c>
    </row>
    <row r="351" spans="1:14" x14ac:dyDescent="0.25">
      <c r="A351" s="1">
        <v>45197</v>
      </c>
      <c r="B351" t="s">
        <v>22</v>
      </c>
      <c r="C351" t="s">
        <v>41</v>
      </c>
      <c r="D351">
        <v>16694</v>
      </c>
      <c r="E351">
        <v>11971</v>
      </c>
      <c r="F351">
        <v>4723</v>
      </c>
      <c r="G351" t="s">
        <v>19</v>
      </c>
      <c r="H351" t="s">
        <v>45</v>
      </c>
      <c r="I351" t="s">
        <v>15</v>
      </c>
      <c r="J351" s="2">
        <f>Table1[[#This Row],[Profit]]/Table1[[#This Row],[Sales]]*100</f>
        <v>28.291601773092129</v>
      </c>
      <c r="K351" t="str">
        <f>IF(Table1[[#This Row],[Sales]]&gt;=30000,"High", IF(Table1[[#This Row],[Sales]]&gt;=15000,"Medium","Low"))</f>
        <v>Medium</v>
      </c>
      <c r="L351" t="str">
        <f>TEXT(Table1[[#This Row],[Order_Date]],"MMM")</f>
        <v>Sep</v>
      </c>
      <c r="M351" t="str">
        <f>IF(Table1[[#This Row],[Profit]]&gt;=10000,"Excellent",IF(Table1[[#This Row],[Profit]]&gt;5000,"Good","Low"))</f>
        <v>Low</v>
      </c>
      <c r="N351" t="str">
        <f>TEXT(Table1[[#This Row],[Order_Date]],"YYYY")</f>
        <v>2023</v>
      </c>
    </row>
    <row r="352" spans="1:14" x14ac:dyDescent="0.25">
      <c r="A352" s="1">
        <v>46065</v>
      </c>
      <c r="B352" t="s">
        <v>17</v>
      </c>
      <c r="C352" t="s">
        <v>33</v>
      </c>
      <c r="D352">
        <v>43999</v>
      </c>
      <c r="E352">
        <v>31018</v>
      </c>
      <c r="F352">
        <v>12981</v>
      </c>
      <c r="G352" t="s">
        <v>38</v>
      </c>
      <c r="H352" t="s">
        <v>31</v>
      </c>
      <c r="I352" t="s">
        <v>24</v>
      </c>
      <c r="J352" s="2">
        <f>Table1[[#This Row],[Profit]]/Table1[[#This Row],[Sales]]*100</f>
        <v>29.502943248710199</v>
      </c>
      <c r="K352" t="str">
        <f>IF(Table1[[#This Row],[Sales]]&gt;=30000,"High", IF(Table1[[#This Row],[Sales]]&gt;=15000,"Medium","Low"))</f>
        <v>High</v>
      </c>
      <c r="L352" t="str">
        <f>TEXT(Table1[[#This Row],[Order_Date]],"MMM")</f>
        <v>Feb</v>
      </c>
      <c r="M352" t="str">
        <f>IF(Table1[[#This Row],[Profit]]&gt;=10000,"Excellent",IF(Table1[[#This Row],[Profit]]&gt;5000,"Good","Low"))</f>
        <v>Excellent</v>
      </c>
      <c r="N352" t="str">
        <f>TEXT(Table1[[#This Row],[Order_Date]],"YYYY")</f>
        <v>2026</v>
      </c>
    </row>
    <row r="353" spans="1:14" x14ac:dyDescent="0.25">
      <c r="A353" s="1">
        <v>45668</v>
      </c>
      <c r="B353" t="s">
        <v>17</v>
      </c>
      <c r="C353" t="s">
        <v>41</v>
      </c>
      <c r="D353">
        <v>14844</v>
      </c>
      <c r="E353">
        <v>10633</v>
      </c>
      <c r="F353">
        <v>4211</v>
      </c>
      <c r="G353" t="s">
        <v>19</v>
      </c>
      <c r="H353" t="s">
        <v>23</v>
      </c>
      <c r="I353" t="s">
        <v>24</v>
      </c>
      <c r="J353" s="2">
        <f>Table1[[#This Row],[Profit]]/Table1[[#This Row],[Sales]]*100</f>
        <v>28.3683643222851</v>
      </c>
      <c r="K353" t="str">
        <f>IF(Table1[[#This Row],[Sales]]&gt;=30000,"High", IF(Table1[[#This Row],[Sales]]&gt;=15000,"Medium","Low"))</f>
        <v>Low</v>
      </c>
      <c r="L353" t="str">
        <f>TEXT(Table1[[#This Row],[Order_Date]],"MMM")</f>
        <v>Jan</v>
      </c>
      <c r="M353" t="str">
        <f>IF(Table1[[#This Row],[Profit]]&gt;=10000,"Excellent",IF(Table1[[#This Row],[Profit]]&gt;5000,"Good","Low"))</f>
        <v>Low</v>
      </c>
      <c r="N353" t="str">
        <f>TEXT(Table1[[#This Row],[Order_Date]],"YYYY")</f>
        <v>2025</v>
      </c>
    </row>
    <row r="354" spans="1:14" x14ac:dyDescent="0.25">
      <c r="A354" s="1">
        <v>45972</v>
      </c>
      <c r="B354" t="s">
        <v>44</v>
      </c>
      <c r="C354" t="s">
        <v>36</v>
      </c>
      <c r="D354">
        <v>26886</v>
      </c>
      <c r="E354">
        <v>18314</v>
      </c>
      <c r="F354">
        <v>8572</v>
      </c>
      <c r="G354" t="s">
        <v>13</v>
      </c>
      <c r="H354" t="s">
        <v>63</v>
      </c>
      <c r="I354" t="s">
        <v>42</v>
      </c>
      <c r="J354" s="2">
        <f>Table1[[#This Row],[Profit]]/Table1[[#This Row],[Sales]]*100</f>
        <v>31.882764263929182</v>
      </c>
      <c r="K354" t="str">
        <f>IF(Table1[[#This Row],[Sales]]&gt;=30000,"High", IF(Table1[[#This Row],[Sales]]&gt;=15000,"Medium","Low"))</f>
        <v>Medium</v>
      </c>
      <c r="L354" t="str">
        <f>TEXT(Table1[[#This Row],[Order_Date]],"MMM")</f>
        <v>Nov</v>
      </c>
      <c r="M354" t="str">
        <f>IF(Table1[[#This Row],[Profit]]&gt;=10000,"Excellent",IF(Table1[[#This Row],[Profit]]&gt;5000,"Good","Low"))</f>
        <v>Good</v>
      </c>
      <c r="N354" t="str">
        <f>TEXT(Table1[[#This Row],[Order_Date]],"YYYY")</f>
        <v>2025</v>
      </c>
    </row>
    <row r="355" spans="1:14" x14ac:dyDescent="0.25">
      <c r="A355" s="1">
        <v>45480</v>
      </c>
      <c r="B355" t="s">
        <v>22</v>
      </c>
      <c r="C355" t="s">
        <v>41</v>
      </c>
      <c r="D355">
        <v>48546</v>
      </c>
      <c r="E355">
        <v>30759</v>
      </c>
      <c r="F355">
        <v>17787</v>
      </c>
      <c r="G355" t="s">
        <v>13</v>
      </c>
      <c r="H355" t="s">
        <v>60</v>
      </c>
      <c r="I355" t="s">
        <v>53</v>
      </c>
      <c r="J355" s="2">
        <f>Table1[[#This Row],[Profit]]/Table1[[#This Row],[Sales]]*100</f>
        <v>36.639475960944253</v>
      </c>
      <c r="K355" t="str">
        <f>IF(Table1[[#This Row],[Sales]]&gt;=30000,"High", IF(Table1[[#This Row],[Sales]]&gt;=15000,"Medium","Low"))</f>
        <v>High</v>
      </c>
      <c r="L355" t="str">
        <f>TEXT(Table1[[#This Row],[Order_Date]],"MMM")</f>
        <v>Jul</v>
      </c>
      <c r="M355" t="str">
        <f>IF(Table1[[#This Row],[Profit]]&gt;=10000,"Excellent",IF(Table1[[#This Row],[Profit]]&gt;5000,"Good","Low"))</f>
        <v>Excellent</v>
      </c>
      <c r="N355" t="str">
        <f>TEXT(Table1[[#This Row],[Order_Date]],"YYYY")</f>
        <v>2024</v>
      </c>
    </row>
    <row r="356" spans="1:14" x14ac:dyDescent="0.25">
      <c r="A356" s="1">
        <v>45381</v>
      </c>
      <c r="B356" t="s">
        <v>17</v>
      </c>
      <c r="C356" t="s">
        <v>18</v>
      </c>
      <c r="D356">
        <v>39197</v>
      </c>
      <c r="E356">
        <v>36192</v>
      </c>
      <c r="F356">
        <v>3005</v>
      </c>
      <c r="G356" t="s">
        <v>38</v>
      </c>
      <c r="H356" t="s">
        <v>34</v>
      </c>
      <c r="I356" t="s">
        <v>53</v>
      </c>
      <c r="J356" s="2">
        <f>Table1[[#This Row],[Profit]]/Table1[[#This Row],[Sales]]*100</f>
        <v>7.6664030410490591</v>
      </c>
      <c r="K356" t="str">
        <f>IF(Table1[[#This Row],[Sales]]&gt;=30000,"High", IF(Table1[[#This Row],[Sales]]&gt;=15000,"Medium","Low"))</f>
        <v>High</v>
      </c>
      <c r="L356" t="str">
        <f>TEXT(Table1[[#This Row],[Order_Date]],"MMM")</f>
        <v>Mar</v>
      </c>
      <c r="M356" t="str">
        <f>IF(Table1[[#This Row],[Profit]]&gt;=10000,"Excellent",IF(Table1[[#This Row],[Profit]]&gt;5000,"Good","Low"))</f>
        <v>Low</v>
      </c>
      <c r="N356" t="str">
        <f>TEXT(Table1[[#This Row],[Order_Date]],"YYYY")</f>
        <v>2024</v>
      </c>
    </row>
    <row r="357" spans="1:14" x14ac:dyDescent="0.25">
      <c r="A357" s="1">
        <v>45167</v>
      </c>
      <c r="B357" t="s">
        <v>22</v>
      </c>
      <c r="C357" t="s">
        <v>41</v>
      </c>
      <c r="D357">
        <v>7663</v>
      </c>
      <c r="E357">
        <v>4980</v>
      </c>
      <c r="F357">
        <v>2683</v>
      </c>
      <c r="G357" t="s">
        <v>13</v>
      </c>
      <c r="H357" t="s">
        <v>28</v>
      </c>
      <c r="I357" t="s">
        <v>24</v>
      </c>
      <c r="J357" s="2">
        <f>Table1[[#This Row],[Profit]]/Table1[[#This Row],[Sales]]*100</f>
        <v>35.012397233459481</v>
      </c>
      <c r="K357" t="str">
        <f>IF(Table1[[#This Row],[Sales]]&gt;=30000,"High", IF(Table1[[#This Row],[Sales]]&gt;=15000,"Medium","Low"))</f>
        <v>Low</v>
      </c>
      <c r="L357" t="str">
        <f>TEXT(Table1[[#This Row],[Order_Date]],"MMM")</f>
        <v>Aug</v>
      </c>
      <c r="M357" t="str">
        <f>IF(Table1[[#This Row],[Profit]]&gt;=10000,"Excellent",IF(Table1[[#This Row],[Profit]]&gt;5000,"Good","Low"))</f>
        <v>Low</v>
      </c>
      <c r="N357" t="str">
        <f>TEXT(Table1[[#This Row],[Order_Date]],"YYYY")</f>
        <v>2023</v>
      </c>
    </row>
    <row r="358" spans="1:14" x14ac:dyDescent="0.25">
      <c r="A358" s="1">
        <v>46177</v>
      </c>
      <c r="B358" t="s">
        <v>26</v>
      </c>
      <c r="C358" t="s">
        <v>12</v>
      </c>
      <c r="D358">
        <v>24240</v>
      </c>
      <c r="E358">
        <v>6705</v>
      </c>
      <c r="F358">
        <v>17535</v>
      </c>
      <c r="G358" t="s">
        <v>13</v>
      </c>
      <c r="H358" t="s">
        <v>45</v>
      </c>
      <c r="I358" t="s">
        <v>29</v>
      </c>
      <c r="J358" s="2">
        <f>Table1[[#This Row],[Profit]]/Table1[[#This Row],[Sales]]*100</f>
        <v>72.339108910891099</v>
      </c>
      <c r="K358" t="str">
        <f>IF(Table1[[#This Row],[Sales]]&gt;=30000,"High", IF(Table1[[#This Row],[Sales]]&gt;=15000,"Medium","Low"))</f>
        <v>Medium</v>
      </c>
      <c r="L358" t="str">
        <f>TEXT(Table1[[#This Row],[Order_Date]],"MMM")</f>
        <v>Jun</v>
      </c>
      <c r="M358" t="str">
        <f>IF(Table1[[#This Row],[Profit]]&gt;=10000,"Excellent",IF(Table1[[#This Row],[Profit]]&gt;5000,"Good","Low"))</f>
        <v>Excellent</v>
      </c>
      <c r="N358" t="str">
        <f>TEXT(Table1[[#This Row],[Order_Date]],"YYYY")</f>
        <v>2026</v>
      </c>
    </row>
    <row r="359" spans="1:14" x14ac:dyDescent="0.25">
      <c r="A359" s="1">
        <v>45983</v>
      </c>
      <c r="B359" t="s">
        <v>22</v>
      </c>
      <c r="C359" t="s">
        <v>12</v>
      </c>
      <c r="D359">
        <v>24085</v>
      </c>
      <c r="E359">
        <v>4963</v>
      </c>
      <c r="F359">
        <v>19122</v>
      </c>
      <c r="G359" t="s">
        <v>38</v>
      </c>
      <c r="H359" t="s">
        <v>34</v>
      </c>
      <c r="I359" t="s">
        <v>29</v>
      </c>
      <c r="J359" s="2">
        <f>Table1[[#This Row],[Profit]]/Table1[[#This Row],[Sales]]*100</f>
        <v>79.393813576915093</v>
      </c>
      <c r="K359" t="str">
        <f>IF(Table1[[#This Row],[Sales]]&gt;=30000,"High", IF(Table1[[#This Row],[Sales]]&gt;=15000,"Medium","Low"))</f>
        <v>Medium</v>
      </c>
      <c r="L359" t="str">
        <f>TEXT(Table1[[#This Row],[Order_Date]],"MMM")</f>
        <v>Nov</v>
      </c>
      <c r="M359" t="str">
        <f>IF(Table1[[#This Row],[Profit]]&gt;=10000,"Excellent",IF(Table1[[#This Row],[Profit]]&gt;5000,"Good","Low"))</f>
        <v>Excellent</v>
      </c>
      <c r="N359" t="str">
        <f>TEXT(Table1[[#This Row],[Order_Date]],"YYYY")</f>
        <v>2025</v>
      </c>
    </row>
    <row r="360" spans="1:14" x14ac:dyDescent="0.25">
      <c r="A360" s="1">
        <v>45857</v>
      </c>
      <c r="B360" t="s">
        <v>22</v>
      </c>
      <c r="C360" t="s">
        <v>18</v>
      </c>
      <c r="D360">
        <v>7178</v>
      </c>
      <c r="E360">
        <v>2063</v>
      </c>
      <c r="F360">
        <v>5115</v>
      </c>
      <c r="G360" t="s">
        <v>13</v>
      </c>
      <c r="H360" t="s">
        <v>45</v>
      </c>
      <c r="I360" t="s">
        <v>53</v>
      </c>
      <c r="J360" s="2">
        <f>Table1[[#This Row],[Profit]]/Table1[[#This Row],[Sales]]*100</f>
        <v>71.259403733630535</v>
      </c>
      <c r="K360" t="str">
        <f>IF(Table1[[#This Row],[Sales]]&gt;=30000,"High", IF(Table1[[#This Row],[Sales]]&gt;=15000,"Medium","Low"))</f>
        <v>Low</v>
      </c>
      <c r="L360" t="str">
        <f>TEXT(Table1[[#This Row],[Order_Date]],"MMM")</f>
        <v>Jul</v>
      </c>
      <c r="M360" t="str">
        <f>IF(Table1[[#This Row],[Profit]]&gt;=10000,"Excellent",IF(Table1[[#This Row],[Profit]]&gt;5000,"Good","Low"))</f>
        <v>Good</v>
      </c>
      <c r="N360" t="str">
        <f>TEXT(Table1[[#This Row],[Order_Date]],"YYYY")</f>
        <v>2025</v>
      </c>
    </row>
    <row r="361" spans="1:14" x14ac:dyDescent="0.25">
      <c r="A361" s="1">
        <v>45302</v>
      </c>
      <c r="B361" t="s">
        <v>22</v>
      </c>
      <c r="C361" t="s">
        <v>41</v>
      </c>
      <c r="D361">
        <v>27035</v>
      </c>
      <c r="E361">
        <v>9102</v>
      </c>
      <c r="F361">
        <v>17933</v>
      </c>
      <c r="G361" t="s">
        <v>27</v>
      </c>
      <c r="H361" t="s">
        <v>31</v>
      </c>
      <c r="I361" t="s">
        <v>15</v>
      </c>
      <c r="J361" s="2">
        <f>Table1[[#This Row],[Profit]]/Table1[[#This Row],[Sales]]*100</f>
        <v>66.332531903088594</v>
      </c>
      <c r="K361" t="str">
        <f>IF(Table1[[#This Row],[Sales]]&gt;=30000,"High", IF(Table1[[#This Row],[Sales]]&gt;=15000,"Medium","Low"))</f>
        <v>Medium</v>
      </c>
      <c r="L361" t="str">
        <f>TEXT(Table1[[#This Row],[Order_Date]],"MMM")</f>
        <v>Jan</v>
      </c>
      <c r="M361" t="str">
        <f>IF(Table1[[#This Row],[Profit]]&gt;=10000,"Excellent",IF(Table1[[#This Row],[Profit]]&gt;5000,"Good","Low"))</f>
        <v>Excellent</v>
      </c>
      <c r="N361" t="str">
        <f>TEXT(Table1[[#This Row],[Order_Date]],"YYYY")</f>
        <v>2024</v>
      </c>
    </row>
    <row r="362" spans="1:14" x14ac:dyDescent="0.25">
      <c r="A362" s="1">
        <v>45253</v>
      </c>
      <c r="B362" t="s">
        <v>26</v>
      </c>
      <c r="C362" t="s">
        <v>18</v>
      </c>
      <c r="D362">
        <v>17694</v>
      </c>
      <c r="E362">
        <v>4761</v>
      </c>
      <c r="F362">
        <v>12933</v>
      </c>
      <c r="G362" t="s">
        <v>13</v>
      </c>
      <c r="H362" t="s">
        <v>45</v>
      </c>
      <c r="I362" t="s">
        <v>15</v>
      </c>
      <c r="J362" s="2">
        <f>Table1[[#This Row],[Profit]]/Table1[[#This Row],[Sales]]*100</f>
        <v>73.092573753814847</v>
      </c>
      <c r="K362" t="str">
        <f>IF(Table1[[#This Row],[Sales]]&gt;=30000,"High", IF(Table1[[#This Row],[Sales]]&gt;=15000,"Medium","Low"))</f>
        <v>Medium</v>
      </c>
      <c r="L362" t="str">
        <f>TEXT(Table1[[#This Row],[Order_Date]],"MMM")</f>
        <v>Nov</v>
      </c>
      <c r="M362" t="str">
        <f>IF(Table1[[#This Row],[Profit]]&gt;=10000,"Excellent",IF(Table1[[#This Row],[Profit]]&gt;5000,"Good","Low"))</f>
        <v>Excellent</v>
      </c>
      <c r="N362" t="str">
        <f>TEXT(Table1[[#This Row],[Order_Date]],"YYYY")</f>
        <v>2023</v>
      </c>
    </row>
    <row r="363" spans="1:14" x14ac:dyDescent="0.25">
      <c r="A363" s="1">
        <v>45892</v>
      </c>
      <c r="B363" t="s">
        <v>26</v>
      </c>
      <c r="C363" t="s">
        <v>18</v>
      </c>
      <c r="D363">
        <v>49838</v>
      </c>
      <c r="E363">
        <v>34367</v>
      </c>
      <c r="F363">
        <v>15471</v>
      </c>
      <c r="G363" t="s">
        <v>27</v>
      </c>
      <c r="H363" t="s">
        <v>78</v>
      </c>
      <c r="I363" t="s">
        <v>53</v>
      </c>
      <c r="J363" s="2">
        <f>Table1[[#This Row],[Profit]]/Table1[[#This Row],[Sales]]*100</f>
        <v>31.042577952566315</v>
      </c>
      <c r="K363" t="str">
        <f>IF(Table1[[#This Row],[Sales]]&gt;=30000,"High", IF(Table1[[#This Row],[Sales]]&gt;=15000,"Medium","Low"))</f>
        <v>High</v>
      </c>
      <c r="L363" t="str">
        <f>TEXT(Table1[[#This Row],[Order_Date]],"MMM")</f>
        <v>Aug</v>
      </c>
      <c r="M363" t="str">
        <f>IF(Table1[[#This Row],[Profit]]&gt;=10000,"Excellent",IF(Table1[[#This Row],[Profit]]&gt;5000,"Good","Low"))</f>
        <v>Excellent</v>
      </c>
      <c r="N363" t="str">
        <f>TEXT(Table1[[#This Row],[Order_Date]],"YYYY")</f>
        <v>2025</v>
      </c>
    </row>
    <row r="364" spans="1:14" x14ac:dyDescent="0.25">
      <c r="A364" s="1">
        <v>45758</v>
      </c>
      <c r="B364" t="s">
        <v>26</v>
      </c>
      <c r="C364" t="s">
        <v>36</v>
      </c>
      <c r="D364">
        <v>45372</v>
      </c>
      <c r="E364">
        <v>40155</v>
      </c>
      <c r="F364">
        <v>5217</v>
      </c>
      <c r="G364" t="s">
        <v>19</v>
      </c>
      <c r="H364" t="s">
        <v>60</v>
      </c>
      <c r="I364" t="s">
        <v>24</v>
      </c>
      <c r="J364" s="2">
        <f>Table1[[#This Row],[Profit]]/Table1[[#This Row],[Sales]]*100</f>
        <v>11.498280878074583</v>
      </c>
      <c r="K364" t="str">
        <f>IF(Table1[[#This Row],[Sales]]&gt;=30000,"High", IF(Table1[[#This Row],[Sales]]&gt;=15000,"Medium","Low"))</f>
        <v>High</v>
      </c>
      <c r="L364" t="str">
        <f>TEXT(Table1[[#This Row],[Order_Date]],"MMM")</f>
        <v>Apr</v>
      </c>
      <c r="M364" t="str">
        <f>IF(Table1[[#This Row],[Profit]]&gt;=10000,"Excellent",IF(Table1[[#This Row],[Profit]]&gt;5000,"Good","Low"))</f>
        <v>Good</v>
      </c>
      <c r="N364" t="str">
        <f>TEXT(Table1[[#This Row],[Order_Date]],"YYYY")</f>
        <v>2025</v>
      </c>
    </row>
    <row r="365" spans="1:14" x14ac:dyDescent="0.25">
      <c r="A365" s="1">
        <v>45676</v>
      </c>
      <c r="B365" t="s">
        <v>11</v>
      </c>
      <c r="C365" t="s">
        <v>12</v>
      </c>
      <c r="D365">
        <v>5011</v>
      </c>
      <c r="E365">
        <v>3252</v>
      </c>
      <c r="F365">
        <v>1759</v>
      </c>
      <c r="G365" t="s">
        <v>27</v>
      </c>
      <c r="H365" t="s">
        <v>63</v>
      </c>
      <c r="I365" t="s">
        <v>42</v>
      </c>
      <c r="J365" s="2">
        <f>Table1[[#This Row],[Profit]]/Table1[[#This Row],[Sales]]*100</f>
        <v>35.102773897425664</v>
      </c>
      <c r="K365" t="str">
        <f>IF(Table1[[#This Row],[Sales]]&gt;=30000,"High", IF(Table1[[#This Row],[Sales]]&gt;=15000,"Medium","Low"))</f>
        <v>Low</v>
      </c>
      <c r="L365" t="str">
        <f>TEXT(Table1[[#This Row],[Order_Date]],"MMM")</f>
        <v>Jan</v>
      </c>
      <c r="M365" t="str">
        <f>IF(Table1[[#This Row],[Profit]]&gt;=10000,"Excellent",IF(Table1[[#This Row],[Profit]]&gt;5000,"Good","Low"))</f>
        <v>Low</v>
      </c>
      <c r="N365" t="str">
        <f>TEXT(Table1[[#This Row],[Order_Date]],"YYYY")</f>
        <v>2025</v>
      </c>
    </row>
    <row r="366" spans="1:14" x14ac:dyDescent="0.25">
      <c r="A366" s="1">
        <v>45926</v>
      </c>
      <c r="B366" t="s">
        <v>44</v>
      </c>
      <c r="C366" t="s">
        <v>41</v>
      </c>
      <c r="D366">
        <v>5414</v>
      </c>
      <c r="E366">
        <v>4427</v>
      </c>
      <c r="F366">
        <v>987</v>
      </c>
      <c r="G366" t="s">
        <v>13</v>
      </c>
      <c r="H366" t="s">
        <v>28</v>
      </c>
      <c r="I366" t="s">
        <v>53</v>
      </c>
      <c r="J366" s="2">
        <f>Table1[[#This Row],[Profit]]/Table1[[#This Row],[Sales]]*100</f>
        <v>18.230513483561136</v>
      </c>
      <c r="K366" t="str">
        <f>IF(Table1[[#This Row],[Sales]]&gt;=30000,"High", IF(Table1[[#This Row],[Sales]]&gt;=15000,"Medium","Low"))</f>
        <v>Low</v>
      </c>
      <c r="L366" t="str">
        <f>TEXT(Table1[[#This Row],[Order_Date]],"MMM")</f>
        <v>Sep</v>
      </c>
      <c r="M366" t="str">
        <f>IF(Table1[[#This Row],[Profit]]&gt;=10000,"Excellent",IF(Table1[[#This Row],[Profit]]&gt;5000,"Good","Low"))</f>
        <v>Low</v>
      </c>
      <c r="N366" t="str">
        <f>TEXT(Table1[[#This Row],[Order_Date]],"YYYY")</f>
        <v>2025</v>
      </c>
    </row>
    <row r="367" spans="1:14" x14ac:dyDescent="0.25">
      <c r="A367" s="1">
        <v>45291</v>
      </c>
      <c r="B367" t="s">
        <v>17</v>
      </c>
      <c r="C367" t="s">
        <v>18</v>
      </c>
      <c r="D367">
        <v>10456</v>
      </c>
      <c r="E367">
        <v>8210</v>
      </c>
      <c r="F367">
        <v>2246</v>
      </c>
      <c r="G367" t="s">
        <v>13</v>
      </c>
      <c r="H367" t="s">
        <v>45</v>
      </c>
      <c r="I367" t="s">
        <v>24</v>
      </c>
      <c r="J367" s="2">
        <f>Table1[[#This Row],[Profit]]/Table1[[#This Row],[Sales]]*100</f>
        <v>21.480489671002296</v>
      </c>
      <c r="K367" t="str">
        <f>IF(Table1[[#This Row],[Sales]]&gt;=30000,"High", IF(Table1[[#This Row],[Sales]]&gt;=15000,"Medium","Low"))</f>
        <v>Low</v>
      </c>
      <c r="L367" t="str">
        <f>TEXT(Table1[[#This Row],[Order_Date]],"MMM")</f>
        <v>Dec</v>
      </c>
      <c r="M367" t="str">
        <f>IF(Table1[[#This Row],[Profit]]&gt;=10000,"Excellent",IF(Table1[[#This Row],[Profit]]&gt;5000,"Good","Low"))</f>
        <v>Low</v>
      </c>
      <c r="N367" t="str">
        <f>TEXT(Table1[[#This Row],[Order_Date]],"YYYY")</f>
        <v>2023</v>
      </c>
    </row>
    <row r="368" spans="1:14" x14ac:dyDescent="0.25">
      <c r="A368" s="1">
        <v>45421</v>
      </c>
      <c r="B368" t="s">
        <v>17</v>
      </c>
      <c r="C368" t="s">
        <v>12</v>
      </c>
      <c r="D368">
        <v>22504</v>
      </c>
      <c r="E368">
        <v>10793</v>
      </c>
      <c r="F368">
        <v>11711</v>
      </c>
      <c r="G368" t="s">
        <v>38</v>
      </c>
      <c r="H368" t="s">
        <v>14</v>
      </c>
      <c r="I368" t="s">
        <v>15</v>
      </c>
      <c r="J368" s="2">
        <f>Table1[[#This Row],[Profit]]/Table1[[#This Row],[Sales]]*100</f>
        <v>52.039637397795943</v>
      </c>
      <c r="K368" t="str">
        <f>IF(Table1[[#This Row],[Sales]]&gt;=30000,"High", IF(Table1[[#This Row],[Sales]]&gt;=15000,"Medium","Low"))</f>
        <v>Medium</v>
      </c>
      <c r="L368" t="str">
        <f>TEXT(Table1[[#This Row],[Order_Date]],"MMM")</f>
        <v>May</v>
      </c>
      <c r="M368" t="str">
        <f>IF(Table1[[#This Row],[Profit]]&gt;=10000,"Excellent",IF(Table1[[#This Row],[Profit]]&gt;5000,"Good","Low"))</f>
        <v>Excellent</v>
      </c>
      <c r="N368" t="str">
        <f>TEXT(Table1[[#This Row],[Order_Date]],"YYYY")</f>
        <v>2024</v>
      </c>
    </row>
    <row r="369" spans="1:14" x14ac:dyDescent="0.25">
      <c r="A369" s="1">
        <v>45902</v>
      </c>
      <c r="B369" t="s">
        <v>44</v>
      </c>
      <c r="C369" t="s">
        <v>36</v>
      </c>
      <c r="D369">
        <v>45107</v>
      </c>
      <c r="E369">
        <v>28219</v>
      </c>
      <c r="F369">
        <v>16888</v>
      </c>
      <c r="G369" t="s">
        <v>19</v>
      </c>
      <c r="H369" t="s">
        <v>34</v>
      </c>
      <c r="I369" t="s">
        <v>53</v>
      </c>
      <c r="J369" s="2">
        <f>Table1[[#This Row],[Profit]]/Table1[[#This Row],[Sales]]*100</f>
        <v>37.439865209391002</v>
      </c>
      <c r="K369" t="str">
        <f>IF(Table1[[#This Row],[Sales]]&gt;=30000,"High", IF(Table1[[#This Row],[Sales]]&gt;=15000,"Medium","Low"))</f>
        <v>High</v>
      </c>
      <c r="L369" t="str">
        <f>TEXT(Table1[[#This Row],[Order_Date]],"MMM")</f>
        <v>Sep</v>
      </c>
      <c r="M369" t="str">
        <f>IF(Table1[[#This Row],[Profit]]&gt;=10000,"Excellent",IF(Table1[[#This Row],[Profit]]&gt;5000,"Good","Low"))</f>
        <v>Excellent</v>
      </c>
      <c r="N369" t="str">
        <f>TEXT(Table1[[#This Row],[Order_Date]],"YYYY")</f>
        <v>2025</v>
      </c>
    </row>
    <row r="370" spans="1:14" x14ac:dyDescent="0.25">
      <c r="A370" s="1">
        <v>45399</v>
      </c>
      <c r="B370" t="s">
        <v>26</v>
      </c>
      <c r="C370" t="s">
        <v>33</v>
      </c>
      <c r="D370">
        <v>44626</v>
      </c>
      <c r="E370">
        <v>26433</v>
      </c>
      <c r="F370">
        <v>18193</v>
      </c>
      <c r="G370" t="s">
        <v>13</v>
      </c>
      <c r="H370" t="s">
        <v>45</v>
      </c>
      <c r="I370" t="s">
        <v>15</v>
      </c>
      <c r="J370" s="2">
        <f>Table1[[#This Row],[Profit]]/Table1[[#This Row],[Sales]]*100</f>
        <v>40.767713888764398</v>
      </c>
      <c r="K370" t="str">
        <f>IF(Table1[[#This Row],[Sales]]&gt;=30000,"High", IF(Table1[[#This Row],[Sales]]&gt;=15000,"Medium","Low"))</f>
        <v>High</v>
      </c>
      <c r="L370" t="str">
        <f>TEXT(Table1[[#This Row],[Order_Date]],"MMM")</f>
        <v>Apr</v>
      </c>
      <c r="M370" t="str">
        <f>IF(Table1[[#This Row],[Profit]]&gt;=10000,"Excellent",IF(Table1[[#This Row],[Profit]]&gt;5000,"Good","Low"))</f>
        <v>Excellent</v>
      </c>
      <c r="N370" t="str">
        <f>TEXT(Table1[[#This Row],[Order_Date]],"YYYY")</f>
        <v>2024</v>
      </c>
    </row>
    <row r="371" spans="1:14" x14ac:dyDescent="0.25">
      <c r="A371" s="1">
        <v>46048</v>
      </c>
      <c r="B371" t="s">
        <v>26</v>
      </c>
      <c r="C371" t="s">
        <v>41</v>
      </c>
      <c r="D371">
        <v>39897</v>
      </c>
      <c r="E371">
        <v>26251</v>
      </c>
      <c r="F371">
        <v>13646</v>
      </c>
      <c r="G371" t="s">
        <v>27</v>
      </c>
      <c r="H371" t="s">
        <v>45</v>
      </c>
      <c r="I371" t="s">
        <v>15</v>
      </c>
      <c r="J371" s="2">
        <f>Table1[[#This Row],[Profit]]/Table1[[#This Row],[Sales]]*100</f>
        <v>34.203072912750329</v>
      </c>
      <c r="K371" t="str">
        <f>IF(Table1[[#This Row],[Sales]]&gt;=30000,"High", IF(Table1[[#This Row],[Sales]]&gt;=15000,"Medium","Low"))</f>
        <v>High</v>
      </c>
      <c r="L371" t="str">
        <f>TEXT(Table1[[#This Row],[Order_Date]],"MMM")</f>
        <v>Jan</v>
      </c>
      <c r="M371" t="str">
        <f>IF(Table1[[#This Row],[Profit]]&gt;=10000,"Excellent",IF(Table1[[#This Row],[Profit]]&gt;5000,"Good","Low"))</f>
        <v>Excellent</v>
      </c>
      <c r="N371" t="str">
        <f>TEXT(Table1[[#This Row],[Order_Date]],"YYYY")</f>
        <v>2026</v>
      </c>
    </row>
    <row r="372" spans="1:14" x14ac:dyDescent="0.25">
      <c r="A372" s="1">
        <v>46050</v>
      </c>
      <c r="B372" t="s">
        <v>17</v>
      </c>
      <c r="C372" t="s">
        <v>36</v>
      </c>
      <c r="D372">
        <v>11510</v>
      </c>
      <c r="E372">
        <v>8208</v>
      </c>
      <c r="F372">
        <v>3302</v>
      </c>
      <c r="G372" t="s">
        <v>13</v>
      </c>
      <c r="H372" t="s">
        <v>14</v>
      </c>
      <c r="I372" t="s">
        <v>53</v>
      </c>
      <c r="J372" s="2">
        <f>Table1[[#This Row],[Profit]]/Table1[[#This Row],[Sales]]*100</f>
        <v>28.688097306689837</v>
      </c>
      <c r="K372" t="str">
        <f>IF(Table1[[#This Row],[Sales]]&gt;=30000,"High", IF(Table1[[#This Row],[Sales]]&gt;=15000,"Medium","Low"))</f>
        <v>Low</v>
      </c>
      <c r="L372" t="str">
        <f>TEXT(Table1[[#This Row],[Order_Date]],"MMM")</f>
        <v>Jan</v>
      </c>
      <c r="M372" t="str">
        <f>IF(Table1[[#This Row],[Profit]]&gt;=10000,"Excellent",IF(Table1[[#This Row],[Profit]]&gt;5000,"Good","Low"))</f>
        <v>Low</v>
      </c>
      <c r="N372" t="str">
        <f>TEXT(Table1[[#This Row],[Order_Date]],"YYYY")</f>
        <v>2026</v>
      </c>
    </row>
    <row r="373" spans="1:14" x14ac:dyDescent="0.25">
      <c r="A373" s="1">
        <v>45900</v>
      </c>
      <c r="B373" t="s">
        <v>22</v>
      </c>
      <c r="C373" t="s">
        <v>36</v>
      </c>
      <c r="D373">
        <v>25658</v>
      </c>
      <c r="E373">
        <v>21766</v>
      </c>
      <c r="F373">
        <v>3892</v>
      </c>
      <c r="G373" t="s">
        <v>27</v>
      </c>
      <c r="H373" t="s">
        <v>34</v>
      </c>
      <c r="I373" t="s">
        <v>29</v>
      </c>
      <c r="J373" s="2">
        <f>Table1[[#This Row],[Profit]]/Table1[[#This Row],[Sales]]*100</f>
        <v>15.168758282017306</v>
      </c>
      <c r="K373" t="str">
        <f>IF(Table1[[#This Row],[Sales]]&gt;=30000,"High", IF(Table1[[#This Row],[Sales]]&gt;=15000,"Medium","Low"))</f>
        <v>Medium</v>
      </c>
      <c r="L373" t="str">
        <f>TEXT(Table1[[#This Row],[Order_Date]],"MMM")</f>
        <v>Aug</v>
      </c>
      <c r="M373" t="str">
        <f>IF(Table1[[#This Row],[Profit]]&gt;=10000,"Excellent",IF(Table1[[#This Row],[Profit]]&gt;5000,"Good","Low"))</f>
        <v>Low</v>
      </c>
      <c r="N373" t="str">
        <f>TEXT(Table1[[#This Row],[Order_Date]],"YYYY")</f>
        <v>2025</v>
      </c>
    </row>
    <row r="374" spans="1:14" x14ac:dyDescent="0.25">
      <c r="A374" s="1">
        <v>45659</v>
      </c>
      <c r="B374" t="s">
        <v>44</v>
      </c>
      <c r="C374" t="s">
        <v>33</v>
      </c>
      <c r="D374">
        <v>26569</v>
      </c>
      <c r="E374">
        <v>9507</v>
      </c>
      <c r="F374">
        <v>17062</v>
      </c>
      <c r="G374" t="s">
        <v>19</v>
      </c>
      <c r="H374" t="s">
        <v>14</v>
      </c>
      <c r="I374" t="s">
        <v>42</v>
      </c>
      <c r="J374" s="2">
        <f>Table1[[#This Row],[Profit]]/Table1[[#This Row],[Sales]]*100</f>
        <v>64.217697316421393</v>
      </c>
      <c r="K374" t="str">
        <f>IF(Table1[[#This Row],[Sales]]&gt;=30000,"High", IF(Table1[[#This Row],[Sales]]&gt;=15000,"Medium","Low"))</f>
        <v>Medium</v>
      </c>
      <c r="L374" t="str">
        <f>TEXT(Table1[[#This Row],[Order_Date]],"MMM")</f>
        <v>Jan</v>
      </c>
      <c r="M374" t="str">
        <f>IF(Table1[[#This Row],[Profit]]&gt;=10000,"Excellent",IF(Table1[[#This Row],[Profit]]&gt;5000,"Good","Low"))</f>
        <v>Excellent</v>
      </c>
      <c r="N374" t="str">
        <f>TEXT(Table1[[#This Row],[Order_Date]],"YYYY")</f>
        <v>2025</v>
      </c>
    </row>
    <row r="375" spans="1:14" x14ac:dyDescent="0.25">
      <c r="A375" s="1">
        <v>45550</v>
      </c>
      <c r="B375" t="s">
        <v>11</v>
      </c>
      <c r="C375" t="s">
        <v>41</v>
      </c>
      <c r="D375">
        <v>23229</v>
      </c>
      <c r="E375">
        <v>11054</v>
      </c>
      <c r="F375">
        <v>12175</v>
      </c>
      <c r="G375" t="s">
        <v>19</v>
      </c>
      <c r="H375" t="s">
        <v>23</v>
      </c>
      <c r="I375" t="s">
        <v>24</v>
      </c>
      <c r="J375" s="2">
        <f>Table1[[#This Row],[Profit]]/Table1[[#This Row],[Sales]]*100</f>
        <v>52.412932110723666</v>
      </c>
      <c r="K375" t="str">
        <f>IF(Table1[[#This Row],[Sales]]&gt;=30000,"High", IF(Table1[[#This Row],[Sales]]&gt;=15000,"Medium","Low"))</f>
        <v>Medium</v>
      </c>
      <c r="L375" t="str">
        <f>TEXT(Table1[[#This Row],[Order_Date]],"MMM")</f>
        <v>Sep</v>
      </c>
      <c r="M375" t="str">
        <f>IF(Table1[[#This Row],[Profit]]&gt;=10000,"Excellent",IF(Table1[[#This Row],[Profit]]&gt;5000,"Good","Low"))</f>
        <v>Excellent</v>
      </c>
      <c r="N375" t="str">
        <f>TEXT(Table1[[#This Row],[Order_Date]],"YYYY")</f>
        <v>2024</v>
      </c>
    </row>
    <row r="376" spans="1:14" x14ac:dyDescent="0.25">
      <c r="A376" s="1">
        <v>45368</v>
      </c>
      <c r="B376" t="s">
        <v>26</v>
      </c>
      <c r="C376" t="s">
        <v>36</v>
      </c>
      <c r="D376">
        <v>28365</v>
      </c>
      <c r="E376">
        <v>17350</v>
      </c>
      <c r="F376">
        <v>11015</v>
      </c>
      <c r="G376" t="s">
        <v>13</v>
      </c>
      <c r="H376" t="s">
        <v>63</v>
      </c>
      <c r="I376" t="s">
        <v>42</v>
      </c>
      <c r="J376" s="2">
        <f>Table1[[#This Row],[Profit]]/Table1[[#This Row],[Sales]]*100</f>
        <v>38.833068922968444</v>
      </c>
      <c r="K376" t="str">
        <f>IF(Table1[[#This Row],[Sales]]&gt;=30000,"High", IF(Table1[[#This Row],[Sales]]&gt;=15000,"Medium","Low"))</f>
        <v>Medium</v>
      </c>
      <c r="L376" t="str">
        <f>TEXT(Table1[[#This Row],[Order_Date]],"MMM")</f>
        <v>Mar</v>
      </c>
      <c r="M376" t="str">
        <f>IF(Table1[[#This Row],[Profit]]&gt;=10000,"Excellent",IF(Table1[[#This Row],[Profit]]&gt;5000,"Good","Low"))</f>
        <v>Excellent</v>
      </c>
      <c r="N376" t="str">
        <f>TEXT(Table1[[#This Row],[Order_Date]],"YYYY")</f>
        <v>2024</v>
      </c>
    </row>
    <row r="377" spans="1:14" x14ac:dyDescent="0.25">
      <c r="A377" s="1">
        <v>45197</v>
      </c>
      <c r="B377" t="s">
        <v>44</v>
      </c>
      <c r="C377" t="s">
        <v>18</v>
      </c>
      <c r="D377">
        <v>5245</v>
      </c>
      <c r="E377">
        <v>1489</v>
      </c>
      <c r="F377">
        <v>3756</v>
      </c>
      <c r="G377" t="s">
        <v>38</v>
      </c>
      <c r="H377" t="s">
        <v>63</v>
      </c>
      <c r="I377" t="s">
        <v>24</v>
      </c>
      <c r="J377" s="2">
        <f>Table1[[#This Row],[Profit]]/Table1[[#This Row],[Sales]]*100</f>
        <v>71.611058150619627</v>
      </c>
      <c r="K377" t="str">
        <f>IF(Table1[[#This Row],[Sales]]&gt;=30000,"High", IF(Table1[[#This Row],[Sales]]&gt;=15000,"Medium","Low"))</f>
        <v>Low</v>
      </c>
      <c r="L377" t="str">
        <f>TEXT(Table1[[#This Row],[Order_Date]],"MMM")</f>
        <v>Sep</v>
      </c>
      <c r="M377" t="str">
        <f>IF(Table1[[#This Row],[Profit]]&gt;=10000,"Excellent",IF(Table1[[#This Row],[Profit]]&gt;5000,"Good","Low"))</f>
        <v>Low</v>
      </c>
      <c r="N377" t="str">
        <f>TEXT(Table1[[#This Row],[Order_Date]],"YYYY")</f>
        <v>2023</v>
      </c>
    </row>
    <row r="378" spans="1:14" x14ac:dyDescent="0.25">
      <c r="A378" s="1">
        <v>45692</v>
      </c>
      <c r="B378" t="s">
        <v>11</v>
      </c>
      <c r="C378" t="s">
        <v>12</v>
      </c>
      <c r="D378">
        <v>22947</v>
      </c>
      <c r="E378">
        <v>15869</v>
      </c>
      <c r="F378">
        <v>7078</v>
      </c>
      <c r="G378" t="s">
        <v>19</v>
      </c>
      <c r="H378" t="s">
        <v>60</v>
      </c>
      <c r="I378" t="s">
        <v>42</v>
      </c>
      <c r="J378" s="2">
        <f>Table1[[#This Row],[Profit]]/Table1[[#This Row],[Sales]]*100</f>
        <v>30.844990630583517</v>
      </c>
      <c r="K378" t="str">
        <f>IF(Table1[[#This Row],[Sales]]&gt;=30000,"High", IF(Table1[[#This Row],[Sales]]&gt;=15000,"Medium","Low"))</f>
        <v>Medium</v>
      </c>
      <c r="L378" t="str">
        <f>TEXT(Table1[[#This Row],[Order_Date]],"MMM")</f>
        <v>Feb</v>
      </c>
      <c r="M378" t="str">
        <f>IF(Table1[[#This Row],[Profit]]&gt;=10000,"Excellent",IF(Table1[[#This Row],[Profit]]&gt;5000,"Good","Low"))</f>
        <v>Good</v>
      </c>
      <c r="N378" t="str">
        <f>TEXT(Table1[[#This Row],[Order_Date]],"YYYY")</f>
        <v>2025</v>
      </c>
    </row>
    <row r="379" spans="1:14" x14ac:dyDescent="0.25">
      <c r="A379" s="1">
        <v>46041</v>
      </c>
      <c r="B379" t="s">
        <v>17</v>
      </c>
      <c r="C379" t="s">
        <v>41</v>
      </c>
      <c r="D379">
        <v>41806</v>
      </c>
      <c r="E379">
        <v>24050</v>
      </c>
      <c r="F379">
        <v>17756</v>
      </c>
      <c r="G379" t="s">
        <v>19</v>
      </c>
      <c r="H379" t="s">
        <v>63</v>
      </c>
      <c r="I379" t="s">
        <v>53</v>
      </c>
      <c r="J379" s="2">
        <f>Table1[[#This Row],[Profit]]/Table1[[#This Row],[Sales]]*100</f>
        <v>42.472372386738741</v>
      </c>
      <c r="K379" t="str">
        <f>IF(Table1[[#This Row],[Sales]]&gt;=30000,"High", IF(Table1[[#This Row],[Sales]]&gt;=15000,"Medium","Low"))</f>
        <v>High</v>
      </c>
      <c r="L379" t="str">
        <f>TEXT(Table1[[#This Row],[Order_Date]],"MMM")</f>
        <v>Jan</v>
      </c>
      <c r="M379" t="str">
        <f>IF(Table1[[#This Row],[Profit]]&gt;=10000,"Excellent",IF(Table1[[#This Row],[Profit]]&gt;5000,"Good","Low"))</f>
        <v>Excellent</v>
      </c>
      <c r="N379" t="str">
        <f>TEXT(Table1[[#This Row],[Order_Date]],"YYYY")</f>
        <v>2026</v>
      </c>
    </row>
    <row r="380" spans="1:14" x14ac:dyDescent="0.25">
      <c r="A380" s="1">
        <v>46107</v>
      </c>
      <c r="B380" t="s">
        <v>17</v>
      </c>
      <c r="C380" t="s">
        <v>36</v>
      </c>
      <c r="D380">
        <v>47250</v>
      </c>
      <c r="E380">
        <v>34346</v>
      </c>
      <c r="F380">
        <v>12904</v>
      </c>
      <c r="G380" t="s">
        <v>27</v>
      </c>
      <c r="H380" t="s">
        <v>28</v>
      </c>
      <c r="I380" t="s">
        <v>29</v>
      </c>
      <c r="J380" s="2">
        <f>Table1[[#This Row],[Profit]]/Table1[[#This Row],[Sales]]*100</f>
        <v>27.310052910052914</v>
      </c>
      <c r="K380" t="str">
        <f>IF(Table1[[#This Row],[Sales]]&gt;=30000,"High", IF(Table1[[#This Row],[Sales]]&gt;=15000,"Medium","Low"))</f>
        <v>High</v>
      </c>
      <c r="L380" t="str">
        <f>TEXT(Table1[[#This Row],[Order_Date]],"MMM")</f>
        <v>Mar</v>
      </c>
      <c r="M380" t="str">
        <f>IF(Table1[[#This Row],[Profit]]&gt;=10000,"Excellent",IF(Table1[[#This Row],[Profit]]&gt;5000,"Good","Low"))</f>
        <v>Excellent</v>
      </c>
      <c r="N380" t="str">
        <f>TEXT(Table1[[#This Row],[Order_Date]],"YYYY")</f>
        <v>2026</v>
      </c>
    </row>
    <row r="381" spans="1:14" x14ac:dyDescent="0.25">
      <c r="A381" s="1">
        <v>45522</v>
      </c>
      <c r="B381" t="s">
        <v>44</v>
      </c>
      <c r="C381" t="s">
        <v>18</v>
      </c>
      <c r="D381">
        <v>22628</v>
      </c>
      <c r="E381">
        <v>20388</v>
      </c>
      <c r="F381">
        <v>2240</v>
      </c>
      <c r="G381" t="s">
        <v>19</v>
      </c>
      <c r="H381" t="s">
        <v>28</v>
      </c>
      <c r="I381" t="s">
        <v>24</v>
      </c>
      <c r="J381" s="2">
        <f>Table1[[#This Row],[Profit]]/Table1[[#This Row],[Sales]]*100</f>
        <v>9.8992398797949441</v>
      </c>
      <c r="K381" t="str">
        <f>IF(Table1[[#This Row],[Sales]]&gt;=30000,"High", IF(Table1[[#This Row],[Sales]]&gt;=15000,"Medium","Low"))</f>
        <v>Medium</v>
      </c>
      <c r="L381" t="str">
        <f>TEXT(Table1[[#This Row],[Order_Date]],"MMM")</f>
        <v>Aug</v>
      </c>
      <c r="M381" t="str">
        <f>IF(Table1[[#This Row],[Profit]]&gt;=10000,"Excellent",IF(Table1[[#This Row],[Profit]]&gt;5000,"Good","Low"))</f>
        <v>Low</v>
      </c>
      <c r="N381" t="str">
        <f>TEXT(Table1[[#This Row],[Order_Date]],"YYYY")</f>
        <v>2024</v>
      </c>
    </row>
    <row r="382" spans="1:14" x14ac:dyDescent="0.25">
      <c r="A382" s="1">
        <v>45337</v>
      </c>
      <c r="B382" t="s">
        <v>11</v>
      </c>
      <c r="C382" t="s">
        <v>33</v>
      </c>
      <c r="D382">
        <v>48284</v>
      </c>
      <c r="E382">
        <v>35188</v>
      </c>
      <c r="F382">
        <v>13096</v>
      </c>
      <c r="G382" t="s">
        <v>13</v>
      </c>
      <c r="H382" t="s">
        <v>31</v>
      </c>
      <c r="I382" t="s">
        <v>24</v>
      </c>
      <c r="J382" s="2">
        <f>Table1[[#This Row],[Profit]]/Table1[[#This Row],[Sales]]*100</f>
        <v>27.122856432772764</v>
      </c>
      <c r="K382" t="str">
        <f>IF(Table1[[#This Row],[Sales]]&gt;=30000,"High", IF(Table1[[#This Row],[Sales]]&gt;=15000,"Medium","Low"))</f>
        <v>High</v>
      </c>
      <c r="L382" t="str">
        <f>TEXT(Table1[[#This Row],[Order_Date]],"MMM")</f>
        <v>Feb</v>
      </c>
      <c r="M382" t="str">
        <f>IF(Table1[[#This Row],[Profit]]&gt;=10000,"Excellent",IF(Table1[[#This Row],[Profit]]&gt;5000,"Good","Low"))</f>
        <v>Excellent</v>
      </c>
      <c r="N382" t="str">
        <f>TEXT(Table1[[#This Row],[Order_Date]],"YYYY")</f>
        <v>2024</v>
      </c>
    </row>
    <row r="383" spans="1:14" x14ac:dyDescent="0.25">
      <c r="A383" s="1">
        <v>45292</v>
      </c>
      <c r="B383" t="s">
        <v>17</v>
      </c>
      <c r="C383" t="s">
        <v>33</v>
      </c>
      <c r="D383">
        <v>30288</v>
      </c>
      <c r="E383">
        <v>23574</v>
      </c>
      <c r="F383">
        <v>6714</v>
      </c>
      <c r="G383" t="s">
        <v>19</v>
      </c>
      <c r="H383" t="s">
        <v>28</v>
      </c>
      <c r="I383" t="s">
        <v>53</v>
      </c>
      <c r="J383" s="2">
        <f>Table1[[#This Row],[Profit]]/Table1[[#This Row],[Sales]]*100</f>
        <v>22.167194928684626</v>
      </c>
      <c r="K383" t="str">
        <f>IF(Table1[[#This Row],[Sales]]&gt;=30000,"High", IF(Table1[[#This Row],[Sales]]&gt;=15000,"Medium","Low"))</f>
        <v>High</v>
      </c>
      <c r="L383" t="str">
        <f>TEXT(Table1[[#This Row],[Order_Date]],"MMM")</f>
        <v>Jan</v>
      </c>
      <c r="M383" t="str">
        <f>IF(Table1[[#This Row],[Profit]]&gt;=10000,"Excellent",IF(Table1[[#This Row],[Profit]]&gt;5000,"Good","Low"))</f>
        <v>Good</v>
      </c>
      <c r="N383" t="str">
        <f>TEXT(Table1[[#This Row],[Order_Date]],"YYYY")</f>
        <v>2024</v>
      </c>
    </row>
    <row r="384" spans="1:14" x14ac:dyDescent="0.25">
      <c r="A384" s="1">
        <v>45642</v>
      </c>
      <c r="B384" t="s">
        <v>44</v>
      </c>
      <c r="C384" t="s">
        <v>36</v>
      </c>
      <c r="D384">
        <v>17906</v>
      </c>
      <c r="E384">
        <v>5736</v>
      </c>
      <c r="F384">
        <v>12170</v>
      </c>
      <c r="G384" t="s">
        <v>13</v>
      </c>
      <c r="H384" t="s">
        <v>63</v>
      </c>
      <c r="I384" t="s">
        <v>24</v>
      </c>
      <c r="J384" s="2">
        <f>Table1[[#This Row],[Profit]]/Table1[[#This Row],[Sales]]*100</f>
        <v>67.966044901150454</v>
      </c>
      <c r="K384" t="str">
        <f>IF(Table1[[#This Row],[Sales]]&gt;=30000,"High", IF(Table1[[#This Row],[Sales]]&gt;=15000,"Medium","Low"))</f>
        <v>Medium</v>
      </c>
      <c r="L384" t="str">
        <f>TEXT(Table1[[#This Row],[Order_Date]],"MMM")</f>
        <v>Dec</v>
      </c>
      <c r="M384" t="str">
        <f>IF(Table1[[#This Row],[Profit]]&gt;=10000,"Excellent",IF(Table1[[#This Row],[Profit]]&gt;5000,"Good","Low"))</f>
        <v>Excellent</v>
      </c>
      <c r="N384" t="str">
        <f>TEXT(Table1[[#This Row],[Order_Date]],"YYYY")</f>
        <v>2024</v>
      </c>
    </row>
    <row r="385" spans="1:14" x14ac:dyDescent="0.25">
      <c r="A385" s="1">
        <v>45761</v>
      </c>
      <c r="B385" t="s">
        <v>17</v>
      </c>
      <c r="C385" t="s">
        <v>41</v>
      </c>
      <c r="D385">
        <v>48572</v>
      </c>
      <c r="E385">
        <v>39402</v>
      </c>
      <c r="F385">
        <v>9170</v>
      </c>
      <c r="G385" t="s">
        <v>38</v>
      </c>
      <c r="H385" t="s">
        <v>14</v>
      </c>
      <c r="I385" t="s">
        <v>42</v>
      </c>
      <c r="J385" s="2">
        <f>Table1[[#This Row],[Profit]]/Table1[[#This Row],[Sales]]*100</f>
        <v>18.879189656592278</v>
      </c>
      <c r="K385" t="str">
        <f>IF(Table1[[#This Row],[Sales]]&gt;=30000,"High", IF(Table1[[#This Row],[Sales]]&gt;=15000,"Medium","Low"))</f>
        <v>High</v>
      </c>
      <c r="L385" t="str">
        <f>TEXT(Table1[[#This Row],[Order_Date]],"MMM")</f>
        <v>Apr</v>
      </c>
      <c r="M385" t="str">
        <f>IF(Table1[[#This Row],[Profit]]&gt;=10000,"Excellent",IF(Table1[[#This Row],[Profit]]&gt;5000,"Good","Low"))</f>
        <v>Good</v>
      </c>
      <c r="N385" t="str">
        <f>TEXT(Table1[[#This Row],[Order_Date]],"YYYY")</f>
        <v>2025</v>
      </c>
    </row>
    <row r="386" spans="1:14" x14ac:dyDescent="0.25">
      <c r="A386" s="1">
        <v>45479</v>
      </c>
      <c r="B386" t="s">
        <v>22</v>
      </c>
      <c r="C386" t="s">
        <v>41</v>
      </c>
      <c r="D386">
        <v>20117</v>
      </c>
      <c r="E386">
        <v>10133</v>
      </c>
      <c r="F386">
        <v>9984</v>
      </c>
      <c r="G386" t="s">
        <v>38</v>
      </c>
      <c r="H386" t="s">
        <v>28</v>
      </c>
      <c r="I386" t="s">
        <v>24</v>
      </c>
      <c r="J386" s="2">
        <f>Table1[[#This Row],[Profit]]/Table1[[#This Row],[Sales]]*100</f>
        <v>49.629666451260128</v>
      </c>
      <c r="K386" t="str">
        <f>IF(Table1[[#This Row],[Sales]]&gt;=30000,"High", IF(Table1[[#This Row],[Sales]]&gt;=15000,"Medium","Low"))</f>
        <v>Medium</v>
      </c>
      <c r="L386" t="str">
        <f>TEXT(Table1[[#This Row],[Order_Date]],"MMM")</f>
        <v>Jul</v>
      </c>
      <c r="M386" t="str">
        <f>IF(Table1[[#This Row],[Profit]]&gt;=10000,"Excellent",IF(Table1[[#This Row],[Profit]]&gt;5000,"Good","Low"))</f>
        <v>Good</v>
      </c>
      <c r="N386" t="str">
        <f>TEXT(Table1[[#This Row],[Order_Date]],"YYYY")</f>
        <v>2024</v>
      </c>
    </row>
    <row r="387" spans="1:14" x14ac:dyDescent="0.25">
      <c r="A387" s="1">
        <v>45420</v>
      </c>
      <c r="B387" t="s">
        <v>11</v>
      </c>
      <c r="C387" t="s">
        <v>36</v>
      </c>
      <c r="D387">
        <v>26221</v>
      </c>
      <c r="E387">
        <v>8381</v>
      </c>
      <c r="F387">
        <v>17840</v>
      </c>
      <c r="G387" t="s">
        <v>19</v>
      </c>
      <c r="H387" t="s">
        <v>60</v>
      </c>
      <c r="I387" t="s">
        <v>15</v>
      </c>
      <c r="J387" s="2">
        <f>Table1[[#This Row],[Profit]]/Table1[[#This Row],[Sales]]*100</f>
        <v>68.037069524426983</v>
      </c>
      <c r="K387" t="str">
        <f>IF(Table1[[#This Row],[Sales]]&gt;=30000,"High", IF(Table1[[#This Row],[Sales]]&gt;=15000,"Medium","Low"))</f>
        <v>Medium</v>
      </c>
      <c r="L387" t="str">
        <f>TEXT(Table1[[#This Row],[Order_Date]],"MMM")</f>
        <v>May</v>
      </c>
      <c r="M387" t="str">
        <f>IF(Table1[[#This Row],[Profit]]&gt;=10000,"Excellent",IF(Table1[[#This Row],[Profit]]&gt;5000,"Good","Low"))</f>
        <v>Excellent</v>
      </c>
      <c r="N387" t="str">
        <f>TEXT(Table1[[#This Row],[Order_Date]],"YYYY")</f>
        <v>2024</v>
      </c>
    </row>
    <row r="388" spans="1:14" x14ac:dyDescent="0.25">
      <c r="A388" s="1">
        <v>45585</v>
      </c>
      <c r="B388" t="s">
        <v>11</v>
      </c>
      <c r="C388" t="s">
        <v>12</v>
      </c>
      <c r="D388">
        <v>18155</v>
      </c>
      <c r="E388">
        <v>860</v>
      </c>
      <c r="F388">
        <v>17295</v>
      </c>
      <c r="G388" t="s">
        <v>19</v>
      </c>
      <c r="H388" t="s">
        <v>34</v>
      </c>
      <c r="I388" t="s">
        <v>53</v>
      </c>
      <c r="J388" s="2">
        <f>Table1[[#This Row],[Profit]]/Table1[[#This Row],[Sales]]*100</f>
        <v>95.263012944092537</v>
      </c>
      <c r="K388" t="str">
        <f>IF(Table1[[#This Row],[Sales]]&gt;=30000,"High", IF(Table1[[#This Row],[Sales]]&gt;=15000,"Medium","Low"))</f>
        <v>Medium</v>
      </c>
      <c r="L388" t="str">
        <f>TEXT(Table1[[#This Row],[Order_Date]],"MMM")</f>
        <v>Oct</v>
      </c>
      <c r="M388" t="str">
        <f>IF(Table1[[#This Row],[Profit]]&gt;=10000,"Excellent",IF(Table1[[#This Row],[Profit]]&gt;5000,"Good","Low"))</f>
        <v>Excellent</v>
      </c>
      <c r="N388" t="str">
        <f>TEXT(Table1[[#This Row],[Order_Date]],"YYYY")</f>
        <v>2024</v>
      </c>
    </row>
    <row r="389" spans="1:14" x14ac:dyDescent="0.25">
      <c r="A389" s="1">
        <v>45369</v>
      </c>
      <c r="B389" t="s">
        <v>26</v>
      </c>
      <c r="C389" t="s">
        <v>36</v>
      </c>
      <c r="D389">
        <v>38710</v>
      </c>
      <c r="E389">
        <v>31611</v>
      </c>
      <c r="F389">
        <v>7099</v>
      </c>
      <c r="G389" t="s">
        <v>27</v>
      </c>
      <c r="H389" t="s">
        <v>60</v>
      </c>
      <c r="I389" t="s">
        <v>15</v>
      </c>
      <c r="J389" s="2">
        <f>Table1[[#This Row],[Profit]]/Table1[[#This Row],[Sales]]*100</f>
        <v>18.338930508912426</v>
      </c>
      <c r="K389" t="str">
        <f>IF(Table1[[#This Row],[Sales]]&gt;=30000,"High", IF(Table1[[#This Row],[Sales]]&gt;=15000,"Medium","Low"))</f>
        <v>High</v>
      </c>
      <c r="L389" t="str">
        <f>TEXT(Table1[[#This Row],[Order_Date]],"MMM")</f>
        <v>Mar</v>
      </c>
      <c r="M389" t="str">
        <f>IF(Table1[[#This Row],[Profit]]&gt;=10000,"Excellent",IF(Table1[[#This Row],[Profit]]&gt;5000,"Good","Low"))</f>
        <v>Good</v>
      </c>
      <c r="N389" t="str">
        <f>TEXT(Table1[[#This Row],[Order_Date]],"YYYY")</f>
        <v>2024</v>
      </c>
    </row>
    <row r="390" spans="1:14" x14ac:dyDescent="0.25">
      <c r="A390" s="1">
        <v>45803</v>
      </c>
      <c r="B390" t="s">
        <v>17</v>
      </c>
      <c r="C390" t="s">
        <v>41</v>
      </c>
      <c r="D390">
        <v>43633</v>
      </c>
      <c r="E390">
        <v>31203</v>
      </c>
      <c r="F390">
        <v>12430</v>
      </c>
      <c r="G390" t="s">
        <v>13</v>
      </c>
      <c r="H390" t="s">
        <v>31</v>
      </c>
      <c r="I390" t="s">
        <v>15</v>
      </c>
      <c r="J390" s="2">
        <f>Table1[[#This Row],[Profit]]/Table1[[#This Row],[Sales]]*100</f>
        <v>28.487612586803568</v>
      </c>
      <c r="K390" t="str">
        <f>IF(Table1[[#This Row],[Sales]]&gt;=30000,"High", IF(Table1[[#This Row],[Sales]]&gt;=15000,"Medium","Low"))</f>
        <v>High</v>
      </c>
      <c r="L390" t="str">
        <f>TEXT(Table1[[#This Row],[Order_Date]],"MMM")</f>
        <v>May</v>
      </c>
      <c r="M390" t="str">
        <f>IF(Table1[[#This Row],[Profit]]&gt;=10000,"Excellent",IF(Table1[[#This Row],[Profit]]&gt;5000,"Good","Low"))</f>
        <v>Excellent</v>
      </c>
      <c r="N390" t="str">
        <f>TEXT(Table1[[#This Row],[Order_Date]],"YYYY")</f>
        <v>2025</v>
      </c>
    </row>
    <row r="391" spans="1:14" x14ac:dyDescent="0.25">
      <c r="A391" s="1">
        <v>45176</v>
      </c>
      <c r="B391" t="s">
        <v>22</v>
      </c>
      <c r="C391" t="s">
        <v>18</v>
      </c>
      <c r="D391">
        <v>21074</v>
      </c>
      <c r="E391">
        <v>10047</v>
      </c>
      <c r="F391">
        <v>11027</v>
      </c>
      <c r="G391" t="s">
        <v>38</v>
      </c>
      <c r="H391" t="s">
        <v>45</v>
      </c>
      <c r="I391" t="s">
        <v>29</v>
      </c>
      <c r="J391" s="2">
        <f>Table1[[#This Row],[Profit]]/Table1[[#This Row],[Sales]]*100</f>
        <v>52.325139982917335</v>
      </c>
      <c r="K391" t="str">
        <f>IF(Table1[[#This Row],[Sales]]&gt;=30000,"High", IF(Table1[[#This Row],[Sales]]&gt;=15000,"Medium","Low"))</f>
        <v>Medium</v>
      </c>
      <c r="L391" t="str">
        <f>TEXT(Table1[[#This Row],[Order_Date]],"MMM")</f>
        <v>Sep</v>
      </c>
      <c r="M391" t="str">
        <f>IF(Table1[[#This Row],[Profit]]&gt;=10000,"Excellent",IF(Table1[[#This Row],[Profit]]&gt;5000,"Good","Low"))</f>
        <v>Excellent</v>
      </c>
      <c r="N391" t="str">
        <f>TEXT(Table1[[#This Row],[Order_Date]],"YYYY")</f>
        <v>2023</v>
      </c>
    </row>
    <row r="392" spans="1:14" x14ac:dyDescent="0.25">
      <c r="A392" s="1">
        <v>46017</v>
      </c>
      <c r="B392" t="s">
        <v>17</v>
      </c>
      <c r="C392" t="s">
        <v>18</v>
      </c>
      <c r="D392">
        <v>42321</v>
      </c>
      <c r="E392">
        <v>24672</v>
      </c>
      <c r="F392">
        <v>17649</v>
      </c>
      <c r="G392" t="s">
        <v>27</v>
      </c>
      <c r="H392" t="s">
        <v>20</v>
      </c>
      <c r="I392" t="s">
        <v>24</v>
      </c>
      <c r="J392" s="2">
        <f>Table1[[#This Row],[Profit]]/Table1[[#This Row],[Sales]]*100</f>
        <v>41.702700786843408</v>
      </c>
      <c r="K392" t="str">
        <f>IF(Table1[[#This Row],[Sales]]&gt;=30000,"High", IF(Table1[[#This Row],[Sales]]&gt;=15000,"Medium","Low"))</f>
        <v>High</v>
      </c>
      <c r="L392" t="str">
        <f>TEXT(Table1[[#This Row],[Order_Date]],"MMM")</f>
        <v>Dec</v>
      </c>
      <c r="M392" t="str">
        <f>IF(Table1[[#This Row],[Profit]]&gt;=10000,"Excellent",IF(Table1[[#This Row],[Profit]]&gt;5000,"Good","Low"))</f>
        <v>Excellent</v>
      </c>
      <c r="N392" t="str">
        <f>TEXT(Table1[[#This Row],[Order_Date]],"YYYY")</f>
        <v>2025</v>
      </c>
    </row>
    <row r="393" spans="1:14" x14ac:dyDescent="0.25">
      <c r="A393" s="1">
        <v>46065</v>
      </c>
      <c r="B393" t="s">
        <v>17</v>
      </c>
      <c r="C393" t="s">
        <v>36</v>
      </c>
      <c r="D393">
        <v>22840</v>
      </c>
      <c r="E393">
        <v>12315</v>
      </c>
      <c r="F393">
        <v>10525</v>
      </c>
      <c r="G393" t="s">
        <v>38</v>
      </c>
      <c r="H393" t="s">
        <v>31</v>
      </c>
      <c r="I393" t="s">
        <v>29</v>
      </c>
      <c r="J393" s="2">
        <f>Table1[[#This Row],[Profit]]/Table1[[#This Row],[Sales]]*100</f>
        <v>46.081436077057788</v>
      </c>
      <c r="K393" t="str">
        <f>IF(Table1[[#This Row],[Sales]]&gt;=30000,"High", IF(Table1[[#This Row],[Sales]]&gt;=15000,"Medium","Low"))</f>
        <v>Medium</v>
      </c>
      <c r="L393" t="str">
        <f>TEXT(Table1[[#This Row],[Order_Date]],"MMM")</f>
        <v>Feb</v>
      </c>
      <c r="M393" t="str">
        <f>IF(Table1[[#This Row],[Profit]]&gt;=10000,"Excellent",IF(Table1[[#This Row],[Profit]]&gt;5000,"Good","Low"))</f>
        <v>Excellent</v>
      </c>
      <c r="N393" t="str">
        <f>TEXT(Table1[[#This Row],[Order_Date]],"YYYY")</f>
        <v>2026</v>
      </c>
    </row>
    <row r="394" spans="1:14" x14ac:dyDescent="0.25">
      <c r="A394" s="1">
        <v>45987</v>
      </c>
      <c r="B394" t="s">
        <v>22</v>
      </c>
      <c r="C394" t="s">
        <v>33</v>
      </c>
      <c r="D394">
        <v>5752</v>
      </c>
      <c r="E394">
        <v>5163</v>
      </c>
      <c r="F394">
        <v>589</v>
      </c>
      <c r="G394" t="s">
        <v>27</v>
      </c>
      <c r="H394" t="s">
        <v>63</v>
      </c>
      <c r="I394" t="s">
        <v>15</v>
      </c>
      <c r="J394" s="2">
        <f>Table1[[#This Row],[Profit]]/Table1[[#This Row],[Sales]]*100</f>
        <v>10.239916550764953</v>
      </c>
      <c r="K394" t="str">
        <f>IF(Table1[[#This Row],[Sales]]&gt;=30000,"High", IF(Table1[[#This Row],[Sales]]&gt;=15000,"Medium","Low"))</f>
        <v>Low</v>
      </c>
      <c r="L394" t="str">
        <f>TEXT(Table1[[#This Row],[Order_Date]],"MMM")</f>
        <v>Nov</v>
      </c>
      <c r="M394" t="str">
        <f>IF(Table1[[#This Row],[Profit]]&gt;=10000,"Excellent",IF(Table1[[#This Row],[Profit]]&gt;5000,"Good","Low"))</f>
        <v>Low</v>
      </c>
      <c r="N394" t="str">
        <f>TEXT(Table1[[#This Row],[Order_Date]],"YYYY")</f>
        <v>2025</v>
      </c>
    </row>
    <row r="395" spans="1:14" x14ac:dyDescent="0.25">
      <c r="A395" s="1">
        <v>45878</v>
      </c>
      <c r="B395" t="s">
        <v>22</v>
      </c>
      <c r="C395" t="s">
        <v>12</v>
      </c>
      <c r="D395">
        <v>14076</v>
      </c>
      <c r="E395">
        <v>5165</v>
      </c>
      <c r="F395">
        <v>8911</v>
      </c>
      <c r="G395" t="s">
        <v>19</v>
      </c>
      <c r="H395" t="s">
        <v>14</v>
      </c>
      <c r="I395" t="s">
        <v>53</v>
      </c>
      <c r="J395" s="2">
        <f>Table1[[#This Row],[Profit]]/Table1[[#This Row],[Sales]]*100</f>
        <v>63.306337027564652</v>
      </c>
      <c r="K395" t="str">
        <f>IF(Table1[[#This Row],[Sales]]&gt;=30000,"High", IF(Table1[[#This Row],[Sales]]&gt;=15000,"Medium","Low"))</f>
        <v>Low</v>
      </c>
      <c r="L395" t="str">
        <f>TEXT(Table1[[#This Row],[Order_Date]],"MMM")</f>
        <v>Aug</v>
      </c>
      <c r="M395" t="str">
        <f>IF(Table1[[#This Row],[Profit]]&gt;=10000,"Excellent",IF(Table1[[#This Row],[Profit]]&gt;5000,"Good","Low"))</f>
        <v>Good</v>
      </c>
      <c r="N395" t="str">
        <f>TEXT(Table1[[#This Row],[Order_Date]],"YYYY")</f>
        <v>2025</v>
      </c>
    </row>
    <row r="396" spans="1:14" x14ac:dyDescent="0.25">
      <c r="A396" s="1">
        <v>45797</v>
      </c>
      <c r="B396" t="s">
        <v>26</v>
      </c>
      <c r="C396" t="s">
        <v>41</v>
      </c>
      <c r="D396">
        <v>28174</v>
      </c>
      <c r="E396">
        <v>15734</v>
      </c>
      <c r="F396">
        <v>12440</v>
      </c>
      <c r="G396" t="s">
        <v>38</v>
      </c>
      <c r="H396" t="s">
        <v>31</v>
      </c>
      <c r="I396" t="s">
        <v>24</v>
      </c>
      <c r="J396" s="2">
        <f>Table1[[#This Row],[Profit]]/Table1[[#This Row],[Sales]]*100</f>
        <v>44.154184709306456</v>
      </c>
      <c r="K396" t="str">
        <f>IF(Table1[[#This Row],[Sales]]&gt;=30000,"High", IF(Table1[[#This Row],[Sales]]&gt;=15000,"Medium","Low"))</f>
        <v>Medium</v>
      </c>
      <c r="L396" t="str">
        <f>TEXT(Table1[[#This Row],[Order_Date]],"MMM")</f>
        <v>May</v>
      </c>
      <c r="M396" t="str">
        <f>IF(Table1[[#This Row],[Profit]]&gt;=10000,"Excellent",IF(Table1[[#This Row],[Profit]]&gt;5000,"Good","Low"))</f>
        <v>Excellent</v>
      </c>
      <c r="N396" t="str">
        <f>TEXT(Table1[[#This Row],[Order_Date]],"YYYY")</f>
        <v>2025</v>
      </c>
    </row>
    <row r="397" spans="1:14" x14ac:dyDescent="0.25">
      <c r="A397" s="1">
        <v>45138</v>
      </c>
      <c r="B397" t="s">
        <v>17</v>
      </c>
      <c r="C397" t="s">
        <v>18</v>
      </c>
      <c r="D397">
        <v>37468</v>
      </c>
      <c r="E397">
        <v>34484</v>
      </c>
      <c r="F397">
        <v>2984</v>
      </c>
      <c r="G397" t="s">
        <v>19</v>
      </c>
      <c r="H397" t="s">
        <v>14</v>
      </c>
      <c r="I397" t="s">
        <v>53</v>
      </c>
      <c r="J397" s="2">
        <f>Table1[[#This Row],[Profit]]/Table1[[#This Row],[Sales]]*100</f>
        <v>7.9641293904131523</v>
      </c>
      <c r="K397" t="str">
        <f>IF(Table1[[#This Row],[Sales]]&gt;=30000,"High", IF(Table1[[#This Row],[Sales]]&gt;=15000,"Medium","Low"))</f>
        <v>High</v>
      </c>
      <c r="L397" t="str">
        <f>TEXT(Table1[[#This Row],[Order_Date]],"MMM")</f>
        <v>Jul</v>
      </c>
      <c r="M397" t="str">
        <f>IF(Table1[[#This Row],[Profit]]&gt;=10000,"Excellent",IF(Table1[[#This Row],[Profit]]&gt;5000,"Good","Low"))</f>
        <v>Low</v>
      </c>
      <c r="N397" t="str">
        <f>TEXT(Table1[[#This Row],[Order_Date]],"YYYY")</f>
        <v>2023</v>
      </c>
    </row>
    <row r="398" spans="1:14" x14ac:dyDescent="0.25">
      <c r="A398" s="1">
        <v>45825</v>
      </c>
      <c r="B398" t="s">
        <v>17</v>
      </c>
      <c r="C398" t="s">
        <v>12</v>
      </c>
      <c r="D398">
        <v>9673</v>
      </c>
      <c r="E398">
        <v>1275</v>
      </c>
      <c r="F398">
        <v>8398</v>
      </c>
      <c r="G398" t="s">
        <v>13</v>
      </c>
      <c r="H398" t="s">
        <v>78</v>
      </c>
      <c r="I398" t="s">
        <v>29</v>
      </c>
      <c r="J398" s="2">
        <f>Table1[[#This Row],[Profit]]/Table1[[#This Row],[Sales]]*100</f>
        <v>86.818980667838304</v>
      </c>
      <c r="K398" t="str">
        <f>IF(Table1[[#This Row],[Sales]]&gt;=30000,"High", IF(Table1[[#This Row],[Sales]]&gt;=15000,"Medium","Low"))</f>
        <v>Low</v>
      </c>
      <c r="L398" t="str">
        <f>TEXT(Table1[[#This Row],[Order_Date]],"MMM")</f>
        <v>Jun</v>
      </c>
      <c r="M398" t="str">
        <f>IF(Table1[[#This Row],[Profit]]&gt;=10000,"Excellent",IF(Table1[[#This Row],[Profit]]&gt;5000,"Good","Low"))</f>
        <v>Good</v>
      </c>
      <c r="N398" t="str">
        <f>TEXT(Table1[[#This Row],[Order_Date]],"YYYY")</f>
        <v>2025</v>
      </c>
    </row>
    <row r="399" spans="1:14" x14ac:dyDescent="0.25">
      <c r="A399" s="1">
        <v>45722</v>
      </c>
      <c r="B399" t="s">
        <v>11</v>
      </c>
      <c r="C399" t="s">
        <v>41</v>
      </c>
      <c r="D399">
        <v>42339</v>
      </c>
      <c r="E399">
        <v>31550</v>
      </c>
      <c r="F399">
        <v>10789</v>
      </c>
      <c r="G399" t="s">
        <v>27</v>
      </c>
      <c r="H399" t="s">
        <v>31</v>
      </c>
      <c r="I399" t="s">
        <v>53</v>
      </c>
      <c r="J399" s="2">
        <f>Table1[[#This Row],[Profit]]/Table1[[#This Row],[Sales]]*100</f>
        <v>25.482415739625402</v>
      </c>
      <c r="K399" t="str">
        <f>IF(Table1[[#This Row],[Sales]]&gt;=30000,"High", IF(Table1[[#This Row],[Sales]]&gt;=15000,"Medium","Low"))</f>
        <v>High</v>
      </c>
      <c r="L399" t="str">
        <f>TEXT(Table1[[#This Row],[Order_Date]],"MMM")</f>
        <v>Mar</v>
      </c>
      <c r="M399" t="str">
        <f>IF(Table1[[#This Row],[Profit]]&gt;=10000,"Excellent",IF(Table1[[#This Row],[Profit]]&gt;5000,"Good","Low"))</f>
        <v>Excellent</v>
      </c>
      <c r="N399" t="str">
        <f>TEXT(Table1[[#This Row],[Order_Date]],"YYYY")</f>
        <v>2025</v>
      </c>
    </row>
    <row r="400" spans="1:14" x14ac:dyDescent="0.25">
      <c r="A400" s="1">
        <v>46187</v>
      </c>
      <c r="B400" t="s">
        <v>17</v>
      </c>
      <c r="C400" t="s">
        <v>36</v>
      </c>
      <c r="D400">
        <v>42725</v>
      </c>
      <c r="E400">
        <v>40535</v>
      </c>
      <c r="F400">
        <v>2190</v>
      </c>
      <c r="G400" t="s">
        <v>13</v>
      </c>
      <c r="H400" t="s">
        <v>63</v>
      </c>
      <c r="I400" t="s">
        <v>53</v>
      </c>
      <c r="J400" s="2">
        <f>Table1[[#This Row],[Profit]]/Table1[[#This Row],[Sales]]*100</f>
        <v>5.1258045640725571</v>
      </c>
      <c r="K400" t="str">
        <f>IF(Table1[[#This Row],[Sales]]&gt;=30000,"High", IF(Table1[[#This Row],[Sales]]&gt;=15000,"Medium","Low"))</f>
        <v>High</v>
      </c>
      <c r="L400" t="str">
        <f>TEXT(Table1[[#This Row],[Order_Date]],"MMM")</f>
        <v>Jun</v>
      </c>
      <c r="M400" t="str">
        <f>IF(Table1[[#This Row],[Profit]]&gt;=10000,"Excellent",IF(Table1[[#This Row],[Profit]]&gt;5000,"Good","Low"))</f>
        <v>Low</v>
      </c>
      <c r="N400" t="str">
        <f>TEXT(Table1[[#This Row],[Order_Date]],"YYYY")</f>
        <v>2026</v>
      </c>
    </row>
    <row r="401" spans="1:14" x14ac:dyDescent="0.25">
      <c r="A401" s="1">
        <v>45698</v>
      </c>
      <c r="B401" t="s">
        <v>26</v>
      </c>
      <c r="C401" t="s">
        <v>36</v>
      </c>
      <c r="D401">
        <v>29141</v>
      </c>
      <c r="E401">
        <v>26832</v>
      </c>
      <c r="F401">
        <v>2309</v>
      </c>
      <c r="G401" t="s">
        <v>13</v>
      </c>
      <c r="H401" t="s">
        <v>31</v>
      </c>
      <c r="I401" t="s">
        <v>29</v>
      </c>
      <c r="J401" s="2">
        <f>Table1[[#This Row],[Profit]]/Table1[[#This Row],[Sales]]*100</f>
        <v>7.9235441474211594</v>
      </c>
      <c r="K401" t="str">
        <f>IF(Table1[[#This Row],[Sales]]&gt;=30000,"High", IF(Table1[[#This Row],[Sales]]&gt;=15000,"Medium","Low"))</f>
        <v>Medium</v>
      </c>
      <c r="L401" t="str">
        <f>TEXT(Table1[[#This Row],[Order_Date]],"MMM")</f>
        <v>Feb</v>
      </c>
      <c r="M401" t="str">
        <f>IF(Table1[[#This Row],[Profit]]&gt;=10000,"Excellent",IF(Table1[[#This Row],[Profit]]&gt;5000,"Good","Low"))</f>
        <v>Low</v>
      </c>
      <c r="N401" t="str">
        <f>TEXT(Table1[[#This Row],[Order_Date]],"YYYY")</f>
        <v>2025</v>
      </c>
    </row>
    <row r="402" spans="1:14" x14ac:dyDescent="0.25">
      <c r="A402" s="1">
        <v>45619</v>
      </c>
      <c r="B402" t="s">
        <v>44</v>
      </c>
      <c r="C402" t="s">
        <v>36</v>
      </c>
      <c r="D402">
        <v>12637</v>
      </c>
      <c r="E402">
        <v>1408</v>
      </c>
      <c r="F402">
        <v>11229</v>
      </c>
      <c r="G402" t="s">
        <v>27</v>
      </c>
      <c r="H402" t="s">
        <v>45</v>
      </c>
      <c r="I402" t="s">
        <v>29</v>
      </c>
      <c r="J402" s="2">
        <f>Table1[[#This Row],[Profit]]/Table1[[#This Row],[Sales]]*100</f>
        <v>88.858115058953871</v>
      </c>
      <c r="K402" t="str">
        <f>IF(Table1[[#This Row],[Sales]]&gt;=30000,"High", IF(Table1[[#This Row],[Sales]]&gt;=15000,"Medium","Low"))</f>
        <v>Low</v>
      </c>
      <c r="L402" t="str">
        <f>TEXT(Table1[[#This Row],[Order_Date]],"MMM")</f>
        <v>Nov</v>
      </c>
      <c r="M402" t="str">
        <f>IF(Table1[[#This Row],[Profit]]&gt;=10000,"Excellent",IF(Table1[[#This Row],[Profit]]&gt;5000,"Good","Low"))</f>
        <v>Excellent</v>
      </c>
      <c r="N402" t="str">
        <f>TEXT(Table1[[#This Row],[Order_Date]],"YYYY")</f>
        <v>2024</v>
      </c>
    </row>
    <row r="403" spans="1:14" x14ac:dyDescent="0.25">
      <c r="A403" s="1">
        <v>45346</v>
      </c>
      <c r="B403" t="s">
        <v>44</v>
      </c>
      <c r="C403" t="s">
        <v>41</v>
      </c>
      <c r="D403">
        <v>29184</v>
      </c>
      <c r="E403">
        <v>17113</v>
      </c>
      <c r="F403">
        <v>12071</v>
      </c>
      <c r="G403" t="s">
        <v>13</v>
      </c>
      <c r="H403" t="s">
        <v>14</v>
      </c>
      <c r="I403" t="s">
        <v>42</v>
      </c>
      <c r="J403" s="2">
        <f>Table1[[#This Row],[Profit]]/Table1[[#This Row],[Sales]]*100</f>
        <v>41.361705043859651</v>
      </c>
      <c r="K403" t="str">
        <f>IF(Table1[[#This Row],[Sales]]&gt;=30000,"High", IF(Table1[[#This Row],[Sales]]&gt;=15000,"Medium","Low"))</f>
        <v>Medium</v>
      </c>
      <c r="L403" t="str">
        <f>TEXT(Table1[[#This Row],[Order_Date]],"MMM")</f>
        <v>Feb</v>
      </c>
      <c r="M403" t="str">
        <f>IF(Table1[[#This Row],[Profit]]&gt;=10000,"Excellent",IF(Table1[[#This Row],[Profit]]&gt;5000,"Good","Low"))</f>
        <v>Excellent</v>
      </c>
      <c r="N403" t="str">
        <f>TEXT(Table1[[#This Row],[Order_Date]],"YYYY")</f>
        <v>2024</v>
      </c>
    </row>
    <row r="404" spans="1:14" x14ac:dyDescent="0.25">
      <c r="A404" s="1">
        <v>46046</v>
      </c>
      <c r="B404" t="s">
        <v>17</v>
      </c>
      <c r="C404" t="s">
        <v>18</v>
      </c>
      <c r="D404">
        <v>15658</v>
      </c>
      <c r="E404">
        <v>6514</v>
      </c>
      <c r="F404">
        <v>9144</v>
      </c>
      <c r="G404" t="s">
        <v>13</v>
      </c>
      <c r="H404" t="s">
        <v>20</v>
      </c>
      <c r="I404" t="s">
        <v>15</v>
      </c>
      <c r="J404" s="2">
        <f>Table1[[#This Row],[Profit]]/Table1[[#This Row],[Sales]]*100</f>
        <v>58.39826286882105</v>
      </c>
      <c r="K404" t="str">
        <f>IF(Table1[[#This Row],[Sales]]&gt;=30000,"High", IF(Table1[[#This Row],[Sales]]&gt;=15000,"Medium","Low"))</f>
        <v>Medium</v>
      </c>
      <c r="L404" t="str">
        <f>TEXT(Table1[[#This Row],[Order_Date]],"MMM")</f>
        <v>Jan</v>
      </c>
      <c r="M404" t="str">
        <f>IF(Table1[[#This Row],[Profit]]&gt;=10000,"Excellent",IF(Table1[[#This Row],[Profit]]&gt;5000,"Good","Low"))</f>
        <v>Good</v>
      </c>
      <c r="N404" t="str">
        <f>TEXT(Table1[[#This Row],[Order_Date]],"YYYY")</f>
        <v>2026</v>
      </c>
    </row>
    <row r="405" spans="1:14" x14ac:dyDescent="0.25">
      <c r="A405" s="1">
        <v>45387</v>
      </c>
      <c r="B405" t="s">
        <v>22</v>
      </c>
      <c r="C405" t="s">
        <v>18</v>
      </c>
      <c r="D405">
        <v>29714</v>
      </c>
      <c r="E405">
        <v>27043</v>
      </c>
      <c r="F405">
        <v>2671</v>
      </c>
      <c r="G405" t="s">
        <v>19</v>
      </c>
      <c r="H405" t="s">
        <v>45</v>
      </c>
      <c r="I405" t="s">
        <v>24</v>
      </c>
      <c r="J405" s="2">
        <f>Table1[[#This Row],[Profit]]/Table1[[#This Row],[Sales]]*100</f>
        <v>8.9890287406609684</v>
      </c>
      <c r="K405" t="str">
        <f>IF(Table1[[#This Row],[Sales]]&gt;=30000,"High", IF(Table1[[#This Row],[Sales]]&gt;=15000,"Medium","Low"))</f>
        <v>Medium</v>
      </c>
      <c r="L405" t="str">
        <f>TEXT(Table1[[#This Row],[Order_Date]],"MMM")</f>
        <v>Apr</v>
      </c>
      <c r="M405" t="str">
        <f>IF(Table1[[#This Row],[Profit]]&gt;=10000,"Excellent",IF(Table1[[#This Row],[Profit]]&gt;5000,"Good","Low"))</f>
        <v>Low</v>
      </c>
      <c r="N405" t="str">
        <f>TEXT(Table1[[#This Row],[Order_Date]],"YYYY")</f>
        <v>2024</v>
      </c>
    </row>
    <row r="406" spans="1:14" x14ac:dyDescent="0.25">
      <c r="A406" s="1">
        <v>45666</v>
      </c>
      <c r="B406" t="s">
        <v>44</v>
      </c>
      <c r="C406" t="s">
        <v>36</v>
      </c>
      <c r="D406">
        <v>11160</v>
      </c>
      <c r="E406">
        <v>5075</v>
      </c>
      <c r="F406">
        <v>6085</v>
      </c>
      <c r="G406" t="s">
        <v>19</v>
      </c>
      <c r="H406" t="s">
        <v>78</v>
      </c>
      <c r="I406" t="s">
        <v>42</v>
      </c>
      <c r="J406" s="2">
        <f>Table1[[#This Row],[Profit]]/Table1[[#This Row],[Sales]]*100</f>
        <v>54.525089605734763</v>
      </c>
      <c r="K406" t="str">
        <f>IF(Table1[[#This Row],[Sales]]&gt;=30000,"High", IF(Table1[[#This Row],[Sales]]&gt;=15000,"Medium","Low"))</f>
        <v>Low</v>
      </c>
      <c r="L406" t="str">
        <f>TEXT(Table1[[#This Row],[Order_Date]],"MMM")</f>
        <v>Jan</v>
      </c>
      <c r="M406" t="str">
        <f>IF(Table1[[#This Row],[Profit]]&gt;=10000,"Excellent",IF(Table1[[#This Row],[Profit]]&gt;5000,"Good","Low"))</f>
        <v>Good</v>
      </c>
      <c r="N406" t="str">
        <f>TEXT(Table1[[#This Row],[Order_Date]],"YYYY")</f>
        <v>2025</v>
      </c>
    </row>
    <row r="407" spans="1:14" x14ac:dyDescent="0.25">
      <c r="A407" s="1">
        <v>45568</v>
      </c>
      <c r="B407" t="s">
        <v>44</v>
      </c>
      <c r="C407" t="s">
        <v>33</v>
      </c>
      <c r="D407">
        <v>8055</v>
      </c>
      <c r="E407">
        <v>3805</v>
      </c>
      <c r="F407">
        <v>4250</v>
      </c>
      <c r="G407" t="s">
        <v>27</v>
      </c>
      <c r="H407" t="s">
        <v>34</v>
      </c>
      <c r="I407" t="s">
        <v>24</v>
      </c>
      <c r="J407" s="2">
        <f>Table1[[#This Row],[Profit]]/Table1[[#This Row],[Sales]]*100</f>
        <v>52.762259466170079</v>
      </c>
      <c r="K407" t="str">
        <f>IF(Table1[[#This Row],[Sales]]&gt;=30000,"High", IF(Table1[[#This Row],[Sales]]&gt;=15000,"Medium","Low"))</f>
        <v>Low</v>
      </c>
      <c r="L407" t="str">
        <f>TEXT(Table1[[#This Row],[Order_Date]],"MMM")</f>
        <v>Oct</v>
      </c>
      <c r="M407" t="str">
        <f>IF(Table1[[#This Row],[Profit]]&gt;=10000,"Excellent",IF(Table1[[#This Row],[Profit]]&gt;5000,"Good","Low"))</f>
        <v>Low</v>
      </c>
      <c r="N407" t="str">
        <f>TEXT(Table1[[#This Row],[Order_Date]],"YYYY")</f>
        <v>2024</v>
      </c>
    </row>
    <row r="408" spans="1:14" x14ac:dyDescent="0.25">
      <c r="A408" s="1">
        <v>45466</v>
      </c>
      <c r="B408" t="s">
        <v>26</v>
      </c>
      <c r="C408" t="s">
        <v>33</v>
      </c>
      <c r="D408">
        <v>11681</v>
      </c>
      <c r="E408">
        <v>11040</v>
      </c>
      <c r="F408">
        <v>641</v>
      </c>
      <c r="G408" t="s">
        <v>27</v>
      </c>
      <c r="H408" t="s">
        <v>14</v>
      </c>
      <c r="I408" t="s">
        <v>53</v>
      </c>
      <c r="J408" s="2">
        <f>Table1[[#This Row],[Profit]]/Table1[[#This Row],[Sales]]*100</f>
        <v>5.4875438746682645</v>
      </c>
      <c r="K408" t="str">
        <f>IF(Table1[[#This Row],[Sales]]&gt;=30000,"High", IF(Table1[[#This Row],[Sales]]&gt;=15000,"Medium","Low"))</f>
        <v>Low</v>
      </c>
      <c r="L408" t="str">
        <f>TEXT(Table1[[#This Row],[Order_Date]],"MMM")</f>
        <v>Jun</v>
      </c>
      <c r="M408" t="str">
        <f>IF(Table1[[#This Row],[Profit]]&gt;=10000,"Excellent",IF(Table1[[#This Row],[Profit]]&gt;5000,"Good","Low"))</f>
        <v>Low</v>
      </c>
      <c r="N408" t="str">
        <f>TEXT(Table1[[#This Row],[Order_Date]],"YYYY")</f>
        <v>2024</v>
      </c>
    </row>
    <row r="409" spans="1:14" x14ac:dyDescent="0.25">
      <c r="A409" s="1">
        <v>45380</v>
      </c>
      <c r="B409" t="s">
        <v>44</v>
      </c>
      <c r="C409" t="s">
        <v>18</v>
      </c>
      <c r="D409">
        <v>34795</v>
      </c>
      <c r="E409">
        <v>22115</v>
      </c>
      <c r="F409">
        <v>12680</v>
      </c>
      <c r="G409" t="s">
        <v>19</v>
      </c>
      <c r="H409" t="s">
        <v>63</v>
      </c>
      <c r="I409" t="s">
        <v>53</v>
      </c>
      <c r="J409" s="2">
        <f>Table1[[#This Row],[Profit]]/Table1[[#This Row],[Sales]]*100</f>
        <v>36.442017531254493</v>
      </c>
      <c r="K409" t="str">
        <f>IF(Table1[[#This Row],[Sales]]&gt;=30000,"High", IF(Table1[[#This Row],[Sales]]&gt;=15000,"Medium","Low"))</f>
        <v>High</v>
      </c>
      <c r="L409" t="str">
        <f>TEXT(Table1[[#This Row],[Order_Date]],"MMM")</f>
        <v>Mar</v>
      </c>
      <c r="M409" t="str">
        <f>IF(Table1[[#This Row],[Profit]]&gt;=10000,"Excellent",IF(Table1[[#This Row],[Profit]]&gt;5000,"Good","Low"))</f>
        <v>Excellent</v>
      </c>
      <c r="N409" t="str">
        <f>TEXT(Table1[[#This Row],[Order_Date]],"YYYY")</f>
        <v>2024</v>
      </c>
    </row>
    <row r="410" spans="1:14" x14ac:dyDescent="0.25">
      <c r="A410" s="1">
        <v>45974</v>
      </c>
      <c r="B410" t="s">
        <v>44</v>
      </c>
      <c r="C410" t="s">
        <v>18</v>
      </c>
      <c r="D410">
        <v>45825</v>
      </c>
      <c r="E410">
        <v>26614</v>
      </c>
      <c r="F410">
        <v>19211</v>
      </c>
      <c r="G410" t="s">
        <v>38</v>
      </c>
      <c r="H410" t="s">
        <v>45</v>
      </c>
      <c r="I410" t="s">
        <v>15</v>
      </c>
      <c r="J410" s="2">
        <f>Table1[[#This Row],[Profit]]/Table1[[#This Row],[Sales]]*100</f>
        <v>41.922531369339886</v>
      </c>
      <c r="K410" t="str">
        <f>IF(Table1[[#This Row],[Sales]]&gt;=30000,"High", IF(Table1[[#This Row],[Sales]]&gt;=15000,"Medium","Low"))</f>
        <v>High</v>
      </c>
      <c r="L410" t="str">
        <f>TEXT(Table1[[#This Row],[Order_Date]],"MMM")</f>
        <v>Nov</v>
      </c>
      <c r="M410" t="str">
        <f>IF(Table1[[#This Row],[Profit]]&gt;=10000,"Excellent",IF(Table1[[#This Row],[Profit]]&gt;5000,"Good","Low"))</f>
        <v>Excellent</v>
      </c>
      <c r="N410" t="str">
        <f>TEXT(Table1[[#This Row],[Order_Date]],"YYYY")</f>
        <v>2025</v>
      </c>
    </row>
    <row r="411" spans="1:14" x14ac:dyDescent="0.25">
      <c r="A411" s="1">
        <v>45473</v>
      </c>
      <c r="B411" t="s">
        <v>11</v>
      </c>
      <c r="C411" t="s">
        <v>41</v>
      </c>
      <c r="D411">
        <v>39083</v>
      </c>
      <c r="E411">
        <v>32605</v>
      </c>
      <c r="F411">
        <v>6478</v>
      </c>
      <c r="G411" t="s">
        <v>19</v>
      </c>
      <c r="H411" t="s">
        <v>31</v>
      </c>
      <c r="I411" t="s">
        <v>29</v>
      </c>
      <c r="J411" s="2">
        <f>Table1[[#This Row],[Profit]]/Table1[[#This Row],[Sales]]*100</f>
        <v>16.57498144973518</v>
      </c>
      <c r="K411" t="str">
        <f>IF(Table1[[#This Row],[Sales]]&gt;=30000,"High", IF(Table1[[#This Row],[Sales]]&gt;=15000,"Medium","Low"))</f>
        <v>High</v>
      </c>
      <c r="L411" t="str">
        <f>TEXT(Table1[[#This Row],[Order_Date]],"MMM")</f>
        <v>Jun</v>
      </c>
      <c r="M411" t="str">
        <f>IF(Table1[[#This Row],[Profit]]&gt;=10000,"Excellent",IF(Table1[[#This Row],[Profit]]&gt;5000,"Good","Low"))</f>
        <v>Good</v>
      </c>
      <c r="N411" t="str">
        <f>TEXT(Table1[[#This Row],[Order_Date]],"YYYY")</f>
        <v>2024</v>
      </c>
    </row>
    <row r="412" spans="1:14" x14ac:dyDescent="0.25">
      <c r="A412" s="1">
        <v>45277</v>
      </c>
      <c r="B412" t="s">
        <v>44</v>
      </c>
      <c r="C412" t="s">
        <v>41</v>
      </c>
      <c r="D412">
        <v>10002</v>
      </c>
      <c r="E412">
        <v>5892</v>
      </c>
      <c r="F412">
        <v>4110</v>
      </c>
      <c r="G412" t="s">
        <v>13</v>
      </c>
      <c r="H412" t="s">
        <v>31</v>
      </c>
      <c r="I412" t="s">
        <v>15</v>
      </c>
      <c r="J412" s="2">
        <f>Table1[[#This Row],[Profit]]/Table1[[#This Row],[Sales]]*100</f>
        <v>41.091781643671268</v>
      </c>
      <c r="K412" t="str">
        <f>IF(Table1[[#This Row],[Sales]]&gt;=30000,"High", IF(Table1[[#This Row],[Sales]]&gt;=15000,"Medium","Low"))</f>
        <v>Low</v>
      </c>
      <c r="L412" t="str">
        <f>TEXT(Table1[[#This Row],[Order_Date]],"MMM")</f>
        <v>Dec</v>
      </c>
      <c r="M412" t="str">
        <f>IF(Table1[[#This Row],[Profit]]&gt;=10000,"Excellent",IF(Table1[[#This Row],[Profit]]&gt;5000,"Good","Low"))</f>
        <v>Low</v>
      </c>
      <c r="N412" t="str">
        <f>TEXT(Table1[[#This Row],[Order_Date]],"YYYY")</f>
        <v>2023</v>
      </c>
    </row>
    <row r="413" spans="1:14" x14ac:dyDescent="0.25">
      <c r="A413" s="1">
        <v>45381</v>
      </c>
      <c r="B413" t="s">
        <v>17</v>
      </c>
      <c r="C413" t="s">
        <v>33</v>
      </c>
      <c r="D413">
        <v>33774</v>
      </c>
      <c r="E413">
        <v>21052</v>
      </c>
      <c r="F413">
        <v>12722</v>
      </c>
      <c r="G413" t="s">
        <v>13</v>
      </c>
      <c r="H413" t="s">
        <v>60</v>
      </c>
      <c r="I413" t="s">
        <v>15</v>
      </c>
      <c r="J413" s="2">
        <f>Table1[[#This Row],[Profit]]/Table1[[#This Row],[Sales]]*100</f>
        <v>37.668028661100259</v>
      </c>
      <c r="K413" t="str">
        <f>IF(Table1[[#This Row],[Sales]]&gt;=30000,"High", IF(Table1[[#This Row],[Sales]]&gt;=15000,"Medium","Low"))</f>
        <v>High</v>
      </c>
      <c r="L413" t="str">
        <f>TEXT(Table1[[#This Row],[Order_Date]],"MMM")</f>
        <v>Mar</v>
      </c>
      <c r="M413" t="str">
        <f>IF(Table1[[#This Row],[Profit]]&gt;=10000,"Excellent",IF(Table1[[#This Row],[Profit]]&gt;5000,"Good","Low"))</f>
        <v>Excellent</v>
      </c>
      <c r="N413" t="str">
        <f>TEXT(Table1[[#This Row],[Order_Date]],"YYYY")</f>
        <v>2024</v>
      </c>
    </row>
    <row r="414" spans="1:14" x14ac:dyDescent="0.25">
      <c r="A414" s="1">
        <v>45906</v>
      </c>
      <c r="B414" t="s">
        <v>22</v>
      </c>
      <c r="C414" t="s">
        <v>18</v>
      </c>
      <c r="D414">
        <v>11944</v>
      </c>
      <c r="E414">
        <v>5351</v>
      </c>
      <c r="F414">
        <v>6593</v>
      </c>
      <c r="G414" t="s">
        <v>19</v>
      </c>
      <c r="H414" t="s">
        <v>63</v>
      </c>
      <c r="I414" t="s">
        <v>42</v>
      </c>
      <c r="J414" s="2">
        <f>Table1[[#This Row],[Profit]]/Table1[[#This Row],[Sales]]*100</f>
        <v>55.199263228399197</v>
      </c>
      <c r="K414" t="str">
        <f>IF(Table1[[#This Row],[Sales]]&gt;=30000,"High", IF(Table1[[#This Row],[Sales]]&gt;=15000,"Medium","Low"))</f>
        <v>Low</v>
      </c>
      <c r="L414" t="str">
        <f>TEXT(Table1[[#This Row],[Order_Date]],"MMM")</f>
        <v>Sep</v>
      </c>
      <c r="M414" t="str">
        <f>IF(Table1[[#This Row],[Profit]]&gt;=10000,"Excellent",IF(Table1[[#This Row],[Profit]]&gt;5000,"Good","Low"))</f>
        <v>Good</v>
      </c>
      <c r="N414" t="str">
        <f>TEXT(Table1[[#This Row],[Order_Date]],"YYYY")</f>
        <v>2025</v>
      </c>
    </row>
    <row r="415" spans="1:14" x14ac:dyDescent="0.25">
      <c r="A415" s="1">
        <v>45808</v>
      </c>
      <c r="B415" t="s">
        <v>11</v>
      </c>
      <c r="C415" t="s">
        <v>41</v>
      </c>
      <c r="D415">
        <v>12088</v>
      </c>
      <c r="E415">
        <v>2358</v>
      </c>
      <c r="F415">
        <v>9730</v>
      </c>
      <c r="G415" t="s">
        <v>38</v>
      </c>
      <c r="H415" t="s">
        <v>14</v>
      </c>
      <c r="I415" t="s">
        <v>24</v>
      </c>
      <c r="J415" s="2">
        <f>Table1[[#This Row],[Profit]]/Table1[[#This Row],[Sales]]*100</f>
        <v>80.493050959629386</v>
      </c>
      <c r="K415" t="str">
        <f>IF(Table1[[#This Row],[Sales]]&gt;=30000,"High", IF(Table1[[#This Row],[Sales]]&gt;=15000,"Medium","Low"))</f>
        <v>Low</v>
      </c>
      <c r="L415" t="str">
        <f>TEXT(Table1[[#This Row],[Order_Date]],"MMM")</f>
        <v>May</v>
      </c>
      <c r="M415" t="str">
        <f>IF(Table1[[#This Row],[Profit]]&gt;=10000,"Excellent",IF(Table1[[#This Row],[Profit]]&gt;5000,"Good","Low"))</f>
        <v>Good</v>
      </c>
      <c r="N415" t="str">
        <f>TEXT(Table1[[#This Row],[Order_Date]],"YYYY")</f>
        <v>2025</v>
      </c>
    </row>
    <row r="416" spans="1:14" x14ac:dyDescent="0.25">
      <c r="A416" s="1">
        <v>45157</v>
      </c>
      <c r="B416" t="s">
        <v>26</v>
      </c>
      <c r="C416" t="s">
        <v>33</v>
      </c>
      <c r="D416">
        <v>7304</v>
      </c>
      <c r="E416">
        <v>3036</v>
      </c>
      <c r="F416">
        <v>4268</v>
      </c>
      <c r="G416" t="s">
        <v>19</v>
      </c>
      <c r="H416" t="s">
        <v>23</v>
      </c>
      <c r="I416" t="s">
        <v>24</v>
      </c>
      <c r="J416" s="2">
        <f>Table1[[#This Row],[Profit]]/Table1[[#This Row],[Sales]]*100</f>
        <v>58.433734939759042</v>
      </c>
      <c r="K416" t="str">
        <f>IF(Table1[[#This Row],[Sales]]&gt;=30000,"High", IF(Table1[[#This Row],[Sales]]&gt;=15000,"Medium","Low"))</f>
        <v>Low</v>
      </c>
      <c r="L416" t="str">
        <f>TEXT(Table1[[#This Row],[Order_Date]],"MMM")</f>
        <v>Aug</v>
      </c>
      <c r="M416" t="str">
        <f>IF(Table1[[#This Row],[Profit]]&gt;=10000,"Excellent",IF(Table1[[#This Row],[Profit]]&gt;5000,"Good","Low"))</f>
        <v>Low</v>
      </c>
      <c r="N416" t="str">
        <f>TEXT(Table1[[#This Row],[Order_Date]],"YYYY")</f>
        <v>2023</v>
      </c>
    </row>
    <row r="417" spans="1:14" x14ac:dyDescent="0.25">
      <c r="A417" s="1">
        <v>45678</v>
      </c>
      <c r="B417" t="s">
        <v>44</v>
      </c>
      <c r="C417" t="s">
        <v>18</v>
      </c>
      <c r="D417">
        <v>17936</v>
      </c>
      <c r="E417">
        <v>17163</v>
      </c>
      <c r="F417">
        <v>773</v>
      </c>
      <c r="G417" t="s">
        <v>13</v>
      </c>
      <c r="H417" t="s">
        <v>63</v>
      </c>
      <c r="I417" t="s">
        <v>53</v>
      </c>
      <c r="J417" s="2">
        <f>Table1[[#This Row],[Profit]]/Table1[[#This Row],[Sales]]*100</f>
        <v>4.3097680642283676</v>
      </c>
      <c r="K417" t="str">
        <f>IF(Table1[[#This Row],[Sales]]&gt;=30000,"High", IF(Table1[[#This Row],[Sales]]&gt;=15000,"Medium","Low"))</f>
        <v>Medium</v>
      </c>
      <c r="L417" t="str">
        <f>TEXT(Table1[[#This Row],[Order_Date]],"MMM")</f>
        <v>Jan</v>
      </c>
      <c r="M417" t="str">
        <f>IF(Table1[[#This Row],[Profit]]&gt;=10000,"Excellent",IF(Table1[[#This Row],[Profit]]&gt;5000,"Good","Low"))</f>
        <v>Low</v>
      </c>
      <c r="N417" t="str">
        <f>TEXT(Table1[[#This Row],[Order_Date]],"YYYY")</f>
        <v>2025</v>
      </c>
    </row>
    <row r="418" spans="1:14" x14ac:dyDescent="0.25">
      <c r="A418" s="1">
        <v>45311</v>
      </c>
      <c r="B418" t="s">
        <v>44</v>
      </c>
      <c r="C418" t="s">
        <v>18</v>
      </c>
      <c r="D418">
        <v>14501</v>
      </c>
      <c r="E418">
        <v>9454</v>
      </c>
      <c r="F418">
        <v>5047</v>
      </c>
      <c r="G418" t="s">
        <v>13</v>
      </c>
      <c r="H418" t="s">
        <v>63</v>
      </c>
      <c r="I418" t="s">
        <v>15</v>
      </c>
      <c r="J418" s="2">
        <f>Table1[[#This Row],[Profit]]/Table1[[#This Row],[Sales]]*100</f>
        <v>34.804496241638503</v>
      </c>
      <c r="K418" t="str">
        <f>IF(Table1[[#This Row],[Sales]]&gt;=30000,"High", IF(Table1[[#This Row],[Sales]]&gt;=15000,"Medium","Low"))</f>
        <v>Low</v>
      </c>
      <c r="L418" t="str">
        <f>TEXT(Table1[[#This Row],[Order_Date]],"MMM")</f>
        <v>Jan</v>
      </c>
      <c r="M418" t="str">
        <f>IF(Table1[[#This Row],[Profit]]&gt;=10000,"Excellent",IF(Table1[[#This Row],[Profit]]&gt;5000,"Good","Low"))</f>
        <v>Good</v>
      </c>
      <c r="N418" t="str">
        <f>TEXT(Table1[[#This Row],[Order_Date]],"YYYY")</f>
        <v>2024</v>
      </c>
    </row>
    <row r="419" spans="1:14" x14ac:dyDescent="0.25">
      <c r="A419" s="1">
        <v>45489</v>
      </c>
      <c r="B419" t="s">
        <v>22</v>
      </c>
      <c r="C419" t="s">
        <v>33</v>
      </c>
      <c r="D419">
        <v>30195</v>
      </c>
      <c r="E419">
        <v>25584</v>
      </c>
      <c r="F419">
        <v>4611</v>
      </c>
      <c r="G419" t="s">
        <v>13</v>
      </c>
      <c r="H419" t="s">
        <v>63</v>
      </c>
      <c r="I419" t="s">
        <v>53</v>
      </c>
      <c r="J419" s="2">
        <f>Table1[[#This Row],[Profit]]/Table1[[#This Row],[Sales]]*100</f>
        <v>15.270740188772974</v>
      </c>
      <c r="K419" t="str">
        <f>IF(Table1[[#This Row],[Sales]]&gt;=30000,"High", IF(Table1[[#This Row],[Sales]]&gt;=15000,"Medium","Low"))</f>
        <v>High</v>
      </c>
      <c r="L419" t="str">
        <f>TEXT(Table1[[#This Row],[Order_Date]],"MMM")</f>
        <v>Jul</v>
      </c>
      <c r="M419" t="str">
        <f>IF(Table1[[#This Row],[Profit]]&gt;=10000,"Excellent",IF(Table1[[#This Row],[Profit]]&gt;5000,"Good","Low"))</f>
        <v>Low</v>
      </c>
      <c r="N419" t="str">
        <f>TEXT(Table1[[#This Row],[Order_Date]],"YYYY")</f>
        <v>2024</v>
      </c>
    </row>
    <row r="420" spans="1:14" x14ac:dyDescent="0.25">
      <c r="A420" s="1">
        <v>45811</v>
      </c>
      <c r="B420" t="s">
        <v>11</v>
      </c>
      <c r="C420" t="s">
        <v>36</v>
      </c>
      <c r="D420">
        <v>5967</v>
      </c>
      <c r="E420">
        <v>3647</v>
      </c>
      <c r="F420">
        <v>2320</v>
      </c>
      <c r="G420" t="s">
        <v>19</v>
      </c>
      <c r="H420" t="s">
        <v>45</v>
      </c>
      <c r="I420" t="s">
        <v>15</v>
      </c>
      <c r="J420" s="2">
        <f>Table1[[#This Row],[Profit]]/Table1[[#This Row],[Sales]]*100</f>
        <v>38.880509468744762</v>
      </c>
      <c r="K420" t="str">
        <f>IF(Table1[[#This Row],[Sales]]&gt;=30000,"High", IF(Table1[[#This Row],[Sales]]&gt;=15000,"Medium","Low"))</f>
        <v>Low</v>
      </c>
      <c r="L420" t="str">
        <f>TEXT(Table1[[#This Row],[Order_Date]],"MMM")</f>
        <v>Jun</v>
      </c>
      <c r="M420" t="str">
        <f>IF(Table1[[#This Row],[Profit]]&gt;=10000,"Excellent",IF(Table1[[#This Row],[Profit]]&gt;5000,"Good","Low"))</f>
        <v>Low</v>
      </c>
      <c r="N420" t="str">
        <f>TEXT(Table1[[#This Row],[Order_Date]],"YYYY")</f>
        <v>2025</v>
      </c>
    </row>
    <row r="421" spans="1:14" x14ac:dyDescent="0.25">
      <c r="A421" s="1">
        <v>45537</v>
      </c>
      <c r="B421" t="s">
        <v>11</v>
      </c>
      <c r="C421" t="s">
        <v>33</v>
      </c>
      <c r="D421">
        <v>31794</v>
      </c>
      <c r="E421">
        <v>29886</v>
      </c>
      <c r="F421">
        <v>1908</v>
      </c>
      <c r="G421" t="s">
        <v>38</v>
      </c>
      <c r="H421" t="s">
        <v>28</v>
      </c>
      <c r="I421" t="s">
        <v>24</v>
      </c>
      <c r="J421" s="2">
        <f>Table1[[#This Row],[Profit]]/Table1[[#This Row],[Sales]]*100</f>
        <v>6.0011322891111529</v>
      </c>
      <c r="K421" t="str">
        <f>IF(Table1[[#This Row],[Sales]]&gt;=30000,"High", IF(Table1[[#This Row],[Sales]]&gt;=15000,"Medium","Low"))</f>
        <v>High</v>
      </c>
      <c r="L421" t="str">
        <f>TEXT(Table1[[#This Row],[Order_Date]],"MMM")</f>
        <v>Sep</v>
      </c>
      <c r="M421" t="str">
        <f>IF(Table1[[#This Row],[Profit]]&gt;=10000,"Excellent",IF(Table1[[#This Row],[Profit]]&gt;5000,"Good","Low"))</f>
        <v>Low</v>
      </c>
      <c r="N421" t="str">
        <f>TEXT(Table1[[#This Row],[Order_Date]],"YYYY")</f>
        <v>2024</v>
      </c>
    </row>
    <row r="422" spans="1:14" x14ac:dyDescent="0.25">
      <c r="A422" s="1">
        <v>45228</v>
      </c>
      <c r="B422" t="s">
        <v>17</v>
      </c>
      <c r="C422" t="s">
        <v>36</v>
      </c>
      <c r="D422">
        <v>30879</v>
      </c>
      <c r="E422">
        <v>29950</v>
      </c>
      <c r="F422">
        <v>929</v>
      </c>
      <c r="G422" t="s">
        <v>19</v>
      </c>
      <c r="H422" t="s">
        <v>63</v>
      </c>
      <c r="I422" t="s">
        <v>53</v>
      </c>
      <c r="J422" s="2">
        <f>Table1[[#This Row],[Profit]]/Table1[[#This Row],[Sales]]*100</f>
        <v>3.008517115191554</v>
      </c>
      <c r="K422" t="str">
        <f>IF(Table1[[#This Row],[Sales]]&gt;=30000,"High", IF(Table1[[#This Row],[Sales]]&gt;=15000,"Medium","Low"))</f>
        <v>High</v>
      </c>
      <c r="L422" t="str">
        <f>TEXT(Table1[[#This Row],[Order_Date]],"MMM")</f>
        <v>Oct</v>
      </c>
      <c r="M422" t="str">
        <f>IF(Table1[[#This Row],[Profit]]&gt;=10000,"Excellent",IF(Table1[[#This Row],[Profit]]&gt;5000,"Good","Low"))</f>
        <v>Low</v>
      </c>
      <c r="N422" t="str">
        <f>TEXT(Table1[[#This Row],[Order_Date]],"YYYY")</f>
        <v>2023</v>
      </c>
    </row>
    <row r="423" spans="1:14" x14ac:dyDescent="0.25">
      <c r="A423" s="1">
        <v>46018</v>
      </c>
      <c r="B423" t="s">
        <v>22</v>
      </c>
      <c r="C423" t="s">
        <v>33</v>
      </c>
      <c r="D423">
        <v>31337</v>
      </c>
      <c r="E423">
        <v>22250</v>
      </c>
      <c r="F423">
        <v>9087</v>
      </c>
      <c r="G423" t="s">
        <v>38</v>
      </c>
      <c r="H423" t="s">
        <v>31</v>
      </c>
      <c r="I423" t="s">
        <v>42</v>
      </c>
      <c r="J423" s="2">
        <f>Table1[[#This Row],[Profit]]/Table1[[#This Row],[Sales]]*100</f>
        <v>28.997670485368733</v>
      </c>
      <c r="K423" t="str">
        <f>IF(Table1[[#This Row],[Sales]]&gt;=30000,"High", IF(Table1[[#This Row],[Sales]]&gt;=15000,"Medium","Low"))</f>
        <v>High</v>
      </c>
      <c r="L423" t="str">
        <f>TEXT(Table1[[#This Row],[Order_Date]],"MMM")</f>
        <v>Dec</v>
      </c>
      <c r="M423" t="str">
        <f>IF(Table1[[#This Row],[Profit]]&gt;=10000,"Excellent",IF(Table1[[#This Row],[Profit]]&gt;5000,"Good","Low"))</f>
        <v>Good</v>
      </c>
      <c r="N423" t="str">
        <f>TEXT(Table1[[#This Row],[Order_Date]],"YYYY")</f>
        <v>2025</v>
      </c>
    </row>
    <row r="424" spans="1:14" x14ac:dyDescent="0.25">
      <c r="A424" s="1">
        <v>45550</v>
      </c>
      <c r="B424" t="s">
        <v>22</v>
      </c>
      <c r="C424" t="s">
        <v>12</v>
      </c>
      <c r="D424">
        <v>26928</v>
      </c>
      <c r="E424">
        <v>14536</v>
      </c>
      <c r="F424">
        <v>12392</v>
      </c>
      <c r="G424" t="s">
        <v>19</v>
      </c>
      <c r="H424" t="s">
        <v>23</v>
      </c>
      <c r="I424" t="s">
        <v>53</v>
      </c>
      <c r="J424" s="2">
        <f>Table1[[#This Row],[Profit]]/Table1[[#This Row],[Sales]]*100</f>
        <v>46.019013666072489</v>
      </c>
      <c r="K424" t="str">
        <f>IF(Table1[[#This Row],[Sales]]&gt;=30000,"High", IF(Table1[[#This Row],[Sales]]&gt;=15000,"Medium","Low"))</f>
        <v>Medium</v>
      </c>
      <c r="L424" t="str">
        <f>TEXT(Table1[[#This Row],[Order_Date]],"MMM")</f>
        <v>Sep</v>
      </c>
      <c r="M424" t="str">
        <f>IF(Table1[[#This Row],[Profit]]&gt;=10000,"Excellent",IF(Table1[[#This Row],[Profit]]&gt;5000,"Good","Low"))</f>
        <v>Excellent</v>
      </c>
      <c r="N424" t="str">
        <f>TEXT(Table1[[#This Row],[Order_Date]],"YYYY")</f>
        <v>2024</v>
      </c>
    </row>
    <row r="425" spans="1:14" x14ac:dyDescent="0.25">
      <c r="A425" s="1">
        <v>45780</v>
      </c>
      <c r="B425" t="s">
        <v>22</v>
      </c>
      <c r="C425" t="s">
        <v>18</v>
      </c>
      <c r="D425">
        <v>44305</v>
      </c>
      <c r="E425">
        <v>28824</v>
      </c>
      <c r="F425">
        <v>15481</v>
      </c>
      <c r="G425" t="s">
        <v>27</v>
      </c>
      <c r="H425" t="s">
        <v>45</v>
      </c>
      <c r="I425" t="s">
        <v>53</v>
      </c>
      <c r="J425" s="2">
        <f>Table1[[#This Row],[Profit]]/Table1[[#This Row],[Sales]]*100</f>
        <v>34.941880148967385</v>
      </c>
      <c r="K425" t="str">
        <f>IF(Table1[[#This Row],[Sales]]&gt;=30000,"High", IF(Table1[[#This Row],[Sales]]&gt;=15000,"Medium","Low"))</f>
        <v>High</v>
      </c>
      <c r="L425" t="str">
        <f>TEXT(Table1[[#This Row],[Order_Date]],"MMM")</f>
        <v>May</v>
      </c>
      <c r="M425" t="str">
        <f>IF(Table1[[#This Row],[Profit]]&gt;=10000,"Excellent",IF(Table1[[#This Row],[Profit]]&gt;5000,"Good","Low"))</f>
        <v>Excellent</v>
      </c>
      <c r="N425" t="str">
        <f>TEXT(Table1[[#This Row],[Order_Date]],"YYYY")</f>
        <v>2025</v>
      </c>
    </row>
    <row r="426" spans="1:14" x14ac:dyDescent="0.25">
      <c r="A426" s="1">
        <v>46044</v>
      </c>
      <c r="B426" t="s">
        <v>26</v>
      </c>
      <c r="C426" t="s">
        <v>12</v>
      </c>
      <c r="D426">
        <v>30804</v>
      </c>
      <c r="E426">
        <v>17099</v>
      </c>
      <c r="F426">
        <v>13705</v>
      </c>
      <c r="G426" t="s">
        <v>13</v>
      </c>
      <c r="H426" t="s">
        <v>78</v>
      </c>
      <c r="I426" t="s">
        <v>53</v>
      </c>
      <c r="J426" s="2">
        <f>Table1[[#This Row],[Profit]]/Table1[[#This Row],[Sales]]*100</f>
        <v>44.490975198026227</v>
      </c>
      <c r="K426" t="str">
        <f>IF(Table1[[#This Row],[Sales]]&gt;=30000,"High", IF(Table1[[#This Row],[Sales]]&gt;=15000,"Medium","Low"))</f>
        <v>High</v>
      </c>
      <c r="L426" t="str">
        <f>TEXT(Table1[[#This Row],[Order_Date]],"MMM")</f>
        <v>Jan</v>
      </c>
      <c r="M426" t="str">
        <f>IF(Table1[[#This Row],[Profit]]&gt;=10000,"Excellent",IF(Table1[[#This Row],[Profit]]&gt;5000,"Good","Low"))</f>
        <v>Excellent</v>
      </c>
      <c r="N426" t="str">
        <f>TEXT(Table1[[#This Row],[Order_Date]],"YYYY")</f>
        <v>2026</v>
      </c>
    </row>
    <row r="427" spans="1:14" x14ac:dyDescent="0.25">
      <c r="A427" s="1">
        <v>45776</v>
      </c>
      <c r="B427" t="s">
        <v>22</v>
      </c>
      <c r="C427" t="s">
        <v>36</v>
      </c>
      <c r="D427">
        <v>9434</v>
      </c>
      <c r="E427">
        <v>8692</v>
      </c>
      <c r="F427">
        <v>742</v>
      </c>
      <c r="G427" t="s">
        <v>27</v>
      </c>
      <c r="H427" t="s">
        <v>34</v>
      </c>
      <c r="I427" t="s">
        <v>24</v>
      </c>
      <c r="J427" s="2">
        <f>Table1[[#This Row],[Profit]]/Table1[[#This Row],[Sales]]*100</f>
        <v>7.8651685393258424</v>
      </c>
      <c r="K427" t="str">
        <f>IF(Table1[[#This Row],[Sales]]&gt;=30000,"High", IF(Table1[[#This Row],[Sales]]&gt;=15000,"Medium","Low"))</f>
        <v>Low</v>
      </c>
      <c r="L427" t="str">
        <f>TEXT(Table1[[#This Row],[Order_Date]],"MMM")</f>
        <v>Apr</v>
      </c>
      <c r="M427" t="str">
        <f>IF(Table1[[#This Row],[Profit]]&gt;=10000,"Excellent",IF(Table1[[#This Row],[Profit]]&gt;5000,"Good","Low"))</f>
        <v>Low</v>
      </c>
      <c r="N427" t="str">
        <f>TEXT(Table1[[#This Row],[Order_Date]],"YYYY")</f>
        <v>2025</v>
      </c>
    </row>
    <row r="428" spans="1:14" x14ac:dyDescent="0.25">
      <c r="A428" s="1">
        <v>45625</v>
      </c>
      <c r="B428" t="s">
        <v>26</v>
      </c>
      <c r="C428" t="s">
        <v>33</v>
      </c>
      <c r="D428">
        <v>21301</v>
      </c>
      <c r="E428">
        <v>14875</v>
      </c>
      <c r="F428">
        <v>6426</v>
      </c>
      <c r="G428" t="s">
        <v>13</v>
      </c>
      <c r="H428" t="s">
        <v>63</v>
      </c>
      <c r="I428" t="s">
        <v>15</v>
      </c>
      <c r="J428" s="2">
        <f>Table1[[#This Row],[Profit]]/Table1[[#This Row],[Sales]]*100</f>
        <v>30.16759776536313</v>
      </c>
      <c r="K428" t="str">
        <f>IF(Table1[[#This Row],[Sales]]&gt;=30000,"High", IF(Table1[[#This Row],[Sales]]&gt;=15000,"Medium","Low"))</f>
        <v>Medium</v>
      </c>
      <c r="L428" t="str">
        <f>TEXT(Table1[[#This Row],[Order_Date]],"MMM")</f>
        <v>Nov</v>
      </c>
      <c r="M428" t="str">
        <f>IF(Table1[[#This Row],[Profit]]&gt;=10000,"Excellent",IF(Table1[[#This Row],[Profit]]&gt;5000,"Good","Low"))</f>
        <v>Good</v>
      </c>
      <c r="N428" t="str">
        <f>TEXT(Table1[[#This Row],[Order_Date]],"YYYY")</f>
        <v>2024</v>
      </c>
    </row>
    <row r="429" spans="1:14" x14ac:dyDescent="0.25">
      <c r="A429" s="1">
        <v>45572</v>
      </c>
      <c r="B429" t="s">
        <v>44</v>
      </c>
      <c r="C429" t="s">
        <v>18</v>
      </c>
      <c r="D429">
        <v>35449</v>
      </c>
      <c r="E429">
        <v>34494</v>
      </c>
      <c r="F429">
        <v>955</v>
      </c>
      <c r="G429" t="s">
        <v>27</v>
      </c>
      <c r="H429" t="s">
        <v>28</v>
      </c>
      <c r="I429" t="s">
        <v>15</v>
      </c>
      <c r="J429" s="2">
        <f>Table1[[#This Row],[Profit]]/Table1[[#This Row],[Sales]]*100</f>
        <v>2.6940111145589438</v>
      </c>
      <c r="K429" t="str">
        <f>IF(Table1[[#This Row],[Sales]]&gt;=30000,"High", IF(Table1[[#This Row],[Sales]]&gt;=15000,"Medium","Low"))</f>
        <v>High</v>
      </c>
      <c r="L429" t="str">
        <f>TEXT(Table1[[#This Row],[Order_Date]],"MMM")</f>
        <v>Oct</v>
      </c>
      <c r="M429" t="str">
        <f>IF(Table1[[#This Row],[Profit]]&gt;=10000,"Excellent",IF(Table1[[#This Row],[Profit]]&gt;5000,"Good","Low"))</f>
        <v>Low</v>
      </c>
      <c r="N429" t="str">
        <f>TEXT(Table1[[#This Row],[Order_Date]],"YYYY")</f>
        <v>2024</v>
      </c>
    </row>
    <row r="430" spans="1:14" x14ac:dyDescent="0.25">
      <c r="A430" s="1">
        <v>45168</v>
      </c>
      <c r="B430" t="s">
        <v>17</v>
      </c>
      <c r="C430" t="s">
        <v>18</v>
      </c>
      <c r="D430">
        <v>13428</v>
      </c>
      <c r="E430">
        <v>245</v>
      </c>
      <c r="F430">
        <v>13183</v>
      </c>
      <c r="G430" t="s">
        <v>19</v>
      </c>
      <c r="H430" t="s">
        <v>31</v>
      </c>
      <c r="I430" t="s">
        <v>29</v>
      </c>
      <c r="J430" s="2">
        <f>Table1[[#This Row],[Profit]]/Table1[[#This Row],[Sales]]*100</f>
        <v>98.175454274649994</v>
      </c>
      <c r="K430" t="str">
        <f>IF(Table1[[#This Row],[Sales]]&gt;=30000,"High", IF(Table1[[#This Row],[Sales]]&gt;=15000,"Medium","Low"))</f>
        <v>Low</v>
      </c>
      <c r="L430" t="str">
        <f>TEXT(Table1[[#This Row],[Order_Date]],"MMM")</f>
        <v>Aug</v>
      </c>
      <c r="M430" t="str">
        <f>IF(Table1[[#This Row],[Profit]]&gt;=10000,"Excellent",IF(Table1[[#This Row],[Profit]]&gt;5000,"Good","Low"))</f>
        <v>Excellent</v>
      </c>
      <c r="N430" t="str">
        <f>TEXT(Table1[[#This Row],[Order_Date]],"YYYY")</f>
        <v>2023</v>
      </c>
    </row>
    <row r="431" spans="1:14" x14ac:dyDescent="0.25">
      <c r="A431" s="1">
        <v>45263</v>
      </c>
      <c r="B431" t="s">
        <v>17</v>
      </c>
      <c r="C431" t="s">
        <v>12</v>
      </c>
      <c r="D431">
        <v>35076</v>
      </c>
      <c r="E431">
        <v>29885</v>
      </c>
      <c r="F431">
        <v>5191</v>
      </c>
      <c r="G431" t="s">
        <v>27</v>
      </c>
      <c r="H431" t="s">
        <v>78</v>
      </c>
      <c r="I431" t="s">
        <v>24</v>
      </c>
      <c r="J431" s="2">
        <f>Table1[[#This Row],[Profit]]/Table1[[#This Row],[Sales]]*100</f>
        <v>14.799292963849926</v>
      </c>
      <c r="K431" t="str">
        <f>IF(Table1[[#This Row],[Sales]]&gt;=30000,"High", IF(Table1[[#This Row],[Sales]]&gt;=15000,"Medium","Low"))</f>
        <v>High</v>
      </c>
      <c r="L431" t="str">
        <f>TEXT(Table1[[#This Row],[Order_Date]],"MMM")</f>
        <v>Dec</v>
      </c>
      <c r="M431" t="str">
        <f>IF(Table1[[#This Row],[Profit]]&gt;=10000,"Excellent",IF(Table1[[#This Row],[Profit]]&gt;5000,"Good","Low"))</f>
        <v>Good</v>
      </c>
      <c r="N431" t="str">
        <f>TEXT(Table1[[#This Row],[Order_Date]],"YYYY")</f>
        <v>2023</v>
      </c>
    </row>
    <row r="432" spans="1:14" x14ac:dyDescent="0.25">
      <c r="A432" s="1">
        <v>45926</v>
      </c>
      <c r="B432" t="s">
        <v>11</v>
      </c>
      <c r="C432" t="s">
        <v>12</v>
      </c>
      <c r="D432">
        <v>48879</v>
      </c>
      <c r="E432">
        <v>33227</v>
      </c>
      <c r="F432">
        <v>15652</v>
      </c>
      <c r="G432" t="s">
        <v>19</v>
      </c>
      <c r="H432" t="s">
        <v>60</v>
      </c>
      <c r="I432" t="s">
        <v>15</v>
      </c>
      <c r="J432" s="2">
        <f>Table1[[#This Row],[Profit]]/Table1[[#This Row],[Sales]]*100</f>
        <v>32.021931708913847</v>
      </c>
      <c r="K432" t="str">
        <f>IF(Table1[[#This Row],[Sales]]&gt;=30000,"High", IF(Table1[[#This Row],[Sales]]&gt;=15000,"Medium","Low"))</f>
        <v>High</v>
      </c>
      <c r="L432" t="str">
        <f>TEXT(Table1[[#This Row],[Order_Date]],"MMM")</f>
        <v>Sep</v>
      </c>
      <c r="M432" t="str">
        <f>IF(Table1[[#This Row],[Profit]]&gt;=10000,"Excellent",IF(Table1[[#This Row],[Profit]]&gt;5000,"Good","Low"))</f>
        <v>Excellent</v>
      </c>
      <c r="N432" t="str">
        <f>TEXT(Table1[[#This Row],[Order_Date]],"YYYY")</f>
        <v>2025</v>
      </c>
    </row>
    <row r="433" spans="1:14" x14ac:dyDescent="0.25">
      <c r="A433" s="1">
        <v>46044</v>
      </c>
      <c r="B433" t="s">
        <v>11</v>
      </c>
      <c r="C433" t="s">
        <v>36</v>
      </c>
      <c r="D433">
        <v>16434</v>
      </c>
      <c r="E433">
        <v>9352</v>
      </c>
      <c r="F433">
        <v>7082</v>
      </c>
      <c r="G433" t="s">
        <v>27</v>
      </c>
      <c r="H433" t="s">
        <v>34</v>
      </c>
      <c r="I433" t="s">
        <v>24</v>
      </c>
      <c r="J433" s="2">
        <f>Table1[[#This Row],[Profit]]/Table1[[#This Row],[Sales]]*100</f>
        <v>43.093586467080442</v>
      </c>
      <c r="K433" t="str">
        <f>IF(Table1[[#This Row],[Sales]]&gt;=30000,"High", IF(Table1[[#This Row],[Sales]]&gt;=15000,"Medium","Low"))</f>
        <v>Medium</v>
      </c>
      <c r="L433" t="str">
        <f>TEXT(Table1[[#This Row],[Order_Date]],"MMM")</f>
        <v>Jan</v>
      </c>
      <c r="M433" t="str">
        <f>IF(Table1[[#This Row],[Profit]]&gt;=10000,"Excellent",IF(Table1[[#This Row],[Profit]]&gt;5000,"Good","Low"))</f>
        <v>Good</v>
      </c>
      <c r="N433" t="str">
        <f>TEXT(Table1[[#This Row],[Order_Date]],"YYYY")</f>
        <v>2026</v>
      </c>
    </row>
    <row r="434" spans="1:14" x14ac:dyDescent="0.25">
      <c r="A434" s="1">
        <v>45407</v>
      </c>
      <c r="B434" t="s">
        <v>44</v>
      </c>
      <c r="C434" t="s">
        <v>41</v>
      </c>
      <c r="D434">
        <v>47873</v>
      </c>
      <c r="E434">
        <v>46019</v>
      </c>
      <c r="F434">
        <v>1854</v>
      </c>
      <c r="G434" t="s">
        <v>13</v>
      </c>
      <c r="H434" t="s">
        <v>45</v>
      </c>
      <c r="I434" t="s">
        <v>24</v>
      </c>
      <c r="J434" s="2">
        <f>Table1[[#This Row],[Profit]]/Table1[[#This Row],[Sales]]*100</f>
        <v>3.8727466421573751</v>
      </c>
      <c r="K434" t="str">
        <f>IF(Table1[[#This Row],[Sales]]&gt;=30000,"High", IF(Table1[[#This Row],[Sales]]&gt;=15000,"Medium","Low"))</f>
        <v>High</v>
      </c>
      <c r="L434" t="str">
        <f>TEXT(Table1[[#This Row],[Order_Date]],"MMM")</f>
        <v>Apr</v>
      </c>
      <c r="M434" t="str">
        <f>IF(Table1[[#This Row],[Profit]]&gt;=10000,"Excellent",IF(Table1[[#This Row],[Profit]]&gt;5000,"Good","Low"))</f>
        <v>Low</v>
      </c>
      <c r="N434" t="str">
        <f>TEXT(Table1[[#This Row],[Order_Date]],"YYYY")</f>
        <v>2024</v>
      </c>
    </row>
    <row r="435" spans="1:14" x14ac:dyDescent="0.25">
      <c r="A435" s="1">
        <v>45412</v>
      </c>
      <c r="B435" t="s">
        <v>22</v>
      </c>
      <c r="C435" t="s">
        <v>18</v>
      </c>
      <c r="D435">
        <v>5740</v>
      </c>
      <c r="E435">
        <v>4207</v>
      </c>
      <c r="F435">
        <v>1533</v>
      </c>
      <c r="G435" t="s">
        <v>13</v>
      </c>
      <c r="H435" t="s">
        <v>34</v>
      </c>
      <c r="I435" t="s">
        <v>29</v>
      </c>
      <c r="J435" s="2">
        <f>Table1[[#This Row],[Profit]]/Table1[[#This Row],[Sales]]*100</f>
        <v>26.707317073170735</v>
      </c>
      <c r="K435" t="str">
        <f>IF(Table1[[#This Row],[Sales]]&gt;=30000,"High", IF(Table1[[#This Row],[Sales]]&gt;=15000,"Medium","Low"))</f>
        <v>Low</v>
      </c>
      <c r="L435" t="str">
        <f>TEXT(Table1[[#This Row],[Order_Date]],"MMM")</f>
        <v>Apr</v>
      </c>
      <c r="M435" t="str">
        <f>IF(Table1[[#This Row],[Profit]]&gt;=10000,"Excellent",IF(Table1[[#This Row],[Profit]]&gt;5000,"Good","Low"))</f>
        <v>Low</v>
      </c>
      <c r="N435" t="str">
        <f>TEXT(Table1[[#This Row],[Order_Date]],"YYYY")</f>
        <v>2024</v>
      </c>
    </row>
    <row r="436" spans="1:14" x14ac:dyDescent="0.25">
      <c r="A436" s="1">
        <v>45995</v>
      </c>
      <c r="B436" t="s">
        <v>22</v>
      </c>
      <c r="C436" t="s">
        <v>12</v>
      </c>
      <c r="D436">
        <v>49743</v>
      </c>
      <c r="E436">
        <v>36511</v>
      </c>
      <c r="F436">
        <v>13232</v>
      </c>
      <c r="G436" t="s">
        <v>38</v>
      </c>
      <c r="H436" t="s">
        <v>20</v>
      </c>
      <c r="I436" t="s">
        <v>15</v>
      </c>
      <c r="J436" s="2">
        <f>Table1[[#This Row],[Profit]]/Table1[[#This Row],[Sales]]*100</f>
        <v>26.600727740586617</v>
      </c>
      <c r="K436" t="str">
        <f>IF(Table1[[#This Row],[Sales]]&gt;=30000,"High", IF(Table1[[#This Row],[Sales]]&gt;=15000,"Medium","Low"))</f>
        <v>High</v>
      </c>
      <c r="L436" t="str">
        <f>TEXT(Table1[[#This Row],[Order_Date]],"MMM")</f>
        <v>Dec</v>
      </c>
      <c r="M436" t="str">
        <f>IF(Table1[[#This Row],[Profit]]&gt;=10000,"Excellent",IF(Table1[[#This Row],[Profit]]&gt;5000,"Good","Low"))</f>
        <v>Excellent</v>
      </c>
      <c r="N436" t="str">
        <f>TEXT(Table1[[#This Row],[Order_Date]],"YYYY")</f>
        <v>2025</v>
      </c>
    </row>
    <row r="437" spans="1:14" x14ac:dyDescent="0.25">
      <c r="A437" s="1">
        <v>45710</v>
      </c>
      <c r="B437" t="s">
        <v>17</v>
      </c>
      <c r="C437" t="s">
        <v>18</v>
      </c>
      <c r="D437">
        <v>20021</v>
      </c>
      <c r="E437">
        <v>1147</v>
      </c>
      <c r="F437">
        <v>18874</v>
      </c>
      <c r="G437" t="s">
        <v>38</v>
      </c>
      <c r="H437" t="s">
        <v>78</v>
      </c>
      <c r="I437" t="s">
        <v>24</v>
      </c>
      <c r="J437" s="2">
        <f>Table1[[#This Row],[Profit]]/Table1[[#This Row],[Sales]]*100</f>
        <v>94.271015433794517</v>
      </c>
      <c r="K437" t="str">
        <f>IF(Table1[[#This Row],[Sales]]&gt;=30000,"High", IF(Table1[[#This Row],[Sales]]&gt;=15000,"Medium","Low"))</f>
        <v>Medium</v>
      </c>
      <c r="L437" t="str">
        <f>TEXT(Table1[[#This Row],[Order_Date]],"MMM")</f>
        <v>Feb</v>
      </c>
      <c r="M437" t="str">
        <f>IF(Table1[[#This Row],[Profit]]&gt;=10000,"Excellent",IF(Table1[[#This Row],[Profit]]&gt;5000,"Good","Low"))</f>
        <v>Excellent</v>
      </c>
      <c r="N437" t="str">
        <f>TEXT(Table1[[#This Row],[Order_Date]],"YYYY")</f>
        <v>2025</v>
      </c>
    </row>
    <row r="438" spans="1:14" x14ac:dyDescent="0.25">
      <c r="A438" s="1">
        <v>45453</v>
      </c>
      <c r="B438" t="s">
        <v>44</v>
      </c>
      <c r="C438" t="s">
        <v>33</v>
      </c>
      <c r="D438">
        <v>34985</v>
      </c>
      <c r="E438">
        <v>15720</v>
      </c>
      <c r="F438">
        <v>19265</v>
      </c>
      <c r="G438" t="s">
        <v>38</v>
      </c>
      <c r="H438" t="s">
        <v>63</v>
      </c>
      <c r="I438" t="s">
        <v>24</v>
      </c>
      <c r="J438" s="2">
        <f>Table1[[#This Row],[Profit]]/Table1[[#This Row],[Sales]]*100</f>
        <v>55.066457053022724</v>
      </c>
      <c r="K438" t="str">
        <f>IF(Table1[[#This Row],[Sales]]&gt;=30000,"High", IF(Table1[[#This Row],[Sales]]&gt;=15000,"Medium","Low"))</f>
        <v>High</v>
      </c>
      <c r="L438" t="str">
        <f>TEXT(Table1[[#This Row],[Order_Date]],"MMM")</f>
        <v>Jun</v>
      </c>
      <c r="M438" t="str">
        <f>IF(Table1[[#This Row],[Profit]]&gt;=10000,"Excellent",IF(Table1[[#This Row],[Profit]]&gt;5000,"Good","Low"))</f>
        <v>Excellent</v>
      </c>
      <c r="N438" t="str">
        <f>TEXT(Table1[[#This Row],[Order_Date]],"YYYY")</f>
        <v>2024</v>
      </c>
    </row>
    <row r="439" spans="1:14" x14ac:dyDescent="0.25">
      <c r="A439" s="1">
        <v>45321</v>
      </c>
      <c r="B439" t="s">
        <v>11</v>
      </c>
      <c r="C439" t="s">
        <v>12</v>
      </c>
      <c r="D439">
        <v>43824</v>
      </c>
      <c r="E439">
        <v>41468</v>
      </c>
      <c r="F439">
        <v>2356</v>
      </c>
      <c r="G439" t="s">
        <v>38</v>
      </c>
      <c r="H439" t="s">
        <v>23</v>
      </c>
      <c r="I439" t="s">
        <v>53</v>
      </c>
      <c r="J439" s="2">
        <f>Table1[[#This Row],[Profit]]/Table1[[#This Row],[Sales]]*100</f>
        <v>5.3760496531580868</v>
      </c>
      <c r="K439" t="str">
        <f>IF(Table1[[#This Row],[Sales]]&gt;=30000,"High", IF(Table1[[#This Row],[Sales]]&gt;=15000,"Medium","Low"))</f>
        <v>High</v>
      </c>
      <c r="L439" t="str">
        <f>TEXT(Table1[[#This Row],[Order_Date]],"MMM")</f>
        <v>Jan</v>
      </c>
      <c r="M439" t="str">
        <f>IF(Table1[[#This Row],[Profit]]&gt;=10000,"Excellent",IF(Table1[[#This Row],[Profit]]&gt;5000,"Good","Low"))</f>
        <v>Low</v>
      </c>
      <c r="N439" t="str">
        <f>TEXT(Table1[[#This Row],[Order_Date]],"YYYY")</f>
        <v>2024</v>
      </c>
    </row>
    <row r="440" spans="1:14" x14ac:dyDescent="0.25">
      <c r="A440" s="1">
        <v>45839</v>
      </c>
      <c r="B440" t="s">
        <v>44</v>
      </c>
      <c r="C440" t="s">
        <v>36</v>
      </c>
      <c r="D440">
        <v>41298</v>
      </c>
      <c r="E440">
        <v>33341</v>
      </c>
      <c r="F440">
        <v>7957</v>
      </c>
      <c r="G440" t="s">
        <v>19</v>
      </c>
      <c r="H440" t="s">
        <v>23</v>
      </c>
      <c r="I440" t="s">
        <v>42</v>
      </c>
      <c r="J440" s="2">
        <f>Table1[[#This Row],[Profit]]/Table1[[#This Row],[Sales]]*100</f>
        <v>19.267276865707782</v>
      </c>
      <c r="K440" t="str">
        <f>IF(Table1[[#This Row],[Sales]]&gt;=30000,"High", IF(Table1[[#This Row],[Sales]]&gt;=15000,"Medium","Low"))</f>
        <v>High</v>
      </c>
      <c r="L440" t="str">
        <f>TEXT(Table1[[#This Row],[Order_Date]],"MMM")</f>
        <v>Jul</v>
      </c>
      <c r="M440" t="str">
        <f>IF(Table1[[#This Row],[Profit]]&gt;=10000,"Excellent",IF(Table1[[#This Row],[Profit]]&gt;5000,"Good","Low"))</f>
        <v>Good</v>
      </c>
      <c r="N440" t="str">
        <f>TEXT(Table1[[#This Row],[Order_Date]],"YYYY")</f>
        <v>2025</v>
      </c>
    </row>
    <row r="441" spans="1:14" x14ac:dyDescent="0.25">
      <c r="A441" s="1">
        <v>45441</v>
      </c>
      <c r="B441" t="s">
        <v>44</v>
      </c>
      <c r="C441" t="s">
        <v>18</v>
      </c>
      <c r="D441">
        <v>19092</v>
      </c>
      <c r="E441">
        <v>10805</v>
      </c>
      <c r="F441">
        <v>8287</v>
      </c>
      <c r="G441" t="s">
        <v>13</v>
      </c>
      <c r="H441" t="s">
        <v>28</v>
      </c>
      <c r="I441" t="s">
        <v>15</v>
      </c>
      <c r="J441" s="2">
        <f>Table1[[#This Row],[Profit]]/Table1[[#This Row],[Sales]]*100</f>
        <v>43.405614917242822</v>
      </c>
      <c r="K441" t="str">
        <f>IF(Table1[[#This Row],[Sales]]&gt;=30000,"High", IF(Table1[[#This Row],[Sales]]&gt;=15000,"Medium","Low"))</f>
        <v>Medium</v>
      </c>
      <c r="L441" t="str">
        <f>TEXT(Table1[[#This Row],[Order_Date]],"MMM")</f>
        <v>May</v>
      </c>
      <c r="M441" t="str">
        <f>IF(Table1[[#This Row],[Profit]]&gt;=10000,"Excellent",IF(Table1[[#This Row],[Profit]]&gt;5000,"Good","Low"))</f>
        <v>Good</v>
      </c>
      <c r="N441" t="str">
        <f>TEXT(Table1[[#This Row],[Order_Date]],"YYYY")</f>
        <v>2024</v>
      </c>
    </row>
    <row r="442" spans="1:14" x14ac:dyDescent="0.25">
      <c r="A442" s="1">
        <v>45460</v>
      </c>
      <c r="B442" t="s">
        <v>22</v>
      </c>
      <c r="C442" t="s">
        <v>36</v>
      </c>
      <c r="D442">
        <v>41031</v>
      </c>
      <c r="E442">
        <v>31396</v>
      </c>
      <c r="F442">
        <v>9635</v>
      </c>
      <c r="G442" t="s">
        <v>27</v>
      </c>
      <c r="H442" t="s">
        <v>45</v>
      </c>
      <c r="I442" t="s">
        <v>24</v>
      </c>
      <c r="J442" s="2">
        <f>Table1[[#This Row],[Profit]]/Table1[[#This Row],[Sales]]*100</f>
        <v>23.482245131729666</v>
      </c>
      <c r="K442" t="str">
        <f>IF(Table1[[#This Row],[Sales]]&gt;=30000,"High", IF(Table1[[#This Row],[Sales]]&gt;=15000,"Medium","Low"))</f>
        <v>High</v>
      </c>
      <c r="L442" t="str">
        <f>TEXT(Table1[[#This Row],[Order_Date]],"MMM")</f>
        <v>Jun</v>
      </c>
      <c r="M442" t="str">
        <f>IF(Table1[[#This Row],[Profit]]&gt;=10000,"Excellent",IF(Table1[[#This Row],[Profit]]&gt;5000,"Good","Low"))</f>
        <v>Good</v>
      </c>
      <c r="N442" t="str">
        <f>TEXT(Table1[[#This Row],[Order_Date]],"YYYY")</f>
        <v>2024</v>
      </c>
    </row>
    <row r="443" spans="1:14" x14ac:dyDescent="0.25">
      <c r="A443" s="1">
        <v>45266</v>
      </c>
      <c r="B443" t="s">
        <v>26</v>
      </c>
      <c r="C443" t="s">
        <v>18</v>
      </c>
      <c r="D443">
        <v>49520</v>
      </c>
      <c r="E443">
        <v>40960</v>
      </c>
      <c r="F443">
        <v>8560</v>
      </c>
      <c r="G443" t="s">
        <v>13</v>
      </c>
      <c r="H443" t="s">
        <v>20</v>
      </c>
      <c r="I443" t="s">
        <v>15</v>
      </c>
      <c r="J443" s="2">
        <f>Table1[[#This Row],[Profit]]/Table1[[#This Row],[Sales]]*100</f>
        <v>17.285945072697899</v>
      </c>
      <c r="K443" t="str">
        <f>IF(Table1[[#This Row],[Sales]]&gt;=30000,"High", IF(Table1[[#This Row],[Sales]]&gt;=15000,"Medium","Low"))</f>
        <v>High</v>
      </c>
      <c r="L443" t="str">
        <f>TEXT(Table1[[#This Row],[Order_Date]],"MMM")</f>
        <v>Dec</v>
      </c>
      <c r="M443" t="str">
        <f>IF(Table1[[#This Row],[Profit]]&gt;=10000,"Excellent",IF(Table1[[#This Row],[Profit]]&gt;5000,"Good","Low"))</f>
        <v>Good</v>
      </c>
      <c r="N443" t="str">
        <f>TEXT(Table1[[#This Row],[Order_Date]],"YYYY")</f>
        <v>2023</v>
      </c>
    </row>
    <row r="444" spans="1:14" x14ac:dyDescent="0.25">
      <c r="A444" s="1">
        <v>45954</v>
      </c>
      <c r="B444" t="s">
        <v>26</v>
      </c>
      <c r="C444" t="s">
        <v>18</v>
      </c>
      <c r="D444">
        <v>5573</v>
      </c>
      <c r="E444">
        <v>2746</v>
      </c>
      <c r="F444">
        <v>2827</v>
      </c>
      <c r="G444" t="s">
        <v>38</v>
      </c>
      <c r="H444" t="s">
        <v>28</v>
      </c>
      <c r="I444" t="s">
        <v>53</v>
      </c>
      <c r="J444" s="2">
        <f>Table1[[#This Row],[Profit]]/Table1[[#This Row],[Sales]]*100</f>
        <v>50.726718105149828</v>
      </c>
      <c r="K444" t="str">
        <f>IF(Table1[[#This Row],[Sales]]&gt;=30000,"High", IF(Table1[[#This Row],[Sales]]&gt;=15000,"Medium","Low"))</f>
        <v>Low</v>
      </c>
      <c r="L444" t="str">
        <f>TEXT(Table1[[#This Row],[Order_Date]],"MMM")</f>
        <v>Oct</v>
      </c>
      <c r="M444" t="str">
        <f>IF(Table1[[#This Row],[Profit]]&gt;=10000,"Excellent",IF(Table1[[#This Row],[Profit]]&gt;5000,"Good","Low"))</f>
        <v>Low</v>
      </c>
      <c r="N444" t="str">
        <f>TEXT(Table1[[#This Row],[Order_Date]],"YYYY")</f>
        <v>2025</v>
      </c>
    </row>
    <row r="445" spans="1:14" x14ac:dyDescent="0.25">
      <c r="A445" s="1">
        <v>45714</v>
      </c>
      <c r="B445" t="s">
        <v>44</v>
      </c>
      <c r="C445" t="s">
        <v>12</v>
      </c>
      <c r="D445">
        <v>27024</v>
      </c>
      <c r="E445">
        <v>7940</v>
      </c>
      <c r="F445">
        <v>19084</v>
      </c>
      <c r="G445" t="s">
        <v>27</v>
      </c>
      <c r="H445" t="s">
        <v>60</v>
      </c>
      <c r="I445" t="s">
        <v>24</v>
      </c>
      <c r="J445" s="2">
        <f>Table1[[#This Row],[Profit]]/Table1[[#This Row],[Sales]]*100</f>
        <v>70.618709295441079</v>
      </c>
      <c r="K445" t="str">
        <f>IF(Table1[[#This Row],[Sales]]&gt;=30000,"High", IF(Table1[[#This Row],[Sales]]&gt;=15000,"Medium","Low"))</f>
        <v>Medium</v>
      </c>
      <c r="L445" t="str">
        <f>TEXT(Table1[[#This Row],[Order_Date]],"MMM")</f>
        <v>Feb</v>
      </c>
      <c r="M445" t="str">
        <f>IF(Table1[[#This Row],[Profit]]&gt;=10000,"Excellent",IF(Table1[[#This Row],[Profit]]&gt;5000,"Good","Low"))</f>
        <v>Excellent</v>
      </c>
      <c r="N445" t="str">
        <f>TEXT(Table1[[#This Row],[Order_Date]],"YYYY")</f>
        <v>2025</v>
      </c>
    </row>
    <row r="446" spans="1:14" x14ac:dyDescent="0.25">
      <c r="A446" s="1">
        <v>45644</v>
      </c>
      <c r="B446" t="s">
        <v>26</v>
      </c>
      <c r="C446" t="s">
        <v>33</v>
      </c>
      <c r="D446">
        <v>10379</v>
      </c>
      <c r="E446">
        <v>4800</v>
      </c>
      <c r="F446">
        <v>5579</v>
      </c>
      <c r="G446" t="s">
        <v>19</v>
      </c>
      <c r="H446" t="s">
        <v>14</v>
      </c>
      <c r="I446" t="s">
        <v>15</v>
      </c>
      <c r="J446" s="2">
        <f>Table1[[#This Row],[Profit]]/Table1[[#This Row],[Sales]]*100</f>
        <v>53.752770016379223</v>
      </c>
      <c r="K446" t="str">
        <f>IF(Table1[[#This Row],[Sales]]&gt;=30000,"High", IF(Table1[[#This Row],[Sales]]&gt;=15000,"Medium","Low"))</f>
        <v>Low</v>
      </c>
      <c r="L446" t="str">
        <f>TEXT(Table1[[#This Row],[Order_Date]],"MMM")</f>
        <v>Dec</v>
      </c>
      <c r="M446" t="str">
        <f>IF(Table1[[#This Row],[Profit]]&gt;=10000,"Excellent",IF(Table1[[#This Row],[Profit]]&gt;5000,"Good","Low"))</f>
        <v>Good</v>
      </c>
      <c r="N446" t="str">
        <f>TEXT(Table1[[#This Row],[Order_Date]],"YYYY")</f>
        <v>2024</v>
      </c>
    </row>
    <row r="447" spans="1:14" x14ac:dyDescent="0.25">
      <c r="A447" s="1">
        <v>45712</v>
      </c>
      <c r="B447" t="s">
        <v>26</v>
      </c>
      <c r="C447" t="s">
        <v>41</v>
      </c>
      <c r="D447">
        <v>28798</v>
      </c>
      <c r="E447">
        <v>18122</v>
      </c>
      <c r="F447">
        <v>10676</v>
      </c>
      <c r="G447" t="s">
        <v>38</v>
      </c>
      <c r="H447" t="s">
        <v>45</v>
      </c>
      <c r="I447" t="s">
        <v>24</v>
      </c>
      <c r="J447" s="2">
        <f>Table1[[#This Row],[Profit]]/Table1[[#This Row],[Sales]]*100</f>
        <v>37.07201889020071</v>
      </c>
      <c r="K447" t="str">
        <f>IF(Table1[[#This Row],[Sales]]&gt;=30000,"High", IF(Table1[[#This Row],[Sales]]&gt;=15000,"Medium","Low"))</f>
        <v>Medium</v>
      </c>
      <c r="L447" t="str">
        <f>TEXT(Table1[[#This Row],[Order_Date]],"MMM")</f>
        <v>Feb</v>
      </c>
      <c r="M447" t="str">
        <f>IF(Table1[[#This Row],[Profit]]&gt;=10000,"Excellent",IF(Table1[[#This Row],[Profit]]&gt;5000,"Good","Low"))</f>
        <v>Excellent</v>
      </c>
      <c r="N447" t="str">
        <f>TEXT(Table1[[#This Row],[Order_Date]],"YYYY")</f>
        <v>2025</v>
      </c>
    </row>
    <row r="448" spans="1:14" x14ac:dyDescent="0.25">
      <c r="A448" s="1">
        <v>45743</v>
      </c>
      <c r="B448" t="s">
        <v>44</v>
      </c>
      <c r="C448" t="s">
        <v>36</v>
      </c>
      <c r="D448">
        <v>41802</v>
      </c>
      <c r="E448">
        <v>23199</v>
      </c>
      <c r="F448">
        <v>18603</v>
      </c>
      <c r="G448" t="s">
        <v>27</v>
      </c>
      <c r="H448" t="s">
        <v>60</v>
      </c>
      <c r="I448" t="s">
        <v>29</v>
      </c>
      <c r="J448" s="2">
        <f>Table1[[#This Row],[Profit]]/Table1[[#This Row],[Sales]]*100</f>
        <v>44.502655375340893</v>
      </c>
      <c r="K448" t="str">
        <f>IF(Table1[[#This Row],[Sales]]&gt;=30000,"High", IF(Table1[[#This Row],[Sales]]&gt;=15000,"Medium","Low"))</f>
        <v>High</v>
      </c>
      <c r="L448" t="str">
        <f>TEXT(Table1[[#This Row],[Order_Date]],"MMM")</f>
        <v>Mar</v>
      </c>
      <c r="M448" t="str">
        <f>IF(Table1[[#This Row],[Profit]]&gt;=10000,"Excellent",IF(Table1[[#This Row],[Profit]]&gt;5000,"Good","Low"))</f>
        <v>Excellent</v>
      </c>
      <c r="N448" t="str">
        <f>TEXT(Table1[[#This Row],[Order_Date]],"YYYY")</f>
        <v>2025</v>
      </c>
    </row>
    <row r="449" spans="1:14" x14ac:dyDescent="0.25">
      <c r="A449" s="1">
        <v>45254</v>
      </c>
      <c r="B449" t="s">
        <v>22</v>
      </c>
      <c r="C449" t="s">
        <v>33</v>
      </c>
      <c r="D449">
        <v>12687</v>
      </c>
      <c r="E449">
        <v>7599</v>
      </c>
      <c r="F449">
        <v>5088</v>
      </c>
      <c r="G449" t="s">
        <v>19</v>
      </c>
      <c r="H449" t="s">
        <v>23</v>
      </c>
      <c r="I449" t="s">
        <v>42</v>
      </c>
      <c r="J449" s="2">
        <f>Table1[[#This Row],[Profit]]/Table1[[#This Row],[Sales]]*100</f>
        <v>40.104043509103811</v>
      </c>
      <c r="K449" t="str">
        <f>IF(Table1[[#This Row],[Sales]]&gt;=30000,"High", IF(Table1[[#This Row],[Sales]]&gt;=15000,"Medium","Low"))</f>
        <v>Low</v>
      </c>
      <c r="L449" t="str">
        <f>TEXT(Table1[[#This Row],[Order_Date]],"MMM")</f>
        <v>Nov</v>
      </c>
      <c r="M449" t="str">
        <f>IF(Table1[[#This Row],[Profit]]&gt;=10000,"Excellent",IF(Table1[[#This Row],[Profit]]&gt;5000,"Good","Low"))</f>
        <v>Good</v>
      </c>
      <c r="N449" t="str">
        <f>TEXT(Table1[[#This Row],[Order_Date]],"YYYY")</f>
        <v>2023</v>
      </c>
    </row>
    <row r="450" spans="1:14" x14ac:dyDescent="0.25">
      <c r="A450" s="1">
        <v>45535</v>
      </c>
      <c r="B450" t="s">
        <v>26</v>
      </c>
      <c r="C450" t="s">
        <v>33</v>
      </c>
      <c r="D450">
        <v>40922</v>
      </c>
      <c r="E450">
        <v>29718</v>
      </c>
      <c r="F450">
        <v>11204</v>
      </c>
      <c r="G450" t="s">
        <v>19</v>
      </c>
      <c r="H450" t="s">
        <v>63</v>
      </c>
      <c r="I450" t="s">
        <v>53</v>
      </c>
      <c r="J450" s="2">
        <f>Table1[[#This Row],[Profit]]/Table1[[#This Row],[Sales]]*100</f>
        <v>27.378915986510922</v>
      </c>
      <c r="K450" t="str">
        <f>IF(Table1[[#This Row],[Sales]]&gt;=30000,"High", IF(Table1[[#This Row],[Sales]]&gt;=15000,"Medium","Low"))</f>
        <v>High</v>
      </c>
      <c r="L450" t="str">
        <f>TEXT(Table1[[#This Row],[Order_Date]],"MMM")</f>
        <v>Aug</v>
      </c>
      <c r="M450" t="str">
        <f>IF(Table1[[#This Row],[Profit]]&gt;=10000,"Excellent",IF(Table1[[#This Row],[Profit]]&gt;5000,"Good","Low"))</f>
        <v>Excellent</v>
      </c>
      <c r="N450" t="str">
        <f>TEXT(Table1[[#This Row],[Order_Date]],"YYYY")</f>
        <v>2024</v>
      </c>
    </row>
    <row r="451" spans="1:14" x14ac:dyDescent="0.25">
      <c r="A451" s="1">
        <v>45722</v>
      </c>
      <c r="B451" t="s">
        <v>22</v>
      </c>
      <c r="C451" t="s">
        <v>33</v>
      </c>
      <c r="D451">
        <v>38433</v>
      </c>
      <c r="E451">
        <v>23333</v>
      </c>
      <c r="F451">
        <v>15100</v>
      </c>
      <c r="G451" t="s">
        <v>27</v>
      </c>
      <c r="H451" t="s">
        <v>45</v>
      </c>
      <c r="I451" t="s">
        <v>15</v>
      </c>
      <c r="J451" s="2">
        <f>Table1[[#This Row],[Profit]]/Table1[[#This Row],[Sales]]*100</f>
        <v>39.289152551192984</v>
      </c>
      <c r="K451" t="str">
        <f>IF(Table1[[#This Row],[Sales]]&gt;=30000,"High", IF(Table1[[#This Row],[Sales]]&gt;=15000,"Medium","Low"))</f>
        <v>High</v>
      </c>
      <c r="L451" t="str">
        <f>TEXT(Table1[[#This Row],[Order_Date]],"MMM")</f>
        <v>Mar</v>
      </c>
      <c r="M451" t="str">
        <f>IF(Table1[[#This Row],[Profit]]&gt;=10000,"Excellent",IF(Table1[[#This Row],[Profit]]&gt;5000,"Good","Low"))</f>
        <v>Excellent</v>
      </c>
      <c r="N451" t="str">
        <f>TEXT(Table1[[#This Row],[Order_Date]],"YYYY")</f>
        <v>2025</v>
      </c>
    </row>
    <row r="452" spans="1:14" x14ac:dyDescent="0.25">
      <c r="A452" s="1">
        <v>45305</v>
      </c>
      <c r="B452" t="s">
        <v>17</v>
      </c>
      <c r="C452" t="s">
        <v>41</v>
      </c>
      <c r="D452">
        <v>48095</v>
      </c>
      <c r="E452">
        <v>36496</v>
      </c>
      <c r="F452">
        <v>11599</v>
      </c>
      <c r="G452" t="s">
        <v>38</v>
      </c>
      <c r="H452" t="s">
        <v>14</v>
      </c>
      <c r="I452" t="s">
        <v>24</v>
      </c>
      <c r="J452" s="2">
        <f>Table1[[#This Row],[Profit]]/Table1[[#This Row],[Sales]]*100</f>
        <v>24.116852063624076</v>
      </c>
      <c r="K452" t="str">
        <f>IF(Table1[[#This Row],[Sales]]&gt;=30000,"High", IF(Table1[[#This Row],[Sales]]&gt;=15000,"Medium","Low"))</f>
        <v>High</v>
      </c>
      <c r="L452" t="str">
        <f>TEXT(Table1[[#This Row],[Order_Date]],"MMM")</f>
        <v>Jan</v>
      </c>
      <c r="M452" t="str">
        <f>IF(Table1[[#This Row],[Profit]]&gt;=10000,"Excellent",IF(Table1[[#This Row],[Profit]]&gt;5000,"Good","Low"))</f>
        <v>Excellent</v>
      </c>
      <c r="N452" t="str">
        <f>TEXT(Table1[[#This Row],[Order_Date]],"YYYY")</f>
        <v>2024</v>
      </c>
    </row>
    <row r="453" spans="1:14" x14ac:dyDescent="0.25">
      <c r="A453" s="1">
        <v>45888</v>
      </c>
      <c r="B453" t="s">
        <v>22</v>
      </c>
      <c r="C453" t="s">
        <v>41</v>
      </c>
      <c r="D453">
        <v>14539</v>
      </c>
      <c r="E453">
        <v>4695</v>
      </c>
      <c r="F453">
        <v>9844</v>
      </c>
      <c r="G453" t="s">
        <v>27</v>
      </c>
      <c r="H453" t="s">
        <v>23</v>
      </c>
      <c r="I453" t="s">
        <v>15</v>
      </c>
      <c r="J453" s="2">
        <f>Table1[[#This Row],[Profit]]/Table1[[#This Row],[Sales]]*100</f>
        <v>67.707545223192795</v>
      </c>
      <c r="K453" t="str">
        <f>IF(Table1[[#This Row],[Sales]]&gt;=30000,"High", IF(Table1[[#This Row],[Sales]]&gt;=15000,"Medium","Low"))</f>
        <v>Low</v>
      </c>
      <c r="L453" t="str">
        <f>TEXT(Table1[[#This Row],[Order_Date]],"MMM")</f>
        <v>Aug</v>
      </c>
      <c r="M453" t="str">
        <f>IF(Table1[[#This Row],[Profit]]&gt;=10000,"Excellent",IF(Table1[[#This Row],[Profit]]&gt;5000,"Good","Low"))</f>
        <v>Good</v>
      </c>
      <c r="N453" t="str">
        <f>TEXT(Table1[[#This Row],[Order_Date]],"YYYY")</f>
        <v>2025</v>
      </c>
    </row>
    <row r="454" spans="1:14" x14ac:dyDescent="0.25">
      <c r="A454" s="1">
        <v>45360</v>
      </c>
      <c r="B454" t="s">
        <v>44</v>
      </c>
      <c r="C454" t="s">
        <v>41</v>
      </c>
      <c r="D454">
        <v>13070</v>
      </c>
      <c r="E454">
        <v>4940</v>
      </c>
      <c r="F454">
        <v>8130</v>
      </c>
      <c r="G454" t="s">
        <v>27</v>
      </c>
      <c r="H454" t="s">
        <v>31</v>
      </c>
      <c r="I454" t="s">
        <v>53</v>
      </c>
      <c r="J454" s="2">
        <f>Table1[[#This Row],[Profit]]/Table1[[#This Row],[Sales]]*100</f>
        <v>62.203519510328995</v>
      </c>
      <c r="K454" t="str">
        <f>IF(Table1[[#This Row],[Sales]]&gt;=30000,"High", IF(Table1[[#This Row],[Sales]]&gt;=15000,"Medium","Low"))</f>
        <v>Low</v>
      </c>
      <c r="L454" t="str">
        <f>TEXT(Table1[[#This Row],[Order_Date]],"MMM")</f>
        <v>Mar</v>
      </c>
      <c r="M454" t="str">
        <f>IF(Table1[[#This Row],[Profit]]&gt;=10000,"Excellent",IF(Table1[[#This Row],[Profit]]&gt;5000,"Good","Low"))</f>
        <v>Good</v>
      </c>
      <c r="N454" t="str">
        <f>TEXT(Table1[[#This Row],[Order_Date]],"YYYY")</f>
        <v>2024</v>
      </c>
    </row>
    <row r="455" spans="1:14" x14ac:dyDescent="0.25">
      <c r="A455" s="1">
        <v>45443</v>
      </c>
      <c r="B455" t="s">
        <v>44</v>
      </c>
      <c r="C455" t="s">
        <v>18</v>
      </c>
      <c r="D455">
        <v>23184</v>
      </c>
      <c r="E455">
        <v>19766</v>
      </c>
      <c r="F455">
        <v>3418</v>
      </c>
      <c r="G455" t="s">
        <v>13</v>
      </c>
      <c r="H455" t="s">
        <v>63</v>
      </c>
      <c r="I455" t="s">
        <v>15</v>
      </c>
      <c r="J455" s="2">
        <f>Table1[[#This Row],[Profit]]/Table1[[#This Row],[Sales]]*100</f>
        <v>14.742926155969634</v>
      </c>
      <c r="K455" t="str">
        <f>IF(Table1[[#This Row],[Sales]]&gt;=30000,"High", IF(Table1[[#This Row],[Sales]]&gt;=15000,"Medium","Low"))</f>
        <v>Medium</v>
      </c>
      <c r="L455" t="str">
        <f>TEXT(Table1[[#This Row],[Order_Date]],"MMM")</f>
        <v>May</v>
      </c>
      <c r="M455" t="str">
        <f>IF(Table1[[#This Row],[Profit]]&gt;=10000,"Excellent",IF(Table1[[#This Row],[Profit]]&gt;5000,"Good","Low"))</f>
        <v>Low</v>
      </c>
      <c r="N455" t="str">
        <f>TEXT(Table1[[#This Row],[Order_Date]],"YYYY")</f>
        <v>2024</v>
      </c>
    </row>
    <row r="456" spans="1:14" x14ac:dyDescent="0.25">
      <c r="A456" s="1">
        <v>45275</v>
      </c>
      <c r="B456" t="s">
        <v>22</v>
      </c>
      <c r="C456" t="s">
        <v>41</v>
      </c>
      <c r="D456">
        <v>48507</v>
      </c>
      <c r="E456">
        <v>43822</v>
      </c>
      <c r="F456">
        <v>4685</v>
      </c>
      <c r="G456" t="s">
        <v>27</v>
      </c>
      <c r="H456" t="s">
        <v>34</v>
      </c>
      <c r="I456" t="s">
        <v>42</v>
      </c>
      <c r="J456" s="2">
        <f>Table1[[#This Row],[Profit]]/Table1[[#This Row],[Sales]]*100</f>
        <v>9.6583998185828843</v>
      </c>
      <c r="K456" t="str">
        <f>IF(Table1[[#This Row],[Sales]]&gt;=30000,"High", IF(Table1[[#This Row],[Sales]]&gt;=15000,"Medium","Low"))</f>
        <v>High</v>
      </c>
      <c r="L456" t="str">
        <f>TEXT(Table1[[#This Row],[Order_Date]],"MMM")</f>
        <v>Dec</v>
      </c>
      <c r="M456" t="str">
        <f>IF(Table1[[#This Row],[Profit]]&gt;=10000,"Excellent",IF(Table1[[#This Row],[Profit]]&gt;5000,"Good","Low"))</f>
        <v>Low</v>
      </c>
      <c r="N456" t="str">
        <f>TEXT(Table1[[#This Row],[Order_Date]],"YYYY")</f>
        <v>2023</v>
      </c>
    </row>
    <row r="457" spans="1:14" x14ac:dyDescent="0.25">
      <c r="A457" s="1">
        <v>45407</v>
      </c>
      <c r="B457" t="s">
        <v>26</v>
      </c>
      <c r="C457" t="s">
        <v>33</v>
      </c>
      <c r="D457">
        <v>40505</v>
      </c>
      <c r="E457">
        <v>29413</v>
      </c>
      <c r="F457">
        <v>11092</v>
      </c>
      <c r="G457" t="s">
        <v>13</v>
      </c>
      <c r="H457" t="s">
        <v>34</v>
      </c>
      <c r="I457" t="s">
        <v>53</v>
      </c>
      <c r="J457" s="2">
        <f>Table1[[#This Row],[Profit]]/Table1[[#This Row],[Sales]]*100</f>
        <v>27.384273546475747</v>
      </c>
      <c r="K457" t="str">
        <f>IF(Table1[[#This Row],[Sales]]&gt;=30000,"High", IF(Table1[[#This Row],[Sales]]&gt;=15000,"Medium","Low"))</f>
        <v>High</v>
      </c>
      <c r="L457" t="str">
        <f>TEXT(Table1[[#This Row],[Order_Date]],"MMM")</f>
        <v>Apr</v>
      </c>
      <c r="M457" t="str">
        <f>IF(Table1[[#This Row],[Profit]]&gt;=10000,"Excellent",IF(Table1[[#This Row],[Profit]]&gt;5000,"Good","Low"))</f>
        <v>Excellent</v>
      </c>
      <c r="N457" t="str">
        <f>TEXT(Table1[[#This Row],[Order_Date]],"YYYY")</f>
        <v>2024</v>
      </c>
    </row>
    <row r="458" spans="1:14" x14ac:dyDescent="0.25">
      <c r="A458" s="1">
        <v>45510</v>
      </c>
      <c r="B458" t="s">
        <v>11</v>
      </c>
      <c r="C458" t="s">
        <v>18</v>
      </c>
      <c r="D458">
        <v>36079</v>
      </c>
      <c r="E458">
        <v>23913</v>
      </c>
      <c r="F458">
        <v>12166</v>
      </c>
      <c r="G458" t="s">
        <v>13</v>
      </c>
      <c r="H458" t="s">
        <v>14</v>
      </c>
      <c r="I458" t="s">
        <v>29</v>
      </c>
      <c r="J458" s="2">
        <f>Table1[[#This Row],[Profit]]/Table1[[#This Row],[Sales]]*100</f>
        <v>33.720446797305911</v>
      </c>
      <c r="K458" t="str">
        <f>IF(Table1[[#This Row],[Sales]]&gt;=30000,"High", IF(Table1[[#This Row],[Sales]]&gt;=15000,"Medium","Low"))</f>
        <v>High</v>
      </c>
      <c r="L458" t="str">
        <f>TEXT(Table1[[#This Row],[Order_Date]],"MMM")</f>
        <v>Aug</v>
      </c>
      <c r="M458" t="str">
        <f>IF(Table1[[#This Row],[Profit]]&gt;=10000,"Excellent",IF(Table1[[#This Row],[Profit]]&gt;5000,"Good","Low"))</f>
        <v>Excellent</v>
      </c>
      <c r="N458" t="str">
        <f>TEXT(Table1[[#This Row],[Order_Date]],"YYYY")</f>
        <v>2024</v>
      </c>
    </row>
    <row r="459" spans="1:14" x14ac:dyDescent="0.25">
      <c r="A459" s="1">
        <v>45889</v>
      </c>
      <c r="B459" t="s">
        <v>44</v>
      </c>
      <c r="C459" t="s">
        <v>33</v>
      </c>
      <c r="D459">
        <v>16593</v>
      </c>
      <c r="E459">
        <v>4914</v>
      </c>
      <c r="F459">
        <v>11679</v>
      </c>
      <c r="G459" t="s">
        <v>19</v>
      </c>
      <c r="H459" t="s">
        <v>34</v>
      </c>
      <c r="I459" t="s">
        <v>53</v>
      </c>
      <c r="J459" s="2">
        <f>Table1[[#This Row],[Profit]]/Table1[[#This Row],[Sales]]*100</f>
        <v>70.38510215150967</v>
      </c>
      <c r="K459" t="str">
        <f>IF(Table1[[#This Row],[Sales]]&gt;=30000,"High", IF(Table1[[#This Row],[Sales]]&gt;=15000,"Medium","Low"))</f>
        <v>Medium</v>
      </c>
      <c r="L459" t="str">
        <f>TEXT(Table1[[#This Row],[Order_Date]],"MMM")</f>
        <v>Aug</v>
      </c>
      <c r="M459" t="str">
        <f>IF(Table1[[#This Row],[Profit]]&gt;=10000,"Excellent",IF(Table1[[#This Row],[Profit]]&gt;5000,"Good","Low"))</f>
        <v>Excellent</v>
      </c>
      <c r="N459" t="str">
        <f>TEXT(Table1[[#This Row],[Order_Date]],"YYYY")</f>
        <v>2025</v>
      </c>
    </row>
    <row r="460" spans="1:14" x14ac:dyDescent="0.25">
      <c r="A460" s="1">
        <v>45829</v>
      </c>
      <c r="B460" t="s">
        <v>17</v>
      </c>
      <c r="C460" t="s">
        <v>33</v>
      </c>
      <c r="D460">
        <v>40644</v>
      </c>
      <c r="E460">
        <v>21227</v>
      </c>
      <c r="F460">
        <v>19417</v>
      </c>
      <c r="G460" t="s">
        <v>13</v>
      </c>
      <c r="H460" t="s">
        <v>14</v>
      </c>
      <c r="I460" t="s">
        <v>29</v>
      </c>
      <c r="J460" s="2">
        <f>Table1[[#This Row],[Profit]]/Table1[[#This Row],[Sales]]*100</f>
        <v>47.773349079814977</v>
      </c>
      <c r="K460" t="str">
        <f>IF(Table1[[#This Row],[Sales]]&gt;=30000,"High", IF(Table1[[#This Row],[Sales]]&gt;=15000,"Medium","Low"))</f>
        <v>High</v>
      </c>
      <c r="L460" t="str">
        <f>TEXT(Table1[[#This Row],[Order_Date]],"MMM")</f>
        <v>Jun</v>
      </c>
      <c r="M460" t="str">
        <f>IF(Table1[[#This Row],[Profit]]&gt;=10000,"Excellent",IF(Table1[[#This Row],[Profit]]&gt;5000,"Good","Low"))</f>
        <v>Excellent</v>
      </c>
      <c r="N460" t="str">
        <f>TEXT(Table1[[#This Row],[Order_Date]],"YYYY")</f>
        <v>2025</v>
      </c>
    </row>
    <row r="461" spans="1:14" x14ac:dyDescent="0.25">
      <c r="A461" s="1">
        <v>45806</v>
      </c>
      <c r="B461" t="s">
        <v>44</v>
      </c>
      <c r="C461" t="s">
        <v>41</v>
      </c>
      <c r="D461">
        <v>25294</v>
      </c>
      <c r="E461">
        <v>23274</v>
      </c>
      <c r="F461">
        <v>2020</v>
      </c>
      <c r="G461" t="s">
        <v>27</v>
      </c>
      <c r="H461" t="s">
        <v>23</v>
      </c>
      <c r="I461" t="s">
        <v>24</v>
      </c>
      <c r="J461" s="2">
        <f>Table1[[#This Row],[Profit]]/Table1[[#This Row],[Sales]]*100</f>
        <v>7.9860836562030526</v>
      </c>
      <c r="K461" t="str">
        <f>IF(Table1[[#This Row],[Sales]]&gt;=30000,"High", IF(Table1[[#This Row],[Sales]]&gt;=15000,"Medium","Low"))</f>
        <v>Medium</v>
      </c>
      <c r="L461" t="str">
        <f>TEXT(Table1[[#This Row],[Order_Date]],"MMM")</f>
        <v>May</v>
      </c>
      <c r="M461" t="str">
        <f>IF(Table1[[#This Row],[Profit]]&gt;=10000,"Excellent",IF(Table1[[#This Row],[Profit]]&gt;5000,"Good","Low"))</f>
        <v>Low</v>
      </c>
      <c r="N461" t="str">
        <f>TEXT(Table1[[#This Row],[Order_Date]],"YYYY")</f>
        <v>2025</v>
      </c>
    </row>
    <row r="462" spans="1:14" x14ac:dyDescent="0.25">
      <c r="A462" s="1">
        <v>45683</v>
      </c>
      <c r="B462" t="s">
        <v>44</v>
      </c>
      <c r="C462" t="s">
        <v>33</v>
      </c>
      <c r="D462">
        <v>32953</v>
      </c>
      <c r="E462">
        <v>21168</v>
      </c>
      <c r="F462">
        <v>11785</v>
      </c>
      <c r="G462" t="s">
        <v>38</v>
      </c>
      <c r="H462" t="s">
        <v>31</v>
      </c>
      <c r="I462" t="s">
        <v>53</v>
      </c>
      <c r="J462" s="2">
        <f>Table1[[#This Row],[Profit]]/Table1[[#This Row],[Sales]]*100</f>
        <v>35.76305647437259</v>
      </c>
      <c r="K462" t="str">
        <f>IF(Table1[[#This Row],[Sales]]&gt;=30000,"High", IF(Table1[[#This Row],[Sales]]&gt;=15000,"Medium","Low"))</f>
        <v>High</v>
      </c>
      <c r="L462" t="str">
        <f>TEXT(Table1[[#This Row],[Order_Date]],"MMM")</f>
        <v>Jan</v>
      </c>
      <c r="M462" t="str">
        <f>IF(Table1[[#This Row],[Profit]]&gt;=10000,"Excellent",IF(Table1[[#This Row],[Profit]]&gt;5000,"Good","Low"))</f>
        <v>Excellent</v>
      </c>
      <c r="N462" t="str">
        <f>TEXT(Table1[[#This Row],[Order_Date]],"YYYY")</f>
        <v>2025</v>
      </c>
    </row>
    <row r="463" spans="1:14" x14ac:dyDescent="0.25">
      <c r="A463" s="1">
        <v>45568</v>
      </c>
      <c r="B463" t="s">
        <v>26</v>
      </c>
      <c r="C463" t="s">
        <v>12</v>
      </c>
      <c r="D463">
        <v>20707</v>
      </c>
      <c r="E463">
        <v>12584</v>
      </c>
      <c r="F463">
        <v>8123</v>
      </c>
      <c r="G463" t="s">
        <v>27</v>
      </c>
      <c r="H463" t="s">
        <v>20</v>
      </c>
      <c r="I463" t="s">
        <v>53</v>
      </c>
      <c r="J463" s="2">
        <f>Table1[[#This Row],[Profit]]/Table1[[#This Row],[Sales]]*100</f>
        <v>39.228280291688797</v>
      </c>
      <c r="K463" t="str">
        <f>IF(Table1[[#This Row],[Sales]]&gt;=30000,"High", IF(Table1[[#This Row],[Sales]]&gt;=15000,"Medium","Low"))</f>
        <v>Medium</v>
      </c>
      <c r="L463" t="str">
        <f>TEXT(Table1[[#This Row],[Order_Date]],"MMM")</f>
        <v>Oct</v>
      </c>
      <c r="M463" t="str">
        <f>IF(Table1[[#This Row],[Profit]]&gt;=10000,"Excellent",IF(Table1[[#This Row],[Profit]]&gt;5000,"Good","Low"))</f>
        <v>Good</v>
      </c>
      <c r="N463" t="str">
        <f>TEXT(Table1[[#This Row],[Order_Date]],"YYYY")</f>
        <v>2024</v>
      </c>
    </row>
    <row r="464" spans="1:14" x14ac:dyDescent="0.25">
      <c r="A464" s="1">
        <v>45440</v>
      </c>
      <c r="B464" t="s">
        <v>26</v>
      </c>
      <c r="C464" t="s">
        <v>12</v>
      </c>
      <c r="D464">
        <v>19322</v>
      </c>
      <c r="E464">
        <v>8022</v>
      </c>
      <c r="F464">
        <v>11300</v>
      </c>
      <c r="G464" t="s">
        <v>13</v>
      </c>
      <c r="H464" t="s">
        <v>20</v>
      </c>
      <c r="I464" t="s">
        <v>24</v>
      </c>
      <c r="J464" s="2">
        <f>Table1[[#This Row],[Profit]]/Table1[[#This Row],[Sales]]*100</f>
        <v>58.482558741331125</v>
      </c>
      <c r="K464" t="str">
        <f>IF(Table1[[#This Row],[Sales]]&gt;=30000,"High", IF(Table1[[#This Row],[Sales]]&gt;=15000,"Medium","Low"))</f>
        <v>Medium</v>
      </c>
      <c r="L464" t="str">
        <f>TEXT(Table1[[#This Row],[Order_Date]],"MMM")</f>
        <v>May</v>
      </c>
      <c r="M464" t="str">
        <f>IF(Table1[[#This Row],[Profit]]&gt;=10000,"Excellent",IF(Table1[[#This Row],[Profit]]&gt;5000,"Good","Low"))</f>
        <v>Excellent</v>
      </c>
      <c r="N464" t="str">
        <f>TEXT(Table1[[#This Row],[Order_Date]],"YYYY")</f>
        <v>2024</v>
      </c>
    </row>
    <row r="465" spans="1:14" x14ac:dyDescent="0.25">
      <c r="A465" s="1">
        <v>45443</v>
      </c>
      <c r="B465" t="s">
        <v>17</v>
      </c>
      <c r="C465" t="s">
        <v>33</v>
      </c>
      <c r="D465">
        <v>33821</v>
      </c>
      <c r="E465">
        <v>31068</v>
      </c>
      <c r="F465">
        <v>2753</v>
      </c>
      <c r="G465" t="s">
        <v>19</v>
      </c>
      <c r="H465" t="s">
        <v>23</v>
      </c>
      <c r="I465" t="s">
        <v>53</v>
      </c>
      <c r="J465" s="2">
        <f>Table1[[#This Row],[Profit]]/Table1[[#This Row],[Sales]]*100</f>
        <v>8.1399130717601498</v>
      </c>
      <c r="K465" t="str">
        <f>IF(Table1[[#This Row],[Sales]]&gt;=30000,"High", IF(Table1[[#This Row],[Sales]]&gt;=15000,"Medium","Low"))</f>
        <v>High</v>
      </c>
      <c r="L465" t="str">
        <f>TEXT(Table1[[#This Row],[Order_Date]],"MMM")</f>
        <v>May</v>
      </c>
      <c r="M465" t="str">
        <f>IF(Table1[[#This Row],[Profit]]&gt;=10000,"Excellent",IF(Table1[[#This Row],[Profit]]&gt;5000,"Good","Low"))</f>
        <v>Low</v>
      </c>
      <c r="N465" t="str">
        <f>TEXT(Table1[[#This Row],[Order_Date]],"YYYY")</f>
        <v>2024</v>
      </c>
    </row>
    <row r="466" spans="1:14" x14ac:dyDescent="0.25">
      <c r="A466" s="1">
        <v>46108</v>
      </c>
      <c r="B466" t="s">
        <v>11</v>
      </c>
      <c r="C466" t="s">
        <v>33</v>
      </c>
      <c r="D466">
        <v>39632</v>
      </c>
      <c r="E466">
        <v>36683</v>
      </c>
      <c r="F466">
        <v>2949</v>
      </c>
      <c r="G466" t="s">
        <v>27</v>
      </c>
      <c r="H466" t="s">
        <v>14</v>
      </c>
      <c r="I466" t="s">
        <v>29</v>
      </c>
      <c r="J466" s="2">
        <f>Table1[[#This Row],[Profit]]/Table1[[#This Row],[Sales]]*100</f>
        <v>7.44095680258377</v>
      </c>
      <c r="K466" t="str">
        <f>IF(Table1[[#This Row],[Sales]]&gt;=30000,"High", IF(Table1[[#This Row],[Sales]]&gt;=15000,"Medium","Low"))</f>
        <v>High</v>
      </c>
      <c r="L466" t="str">
        <f>TEXT(Table1[[#This Row],[Order_Date]],"MMM")</f>
        <v>Mar</v>
      </c>
      <c r="M466" t="str">
        <f>IF(Table1[[#This Row],[Profit]]&gt;=10000,"Excellent",IF(Table1[[#This Row],[Profit]]&gt;5000,"Good","Low"))</f>
        <v>Low</v>
      </c>
      <c r="N466" t="str">
        <f>TEXT(Table1[[#This Row],[Order_Date]],"YYYY")</f>
        <v>2026</v>
      </c>
    </row>
    <row r="467" spans="1:14" x14ac:dyDescent="0.25">
      <c r="A467" s="1">
        <v>45830</v>
      </c>
      <c r="B467" t="s">
        <v>44</v>
      </c>
      <c r="C467" t="s">
        <v>41</v>
      </c>
      <c r="D467">
        <v>13235</v>
      </c>
      <c r="E467">
        <v>2137</v>
      </c>
      <c r="F467">
        <v>11098</v>
      </c>
      <c r="G467" t="s">
        <v>27</v>
      </c>
      <c r="H467" t="s">
        <v>63</v>
      </c>
      <c r="I467" t="s">
        <v>53</v>
      </c>
      <c r="J467" s="2">
        <f>Table1[[#This Row],[Profit]]/Table1[[#This Row],[Sales]]*100</f>
        <v>83.853418964865895</v>
      </c>
      <c r="K467" t="str">
        <f>IF(Table1[[#This Row],[Sales]]&gt;=30000,"High", IF(Table1[[#This Row],[Sales]]&gt;=15000,"Medium","Low"))</f>
        <v>Low</v>
      </c>
      <c r="L467" t="str">
        <f>TEXT(Table1[[#This Row],[Order_Date]],"MMM")</f>
        <v>Jun</v>
      </c>
      <c r="M467" t="str">
        <f>IF(Table1[[#This Row],[Profit]]&gt;=10000,"Excellent",IF(Table1[[#This Row],[Profit]]&gt;5000,"Good","Low"))</f>
        <v>Excellent</v>
      </c>
      <c r="N467" t="str">
        <f>TEXT(Table1[[#This Row],[Order_Date]],"YYYY")</f>
        <v>2025</v>
      </c>
    </row>
    <row r="468" spans="1:14" x14ac:dyDescent="0.25">
      <c r="A468" s="1">
        <v>46020</v>
      </c>
      <c r="B468" t="s">
        <v>22</v>
      </c>
      <c r="C468" t="s">
        <v>33</v>
      </c>
      <c r="D468">
        <v>49595</v>
      </c>
      <c r="E468">
        <v>31816</v>
      </c>
      <c r="F468">
        <v>17779</v>
      </c>
      <c r="G468" t="s">
        <v>27</v>
      </c>
      <c r="H468" t="s">
        <v>28</v>
      </c>
      <c r="I468" t="s">
        <v>15</v>
      </c>
      <c r="J468" s="2">
        <f>Table1[[#This Row],[Profit]]/Table1[[#This Row],[Sales]]*100</f>
        <v>35.848371811674561</v>
      </c>
      <c r="K468" t="str">
        <f>IF(Table1[[#This Row],[Sales]]&gt;=30000,"High", IF(Table1[[#This Row],[Sales]]&gt;=15000,"Medium","Low"))</f>
        <v>High</v>
      </c>
      <c r="L468" t="str">
        <f>TEXT(Table1[[#This Row],[Order_Date]],"MMM")</f>
        <v>Dec</v>
      </c>
      <c r="M468" t="str">
        <f>IF(Table1[[#This Row],[Profit]]&gt;=10000,"Excellent",IF(Table1[[#This Row],[Profit]]&gt;5000,"Good","Low"))</f>
        <v>Excellent</v>
      </c>
      <c r="N468" t="str">
        <f>TEXT(Table1[[#This Row],[Order_Date]],"YYYY")</f>
        <v>2025</v>
      </c>
    </row>
    <row r="469" spans="1:14" x14ac:dyDescent="0.25">
      <c r="A469" s="1">
        <v>45419</v>
      </c>
      <c r="B469" t="s">
        <v>26</v>
      </c>
      <c r="C469" t="s">
        <v>12</v>
      </c>
      <c r="D469">
        <v>21948</v>
      </c>
      <c r="E469">
        <v>15345</v>
      </c>
      <c r="F469">
        <v>6603</v>
      </c>
      <c r="G469" t="s">
        <v>27</v>
      </c>
      <c r="H469" t="s">
        <v>31</v>
      </c>
      <c r="I469" t="s">
        <v>29</v>
      </c>
      <c r="J469" s="2">
        <f>Table1[[#This Row],[Profit]]/Table1[[#This Row],[Sales]]*100</f>
        <v>30.084745762711862</v>
      </c>
      <c r="K469" t="str">
        <f>IF(Table1[[#This Row],[Sales]]&gt;=30000,"High", IF(Table1[[#This Row],[Sales]]&gt;=15000,"Medium","Low"))</f>
        <v>Medium</v>
      </c>
      <c r="L469" t="str">
        <f>TEXT(Table1[[#This Row],[Order_Date]],"MMM")</f>
        <v>May</v>
      </c>
      <c r="M469" t="str">
        <f>IF(Table1[[#This Row],[Profit]]&gt;=10000,"Excellent",IF(Table1[[#This Row],[Profit]]&gt;5000,"Good","Low"))</f>
        <v>Good</v>
      </c>
      <c r="N469" t="str">
        <f>TEXT(Table1[[#This Row],[Order_Date]],"YYYY")</f>
        <v>2024</v>
      </c>
    </row>
    <row r="470" spans="1:14" x14ac:dyDescent="0.25">
      <c r="A470" s="1">
        <v>45550</v>
      </c>
      <c r="B470" t="s">
        <v>22</v>
      </c>
      <c r="C470" t="s">
        <v>41</v>
      </c>
      <c r="D470">
        <v>15741</v>
      </c>
      <c r="E470">
        <v>8943</v>
      </c>
      <c r="F470">
        <v>6798</v>
      </c>
      <c r="G470" t="s">
        <v>19</v>
      </c>
      <c r="H470" t="s">
        <v>23</v>
      </c>
      <c r="I470" t="s">
        <v>29</v>
      </c>
      <c r="J470" s="2">
        <f>Table1[[#This Row],[Profit]]/Table1[[#This Row],[Sales]]*100</f>
        <v>43.186582809224319</v>
      </c>
      <c r="K470" t="str">
        <f>IF(Table1[[#This Row],[Sales]]&gt;=30000,"High", IF(Table1[[#This Row],[Sales]]&gt;=15000,"Medium","Low"))</f>
        <v>Medium</v>
      </c>
      <c r="L470" t="str">
        <f>TEXT(Table1[[#This Row],[Order_Date]],"MMM")</f>
        <v>Sep</v>
      </c>
      <c r="M470" t="str">
        <f>IF(Table1[[#This Row],[Profit]]&gt;=10000,"Excellent",IF(Table1[[#This Row],[Profit]]&gt;5000,"Good","Low"))</f>
        <v>Good</v>
      </c>
      <c r="N470" t="str">
        <f>TEXT(Table1[[#This Row],[Order_Date]],"YYYY")</f>
        <v>2024</v>
      </c>
    </row>
    <row r="471" spans="1:14" x14ac:dyDescent="0.25">
      <c r="A471" s="1">
        <v>45312</v>
      </c>
      <c r="B471" t="s">
        <v>26</v>
      </c>
      <c r="C471" t="s">
        <v>41</v>
      </c>
      <c r="D471">
        <v>44222</v>
      </c>
      <c r="E471">
        <v>25929</v>
      </c>
      <c r="F471">
        <v>18293</v>
      </c>
      <c r="G471" t="s">
        <v>19</v>
      </c>
      <c r="H471" t="s">
        <v>31</v>
      </c>
      <c r="I471" t="s">
        <v>29</v>
      </c>
      <c r="J471" s="2">
        <f>Table1[[#This Row],[Profit]]/Table1[[#This Row],[Sales]]*100</f>
        <v>41.366288272805392</v>
      </c>
      <c r="K471" t="str">
        <f>IF(Table1[[#This Row],[Sales]]&gt;=30000,"High", IF(Table1[[#This Row],[Sales]]&gt;=15000,"Medium","Low"))</f>
        <v>High</v>
      </c>
      <c r="L471" t="str">
        <f>TEXT(Table1[[#This Row],[Order_Date]],"MMM")</f>
        <v>Jan</v>
      </c>
      <c r="M471" t="str">
        <f>IF(Table1[[#This Row],[Profit]]&gt;=10000,"Excellent",IF(Table1[[#This Row],[Profit]]&gt;5000,"Good","Low"))</f>
        <v>Excellent</v>
      </c>
      <c r="N471" t="str">
        <f>TEXT(Table1[[#This Row],[Order_Date]],"YYYY")</f>
        <v>2024</v>
      </c>
    </row>
    <row r="472" spans="1:14" x14ac:dyDescent="0.25">
      <c r="A472" s="1">
        <v>45783</v>
      </c>
      <c r="B472" t="s">
        <v>11</v>
      </c>
      <c r="C472" t="s">
        <v>41</v>
      </c>
      <c r="D472">
        <v>15649</v>
      </c>
      <c r="E472">
        <v>13682</v>
      </c>
      <c r="F472">
        <v>1967</v>
      </c>
      <c r="G472" t="s">
        <v>27</v>
      </c>
      <c r="H472" t="s">
        <v>63</v>
      </c>
      <c r="I472" t="s">
        <v>29</v>
      </c>
      <c r="J472" s="2">
        <f>Table1[[#This Row],[Profit]]/Table1[[#This Row],[Sales]]*100</f>
        <v>12.569493258355166</v>
      </c>
      <c r="K472" t="str">
        <f>IF(Table1[[#This Row],[Sales]]&gt;=30000,"High", IF(Table1[[#This Row],[Sales]]&gt;=15000,"Medium","Low"))</f>
        <v>Medium</v>
      </c>
      <c r="L472" t="str">
        <f>TEXT(Table1[[#This Row],[Order_Date]],"MMM")</f>
        <v>May</v>
      </c>
      <c r="M472" t="str">
        <f>IF(Table1[[#This Row],[Profit]]&gt;=10000,"Excellent",IF(Table1[[#This Row],[Profit]]&gt;5000,"Good","Low"))</f>
        <v>Low</v>
      </c>
      <c r="N472" t="str">
        <f>TEXT(Table1[[#This Row],[Order_Date]],"YYYY")</f>
        <v>2025</v>
      </c>
    </row>
    <row r="473" spans="1:14" x14ac:dyDescent="0.25">
      <c r="A473" s="1">
        <v>45923</v>
      </c>
      <c r="B473" t="s">
        <v>26</v>
      </c>
      <c r="C473" t="s">
        <v>12</v>
      </c>
      <c r="D473">
        <v>13131</v>
      </c>
      <c r="E473">
        <v>521</v>
      </c>
      <c r="F473">
        <v>12610</v>
      </c>
      <c r="G473" t="s">
        <v>13</v>
      </c>
      <c r="H473" t="s">
        <v>45</v>
      </c>
      <c r="I473" t="s">
        <v>29</v>
      </c>
      <c r="J473" s="2">
        <f>Table1[[#This Row],[Profit]]/Table1[[#This Row],[Sales]]*100</f>
        <v>96.032290000761549</v>
      </c>
      <c r="K473" t="str">
        <f>IF(Table1[[#This Row],[Sales]]&gt;=30000,"High", IF(Table1[[#This Row],[Sales]]&gt;=15000,"Medium","Low"))</f>
        <v>Low</v>
      </c>
      <c r="L473" t="str">
        <f>TEXT(Table1[[#This Row],[Order_Date]],"MMM")</f>
        <v>Sep</v>
      </c>
      <c r="M473" t="str">
        <f>IF(Table1[[#This Row],[Profit]]&gt;=10000,"Excellent",IF(Table1[[#This Row],[Profit]]&gt;5000,"Good","Low"))</f>
        <v>Excellent</v>
      </c>
      <c r="N473" t="str">
        <f>TEXT(Table1[[#This Row],[Order_Date]],"YYYY")</f>
        <v>2025</v>
      </c>
    </row>
    <row r="474" spans="1:14" x14ac:dyDescent="0.25">
      <c r="A474" s="1">
        <v>45921</v>
      </c>
      <c r="B474" t="s">
        <v>26</v>
      </c>
      <c r="C474" t="s">
        <v>41</v>
      </c>
      <c r="D474">
        <v>16076</v>
      </c>
      <c r="E474">
        <v>787</v>
      </c>
      <c r="F474">
        <v>15289</v>
      </c>
      <c r="G474" t="s">
        <v>19</v>
      </c>
      <c r="H474" t="s">
        <v>45</v>
      </c>
      <c r="I474" t="s">
        <v>29</v>
      </c>
      <c r="J474" s="2">
        <f>Table1[[#This Row],[Profit]]/Table1[[#This Row],[Sales]]*100</f>
        <v>95.104503607862654</v>
      </c>
      <c r="K474" t="str">
        <f>IF(Table1[[#This Row],[Sales]]&gt;=30000,"High", IF(Table1[[#This Row],[Sales]]&gt;=15000,"Medium","Low"))</f>
        <v>Medium</v>
      </c>
      <c r="L474" t="str">
        <f>TEXT(Table1[[#This Row],[Order_Date]],"MMM")</f>
        <v>Sep</v>
      </c>
      <c r="M474" t="str">
        <f>IF(Table1[[#This Row],[Profit]]&gt;=10000,"Excellent",IF(Table1[[#This Row],[Profit]]&gt;5000,"Good","Low"))</f>
        <v>Excellent</v>
      </c>
      <c r="N474" t="str">
        <f>TEXT(Table1[[#This Row],[Order_Date]],"YYYY")</f>
        <v>2025</v>
      </c>
    </row>
    <row r="475" spans="1:14" x14ac:dyDescent="0.25">
      <c r="A475" s="1">
        <v>45761</v>
      </c>
      <c r="B475" t="s">
        <v>22</v>
      </c>
      <c r="C475" t="s">
        <v>33</v>
      </c>
      <c r="D475">
        <v>16253</v>
      </c>
      <c r="E475">
        <v>3024</v>
      </c>
      <c r="F475">
        <v>13229</v>
      </c>
      <c r="G475" t="s">
        <v>38</v>
      </c>
      <c r="H475" t="s">
        <v>14</v>
      </c>
      <c r="I475" t="s">
        <v>24</v>
      </c>
      <c r="J475" s="2">
        <f>Table1[[#This Row],[Profit]]/Table1[[#This Row],[Sales]]*100</f>
        <v>81.394204146926725</v>
      </c>
      <c r="K475" t="str">
        <f>IF(Table1[[#This Row],[Sales]]&gt;=30000,"High", IF(Table1[[#This Row],[Sales]]&gt;=15000,"Medium","Low"))</f>
        <v>Medium</v>
      </c>
      <c r="L475" t="str">
        <f>TEXT(Table1[[#This Row],[Order_Date]],"MMM")</f>
        <v>Apr</v>
      </c>
      <c r="M475" t="str">
        <f>IF(Table1[[#This Row],[Profit]]&gt;=10000,"Excellent",IF(Table1[[#This Row],[Profit]]&gt;5000,"Good","Low"))</f>
        <v>Excellent</v>
      </c>
      <c r="N475" t="str">
        <f>TEXT(Table1[[#This Row],[Order_Date]],"YYYY")</f>
        <v>2025</v>
      </c>
    </row>
    <row r="476" spans="1:14" x14ac:dyDescent="0.25">
      <c r="A476" s="1">
        <v>45218</v>
      </c>
      <c r="B476" t="s">
        <v>22</v>
      </c>
      <c r="C476" t="s">
        <v>36</v>
      </c>
      <c r="D476">
        <v>20724</v>
      </c>
      <c r="E476">
        <v>6005</v>
      </c>
      <c r="F476">
        <v>14719</v>
      </c>
      <c r="G476" t="s">
        <v>13</v>
      </c>
      <c r="H476" t="s">
        <v>31</v>
      </c>
      <c r="I476" t="s">
        <v>15</v>
      </c>
      <c r="J476" s="2">
        <f>Table1[[#This Row],[Profit]]/Table1[[#This Row],[Sales]]*100</f>
        <v>71.023933603551441</v>
      </c>
      <c r="K476" t="str">
        <f>IF(Table1[[#This Row],[Sales]]&gt;=30000,"High", IF(Table1[[#This Row],[Sales]]&gt;=15000,"Medium","Low"))</f>
        <v>Medium</v>
      </c>
      <c r="L476" t="str">
        <f>TEXT(Table1[[#This Row],[Order_Date]],"MMM")</f>
        <v>Oct</v>
      </c>
      <c r="M476" t="str">
        <f>IF(Table1[[#This Row],[Profit]]&gt;=10000,"Excellent",IF(Table1[[#This Row],[Profit]]&gt;5000,"Good","Low"))</f>
        <v>Excellent</v>
      </c>
      <c r="N476" t="str">
        <f>TEXT(Table1[[#This Row],[Order_Date]],"YYYY")</f>
        <v>2023</v>
      </c>
    </row>
    <row r="477" spans="1:14" x14ac:dyDescent="0.25">
      <c r="A477" s="1">
        <v>45124</v>
      </c>
      <c r="B477" t="s">
        <v>17</v>
      </c>
      <c r="C477" t="s">
        <v>12</v>
      </c>
      <c r="D477">
        <v>20584</v>
      </c>
      <c r="E477">
        <v>13202</v>
      </c>
      <c r="F477">
        <v>7382</v>
      </c>
      <c r="G477" t="s">
        <v>38</v>
      </c>
      <c r="H477" t="s">
        <v>63</v>
      </c>
      <c r="I477" t="s">
        <v>24</v>
      </c>
      <c r="J477" s="2">
        <f>Table1[[#This Row],[Profit]]/Table1[[#This Row],[Sales]]*100</f>
        <v>35.862806062961525</v>
      </c>
      <c r="K477" t="str">
        <f>IF(Table1[[#This Row],[Sales]]&gt;=30000,"High", IF(Table1[[#This Row],[Sales]]&gt;=15000,"Medium","Low"))</f>
        <v>Medium</v>
      </c>
      <c r="L477" t="str">
        <f>TEXT(Table1[[#This Row],[Order_Date]],"MMM")</f>
        <v>Jul</v>
      </c>
      <c r="M477" t="str">
        <f>IF(Table1[[#This Row],[Profit]]&gt;=10000,"Excellent",IF(Table1[[#This Row],[Profit]]&gt;5000,"Good","Low"))</f>
        <v>Good</v>
      </c>
      <c r="N477" t="str">
        <f>TEXT(Table1[[#This Row],[Order_Date]],"YYYY")</f>
        <v>2023</v>
      </c>
    </row>
    <row r="478" spans="1:14" x14ac:dyDescent="0.25">
      <c r="A478" s="1">
        <v>45156</v>
      </c>
      <c r="B478" t="s">
        <v>44</v>
      </c>
      <c r="C478" t="s">
        <v>12</v>
      </c>
      <c r="D478">
        <v>19563</v>
      </c>
      <c r="E478">
        <v>18751</v>
      </c>
      <c r="F478">
        <v>812</v>
      </c>
      <c r="G478" t="s">
        <v>27</v>
      </c>
      <c r="H478" t="s">
        <v>34</v>
      </c>
      <c r="I478" t="s">
        <v>15</v>
      </c>
      <c r="J478" s="2">
        <f>Table1[[#This Row],[Profit]]/Table1[[#This Row],[Sales]]*100</f>
        <v>4.1506926340540815</v>
      </c>
      <c r="K478" t="str">
        <f>IF(Table1[[#This Row],[Sales]]&gt;=30000,"High", IF(Table1[[#This Row],[Sales]]&gt;=15000,"Medium","Low"))</f>
        <v>Medium</v>
      </c>
      <c r="L478" t="str">
        <f>TEXT(Table1[[#This Row],[Order_Date]],"MMM")</f>
        <v>Aug</v>
      </c>
      <c r="M478" t="str">
        <f>IF(Table1[[#This Row],[Profit]]&gt;=10000,"Excellent",IF(Table1[[#This Row],[Profit]]&gt;5000,"Good","Low"))</f>
        <v>Low</v>
      </c>
      <c r="N478" t="str">
        <f>TEXT(Table1[[#This Row],[Order_Date]],"YYYY")</f>
        <v>2023</v>
      </c>
    </row>
    <row r="479" spans="1:14" x14ac:dyDescent="0.25">
      <c r="A479" s="1">
        <v>45473</v>
      </c>
      <c r="B479" t="s">
        <v>26</v>
      </c>
      <c r="C479" t="s">
        <v>41</v>
      </c>
      <c r="D479">
        <v>8690</v>
      </c>
      <c r="E479">
        <v>1102</v>
      </c>
      <c r="F479">
        <v>7588</v>
      </c>
      <c r="G479" t="s">
        <v>13</v>
      </c>
      <c r="H479" t="s">
        <v>34</v>
      </c>
      <c r="I479" t="s">
        <v>29</v>
      </c>
      <c r="J479" s="2">
        <f>Table1[[#This Row],[Profit]]/Table1[[#This Row],[Sales]]*100</f>
        <v>87.318757192174914</v>
      </c>
      <c r="K479" t="str">
        <f>IF(Table1[[#This Row],[Sales]]&gt;=30000,"High", IF(Table1[[#This Row],[Sales]]&gt;=15000,"Medium","Low"))</f>
        <v>Low</v>
      </c>
      <c r="L479" t="str">
        <f>TEXT(Table1[[#This Row],[Order_Date]],"MMM")</f>
        <v>Jun</v>
      </c>
      <c r="M479" t="str">
        <f>IF(Table1[[#This Row],[Profit]]&gt;=10000,"Excellent",IF(Table1[[#This Row],[Profit]]&gt;5000,"Good","Low"))</f>
        <v>Good</v>
      </c>
      <c r="N479" t="str">
        <f>TEXT(Table1[[#This Row],[Order_Date]],"YYYY")</f>
        <v>2024</v>
      </c>
    </row>
    <row r="480" spans="1:14" x14ac:dyDescent="0.25">
      <c r="A480" s="1">
        <v>46040</v>
      </c>
      <c r="B480" t="s">
        <v>22</v>
      </c>
      <c r="C480" t="s">
        <v>33</v>
      </c>
      <c r="D480">
        <v>29878</v>
      </c>
      <c r="E480">
        <v>23368</v>
      </c>
      <c r="F480">
        <v>6510</v>
      </c>
      <c r="G480" t="s">
        <v>27</v>
      </c>
      <c r="H480" t="s">
        <v>31</v>
      </c>
      <c r="I480" t="s">
        <v>53</v>
      </c>
      <c r="J480" s="2">
        <f>Table1[[#This Row],[Profit]]/Table1[[#This Row],[Sales]]*100</f>
        <v>21.78860700180735</v>
      </c>
      <c r="K480" t="str">
        <f>IF(Table1[[#This Row],[Sales]]&gt;=30000,"High", IF(Table1[[#This Row],[Sales]]&gt;=15000,"Medium","Low"))</f>
        <v>Medium</v>
      </c>
      <c r="L480" t="str">
        <f>TEXT(Table1[[#This Row],[Order_Date]],"MMM")</f>
        <v>Jan</v>
      </c>
      <c r="M480" t="str">
        <f>IF(Table1[[#This Row],[Profit]]&gt;=10000,"Excellent",IF(Table1[[#This Row],[Profit]]&gt;5000,"Good","Low"))</f>
        <v>Good</v>
      </c>
      <c r="N480" t="str">
        <f>TEXT(Table1[[#This Row],[Order_Date]],"YYYY")</f>
        <v>2026</v>
      </c>
    </row>
    <row r="481" spans="1:14" x14ac:dyDescent="0.25">
      <c r="A481" s="1">
        <v>45991</v>
      </c>
      <c r="B481" t="s">
        <v>44</v>
      </c>
      <c r="C481" t="s">
        <v>33</v>
      </c>
      <c r="D481">
        <v>23967</v>
      </c>
      <c r="E481">
        <v>8141</v>
      </c>
      <c r="F481">
        <v>15826</v>
      </c>
      <c r="G481" t="s">
        <v>27</v>
      </c>
      <c r="H481" t="s">
        <v>14</v>
      </c>
      <c r="I481" t="s">
        <v>42</v>
      </c>
      <c r="J481" s="2">
        <f>Table1[[#This Row],[Profit]]/Table1[[#This Row],[Sales]]*100</f>
        <v>66.032461300955475</v>
      </c>
      <c r="K481" t="str">
        <f>IF(Table1[[#This Row],[Sales]]&gt;=30000,"High", IF(Table1[[#This Row],[Sales]]&gt;=15000,"Medium","Low"))</f>
        <v>Medium</v>
      </c>
      <c r="L481" t="str">
        <f>TEXT(Table1[[#This Row],[Order_Date]],"MMM")</f>
        <v>Nov</v>
      </c>
      <c r="M481" t="str">
        <f>IF(Table1[[#This Row],[Profit]]&gt;=10000,"Excellent",IF(Table1[[#This Row],[Profit]]&gt;5000,"Good","Low"))</f>
        <v>Excellent</v>
      </c>
      <c r="N481" t="str">
        <f>TEXT(Table1[[#This Row],[Order_Date]],"YYYY")</f>
        <v>2025</v>
      </c>
    </row>
    <row r="482" spans="1:14" x14ac:dyDescent="0.25">
      <c r="A482" s="1">
        <v>45131</v>
      </c>
      <c r="B482" t="s">
        <v>11</v>
      </c>
      <c r="C482" t="s">
        <v>12</v>
      </c>
      <c r="D482">
        <v>41011</v>
      </c>
      <c r="E482">
        <v>35816</v>
      </c>
      <c r="F482">
        <v>5195</v>
      </c>
      <c r="G482" t="s">
        <v>38</v>
      </c>
      <c r="H482" t="s">
        <v>63</v>
      </c>
      <c r="I482" t="s">
        <v>29</v>
      </c>
      <c r="J482" s="2">
        <f>Table1[[#This Row],[Profit]]/Table1[[#This Row],[Sales]]*100</f>
        <v>12.66733315451952</v>
      </c>
      <c r="K482" t="str">
        <f>IF(Table1[[#This Row],[Sales]]&gt;=30000,"High", IF(Table1[[#This Row],[Sales]]&gt;=15000,"Medium","Low"))</f>
        <v>High</v>
      </c>
      <c r="L482" t="str">
        <f>TEXT(Table1[[#This Row],[Order_Date]],"MMM")</f>
        <v>Jul</v>
      </c>
      <c r="M482" t="str">
        <f>IF(Table1[[#This Row],[Profit]]&gt;=10000,"Excellent",IF(Table1[[#This Row],[Profit]]&gt;5000,"Good","Low"))</f>
        <v>Good</v>
      </c>
      <c r="N482" t="str">
        <f>TEXT(Table1[[#This Row],[Order_Date]],"YYYY")</f>
        <v>2023</v>
      </c>
    </row>
    <row r="483" spans="1:14" x14ac:dyDescent="0.25">
      <c r="A483" s="1">
        <v>45751</v>
      </c>
      <c r="B483" t="s">
        <v>44</v>
      </c>
      <c r="C483" t="s">
        <v>33</v>
      </c>
      <c r="D483">
        <v>34662</v>
      </c>
      <c r="E483">
        <v>21347</v>
      </c>
      <c r="F483">
        <v>13315</v>
      </c>
      <c r="G483" t="s">
        <v>13</v>
      </c>
      <c r="H483" t="s">
        <v>28</v>
      </c>
      <c r="I483" t="s">
        <v>24</v>
      </c>
      <c r="J483" s="2">
        <f>Table1[[#This Row],[Profit]]/Table1[[#This Row],[Sales]]*100</f>
        <v>38.413824937972421</v>
      </c>
      <c r="K483" t="str">
        <f>IF(Table1[[#This Row],[Sales]]&gt;=30000,"High", IF(Table1[[#This Row],[Sales]]&gt;=15000,"Medium","Low"))</f>
        <v>High</v>
      </c>
      <c r="L483" t="str">
        <f>TEXT(Table1[[#This Row],[Order_Date]],"MMM")</f>
        <v>Apr</v>
      </c>
      <c r="M483" t="str">
        <f>IF(Table1[[#This Row],[Profit]]&gt;=10000,"Excellent",IF(Table1[[#This Row],[Profit]]&gt;5000,"Good","Low"))</f>
        <v>Excellent</v>
      </c>
      <c r="N483" t="str">
        <f>TEXT(Table1[[#This Row],[Order_Date]],"YYYY")</f>
        <v>2025</v>
      </c>
    </row>
    <row r="484" spans="1:14" x14ac:dyDescent="0.25">
      <c r="A484" s="1">
        <v>46002</v>
      </c>
      <c r="B484" t="s">
        <v>17</v>
      </c>
      <c r="C484" t="s">
        <v>41</v>
      </c>
      <c r="D484">
        <v>13531</v>
      </c>
      <c r="E484">
        <v>6792</v>
      </c>
      <c r="F484">
        <v>6739</v>
      </c>
      <c r="G484" t="s">
        <v>13</v>
      </c>
      <c r="H484" t="s">
        <v>34</v>
      </c>
      <c r="I484" t="s">
        <v>53</v>
      </c>
      <c r="J484" s="2">
        <f>Table1[[#This Row],[Profit]]/Table1[[#This Row],[Sales]]*100</f>
        <v>49.804153425467447</v>
      </c>
      <c r="K484" t="str">
        <f>IF(Table1[[#This Row],[Sales]]&gt;=30000,"High", IF(Table1[[#This Row],[Sales]]&gt;=15000,"Medium","Low"))</f>
        <v>Low</v>
      </c>
      <c r="L484" t="str">
        <f>TEXT(Table1[[#This Row],[Order_Date]],"MMM")</f>
        <v>Dec</v>
      </c>
      <c r="M484" t="str">
        <f>IF(Table1[[#This Row],[Profit]]&gt;=10000,"Excellent",IF(Table1[[#This Row],[Profit]]&gt;5000,"Good","Low"))</f>
        <v>Good</v>
      </c>
      <c r="N484" t="str">
        <f>TEXT(Table1[[#This Row],[Order_Date]],"YYYY")</f>
        <v>2025</v>
      </c>
    </row>
    <row r="485" spans="1:14" x14ac:dyDescent="0.25">
      <c r="A485" s="1">
        <v>45482</v>
      </c>
      <c r="B485" t="s">
        <v>44</v>
      </c>
      <c r="C485" t="s">
        <v>18</v>
      </c>
      <c r="D485">
        <v>19197</v>
      </c>
      <c r="E485">
        <v>18588</v>
      </c>
      <c r="F485">
        <v>609</v>
      </c>
      <c r="G485" t="s">
        <v>27</v>
      </c>
      <c r="H485" t="s">
        <v>45</v>
      </c>
      <c r="I485" t="s">
        <v>24</v>
      </c>
      <c r="J485" s="2">
        <f>Table1[[#This Row],[Profit]]/Table1[[#This Row],[Sales]]*100</f>
        <v>3.172370682919206</v>
      </c>
      <c r="K485" t="str">
        <f>IF(Table1[[#This Row],[Sales]]&gt;=30000,"High", IF(Table1[[#This Row],[Sales]]&gt;=15000,"Medium","Low"))</f>
        <v>Medium</v>
      </c>
      <c r="L485" t="str">
        <f>TEXT(Table1[[#This Row],[Order_Date]],"MMM")</f>
        <v>Jul</v>
      </c>
      <c r="M485" t="str">
        <f>IF(Table1[[#This Row],[Profit]]&gt;=10000,"Excellent",IF(Table1[[#This Row],[Profit]]&gt;5000,"Good","Low"))</f>
        <v>Low</v>
      </c>
      <c r="N485" t="str">
        <f>TEXT(Table1[[#This Row],[Order_Date]],"YYYY")</f>
        <v>2024</v>
      </c>
    </row>
    <row r="486" spans="1:14" x14ac:dyDescent="0.25">
      <c r="A486" s="1">
        <v>45403</v>
      </c>
      <c r="B486" t="s">
        <v>44</v>
      </c>
      <c r="C486" t="s">
        <v>33</v>
      </c>
      <c r="D486">
        <v>10813</v>
      </c>
      <c r="E486">
        <v>10305</v>
      </c>
      <c r="F486">
        <v>508</v>
      </c>
      <c r="G486" t="s">
        <v>19</v>
      </c>
      <c r="H486" t="s">
        <v>31</v>
      </c>
      <c r="I486" t="s">
        <v>29</v>
      </c>
      <c r="J486" s="2">
        <f>Table1[[#This Row],[Profit]]/Table1[[#This Row],[Sales]]*100</f>
        <v>4.698048645149357</v>
      </c>
      <c r="K486" t="str">
        <f>IF(Table1[[#This Row],[Sales]]&gt;=30000,"High", IF(Table1[[#This Row],[Sales]]&gt;=15000,"Medium","Low"))</f>
        <v>Low</v>
      </c>
      <c r="L486" t="str">
        <f>TEXT(Table1[[#This Row],[Order_Date]],"MMM")</f>
        <v>Apr</v>
      </c>
      <c r="M486" t="str">
        <f>IF(Table1[[#This Row],[Profit]]&gt;=10000,"Excellent",IF(Table1[[#This Row],[Profit]]&gt;5000,"Good","Low"))</f>
        <v>Low</v>
      </c>
      <c r="N486" t="str">
        <f>TEXT(Table1[[#This Row],[Order_Date]],"YYYY")</f>
        <v>2024</v>
      </c>
    </row>
    <row r="487" spans="1:14" x14ac:dyDescent="0.25">
      <c r="A487" s="1">
        <v>45708</v>
      </c>
      <c r="B487" t="s">
        <v>44</v>
      </c>
      <c r="C487" t="s">
        <v>41</v>
      </c>
      <c r="D487">
        <v>48435</v>
      </c>
      <c r="E487">
        <v>45282</v>
      </c>
      <c r="F487">
        <v>3153</v>
      </c>
      <c r="G487" t="s">
        <v>27</v>
      </c>
      <c r="H487" t="s">
        <v>14</v>
      </c>
      <c r="I487" t="s">
        <v>29</v>
      </c>
      <c r="J487" s="2">
        <f>Table1[[#This Row],[Profit]]/Table1[[#This Row],[Sales]]*100</f>
        <v>6.5097553422112115</v>
      </c>
      <c r="K487" t="str">
        <f>IF(Table1[[#This Row],[Sales]]&gt;=30000,"High", IF(Table1[[#This Row],[Sales]]&gt;=15000,"Medium","Low"))</f>
        <v>High</v>
      </c>
      <c r="L487" t="str">
        <f>TEXT(Table1[[#This Row],[Order_Date]],"MMM")</f>
        <v>Feb</v>
      </c>
      <c r="M487" t="str">
        <f>IF(Table1[[#This Row],[Profit]]&gt;=10000,"Excellent",IF(Table1[[#This Row],[Profit]]&gt;5000,"Good","Low"))</f>
        <v>Low</v>
      </c>
      <c r="N487" t="str">
        <f>TEXT(Table1[[#This Row],[Order_Date]],"YYYY")</f>
        <v>2025</v>
      </c>
    </row>
    <row r="488" spans="1:14" x14ac:dyDescent="0.25">
      <c r="A488" s="1">
        <v>45966</v>
      </c>
      <c r="B488" t="s">
        <v>11</v>
      </c>
      <c r="C488" t="s">
        <v>33</v>
      </c>
      <c r="D488">
        <v>49998</v>
      </c>
      <c r="E488">
        <v>43886</v>
      </c>
      <c r="F488">
        <v>6112</v>
      </c>
      <c r="G488" t="s">
        <v>27</v>
      </c>
      <c r="H488" t="s">
        <v>45</v>
      </c>
      <c r="I488" t="s">
        <v>15</v>
      </c>
      <c r="J488" s="2">
        <f>Table1[[#This Row],[Profit]]/Table1[[#This Row],[Sales]]*100</f>
        <v>12.224488979559183</v>
      </c>
      <c r="K488" t="str">
        <f>IF(Table1[[#This Row],[Sales]]&gt;=30000,"High", IF(Table1[[#This Row],[Sales]]&gt;=15000,"Medium","Low"))</f>
        <v>High</v>
      </c>
      <c r="L488" t="str">
        <f>TEXT(Table1[[#This Row],[Order_Date]],"MMM")</f>
        <v>Nov</v>
      </c>
      <c r="M488" t="str">
        <f>IF(Table1[[#This Row],[Profit]]&gt;=10000,"Excellent",IF(Table1[[#This Row],[Profit]]&gt;5000,"Good","Low"))</f>
        <v>Good</v>
      </c>
      <c r="N488" t="str">
        <f>TEXT(Table1[[#This Row],[Order_Date]],"YYYY")</f>
        <v>2025</v>
      </c>
    </row>
    <row r="489" spans="1:14" x14ac:dyDescent="0.25">
      <c r="A489" s="1">
        <v>46055</v>
      </c>
      <c r="B489" t="s">
        <v>17</v>
      </c>
      <c r="C489" t="s">
        <v>33</v>
      </c>
      <c r="D489">
        <v>38300</v>
      </c>
      <c r="E489">
        <v>20981</v>
      </c>
      <c r="F489">
        <v>17319</v>
      </c>
      <c r="G489" t="s">
        <v>13</v>
      </c>
      <c r="H489" t="s">
        <v>45</v>
      </c>
      <c r="I489" t="s">
        <v>29</v>
      </c>
      <c r="J489" s="2">
        <f>Table1[[#This Row],[Profit]]/Table1[[#This Row],[Sales]]*100</f>
        <v>45.219321148825067</v>
      </c>
      <c r="K489" t="str">
        <f>IF(Table1[[#This Row],[Sales]]&gt;=30000,"High", IF(Table1[[#This Row],[Sales]]&gt;=15000,"Medium","Low"))</f>
        <v>High</v>
      </c>
      <c r="L489" t="str">
        <f>TEXT(Table1[[#This Row],[Order_Date]],"MMM")</f>
        <v>Feb</v>
      </c>
      <c r="M489" t="str">
        <f>IF(Table1[[#This Row],[Profit]]&gt;=10000,"Excellent",IF(Table1[[#This Row],[Profit]]&gt;5000,"Good","Low"))</f>
        <v>Excellent</v>
      </c>
      <c r="N489" t="str">
        <f>TEXT(Table1[[#This Row],[Order_Date]],"YYYY")</f>
        <v>2026</v>
      </c>
    </row>
    <row r="490" spans="1:14" x14ac:dyDescent="0.25">
      <c r="A490" s="1">
        <v>45580</v>
      </c>
      <c r="B490" t="s">
        <v>44</v>
      </c>
      <c r="C490" t="s">
        <v>33</v>
      </c>
      <c r="D490">
        <v>23430</v>
      </c>
      <c r="E490">
        <v>5696</v>
      </c>
      <c r="F490">
        <v>17734</v>
      </c>
      <c r="G490" t="s">
        <v>38</v>
      </c>
      <c r="H490" t="s">
        <v>23</v>
      </c>
      <c r="I490" t="s">
        <v>53</v>
      </c>
      <c r="J490" s="2">
        <f>Table1[[#This Row],[Profit]]/Table1[[#This Row],[Sales]]*100</f>
        <v>75.68928723858302</v>
      </c>
      <c r="K490" t="str">
        <f>IF(Table1[[#This Row],[Sales]]&gt;=30000,"High", IF(Table1[[#This Row],[Sales]]&gt;=15000,"Medium","Low"))</f>
        <v>Medium</v>
      </c>
      <c r="L490" t="str">
        <f>TEXT(Table1[[#This Row],[Order_Date]],"MMM")</f>
        <v>Oct</v>
      </c>
      <c r="M490" t="str">
        <f>IF(Table1[[#This Row],[Profit]]&gt;=10000,"Excellent",IF(Table1[[#This Row],[Profit]]&gt;5000,"Good","Low"))</f>
        <v>Excellent</v>
      </c>
      <c r="N490" t="str">
        <f>TEXT(Table1[[#This Row],[Order_Date]],"YYYY")</f>
        <v>2024</v>
      </c>
    </row>
    <row r="491" spans="1:14" x14ac:dyDescent="0.25">
      <c r="A491" s="1">
        <v>45417</v>
      </c>
      <c r="B491" t="s">
        <v>11</v>
      </c>
      <c r="C491" t="s">
        <v>36</v>
      </c>
      <c r="D491">
        <v>29712</v>
      </c>
      <c r="E491">
        <v>12316</v>
      </c>
      <c r="F491">
        <v>17396</v>
      </c>
      <c r="G491" t="s">
        <v>19</v>
      </c>
      <c r="H491" t="s">
        <v>63</v>
      </c>
      <c r="I491" t="s">
        <v>29</v>
      </c>
      <c r="J491" s="2">
        <f>Table1[[#This Row],[Profit]]/Table1[[#This Row],[Sales]]*100</f>
        <v>58.548734518039844</v>
      </c>
      <c r="K491" t="str">
        <f>IF(Table1[[#This Row],[Sales]]&gt;=30000,"High", IF(Table1[[#This Row],[Sales]]&gt;=15000,"Medium","Low"))</f>
        <v>Medium</v>
      </c>
      <c r="L491" t="str">
        <f>TEXT(Table1[[#This Row],[Order_Date]],"MMM")</f>
        <v>May</v>
      </c>
      <c r="M491" t="str">
        <f>IF(Table1[[#This Row],[Profit]]&gt;=10000,"Excellent",IF(Table1[[#This Row],[Profit]]&gt;5000,"Good","Low"))</f>
        <v>Excellent</v>
      </c>
      <c r="N491" t="str">
        <f>TEXT(Table1[[#This Row],[Order_Date]],"YYYY")</f>
        <v>2024</v>
      </c>
    </row>
    <row r="492" spans="1:14" x14ac:dyDescent="0.25">
      <c r="A492" s="1">
        <v>45515</v>
      </c>
      <c r="B492" t="s">
        <v>26</v>
      </c>
      <c r="C492" t="s">
        <v>36</v>
      </c>
      <c r="D492">
        <v>14841</v>
      </c>
      <c r="E492">
        <v>8452</v>
      </c>
      <c r="F492">
        <v>6389</v>
      </c>
      <c r="G492" t="s">
        <v>38</v>
      </c>
      <c r="H492" t="s">
        <v>45</v>
      </c>
      <c r="I492" t="s">
        <v>15</v>
      </c>
      <c r="J492" s="2">
        <f>Table1[[#This Row],[Profit]]/Table1[[#This Row],[Sales]]*100</f>
        <v>43.049659726433532</v>
      </c>
      <c r="K492" t="str">
        <f>IF(Table1[[#This Row],[Sales]]&gt;=30000,"High", IF(Table1[[#This Row],[Sales]]&gt;=15000,"Medium","Low"))</f>
        <v>Low</v>
      </c>
      <c r="L492" t="str">
        <f>TEXT(Table1[[#This Row],[Order_Date]],"MMM")</f>
        <v>Aug</v>
      </c>
      <c r="M492" t="str">
        <f>IF(Table1[[#This Row],[Profit]]&gt;=10000,"Excellent",IF(Table1[[#This Row],[Profit]]&gt;5000,"Good","Low"))</f>
        <v>Good</v>
      </c>
      <c r="N492" t="str">
        <f>TEXT(Table1[[#This Row],[Order_Date]],"YYYY")</f>
        <v>2024</v>
      </c>
    </row>
    <row r="493" spans="1:14" x14ac:dyDescent="0.25">
      <c r="A493" s="1">
        <v>45668</v>
      </c>
      <c r="B493" t="s">
        <v>26</v>
      </c>
      <c r="C493" t="s">
        <v>18</v>
      </c>
      <c r="D493">
        <v>43809</v>
      </c>
      <c r="E493">
        <v>35548</v>
      </c>
      <c r="F493">
        <v>8261</v>
      </c>
      <c r="G493" t="s">
        <v>27</v>
      </c>
      <c r="H493" t="s">
        <v>31</v>
      </c>
      <c r="I493" t="s">
        <v>29</v>
      </c>
      <c r="J493" s="2">
        <f>Table1[[#This Row],[Profit]]/Table1[[#This Row],[Sales]]*100</f>
        <v>18.856855897190076</v>
      </c>
      <c r="K493" t="str">
        <f>IF(Table1[[#This Row],[Sales]]&gt;=30000,"High", IF(Table1[[#This Row],[Sales]]&gt;=15000,"Medium","Low"))</f>
        <v>High</v>
      </c>
      <c r="L493" t="str">
        <f>TEXT(Table1[[#This Row],[Order_Date]],"MMM")</f>
        <v>Jan</v>
      </c>
      <c r="M493" t="str">
        <f>IF(Table1[[#This Row],[Profit]]&gt;=10000,"Excellent",IF(Table1[[#This Row],[Profit]]&gt;5000,"Good","Low"))</f>
        <v>Good</v>
      </c>
      <c r="N493" t="str">
        <f>TEXT(Table1[[#This Row],[Order_Date]],"YYYY")</f>
        <v>2025</v>
      </c>
    </row>
    <row r="494" spans="1:14" x14ac:dyDescent="0.25">
      <c r="A494" s="1">
        <v>45402</v>
      </c>
      <c r="B494" t="s">
        <v>11</v>
      </c>
      <c r="C494" t="s">
        <v>41</v>
      </c>
      <c r="D494">
        <v>34291</v>
      </c>
      <c r="E494">
        <v>18224</v>
      </c>
      <c r="F494">
        <v>16067</v>
      </c>
      <c r="G494" t="s">
        <v>27</v>
      </c>
      <c r="H494" t="s">
        <v>63</v>
      </c>
      <c r="I494" t="s">
        <v>29</v>
      </c>
      <c r="J494" s="2">
        <f>Table1[[#This Row],[Profit]]/Table1[[#This Row],[Sales]]*100</f>
        <v>46.854859875769151</v>
      </c>
      <c r="K494" t="str">
        <f>IF(Table1[[#This Row],[Sales]]&gt;=30000,"High", IF(Table1[[#This Row],[Sales]]&gt;=15000,"Medium","Low"))</f>
        <v>High</v>
      </c>
      <c r="L494" t="str">
        <f>TEXT(Table1[[#This Row],[Order_Date]],"MMM")</f>
        <v>Apr</v>
      </c>
      <c r="M494" t="str">
        <f>IF(Table1[[#This Row],[Profit]]&gt;=10000,"Excellent",IF(Table1[[#This Row],[Profit]]&gt;5000,"Good","Low"))</f>
        <v>Excellent</v>
      </c>
      <c r="N494" t="str">
        <f>TEXT(Table1[[#This Row],[Order_Date]],"YYYY")</f>
        <v>2024</v>
      </c>
    </row>
    <row r="495" spans="1:14" x14ac:dyDescent="0.25">
      <c r="A495" s="1">
        <v>45706</v>
      </c>
      <c r="B495" t="s">
        <v>11</v>
      </c>
      <c r="C495" t="s">
        <v>12</v>
      </c>
      <c r="D495">
        <v>14267</v>
      </c>
      <c r="E495">
        <v>3326</v>
      </c>
      <c r="F495">
        <v>10941</v>
      </c>
      <c r="G495" t="s">
        <v>19</v>
      </c>
      <c r="H495" t="s">
        <v>45</v>
      </c>
      <c r="I495" t="s">
        <v>42</v>
      </c>
      <c r="J495" s="2">
        <f>Table1[[#This Row],[Profit]]/Table1[[#This Row],[Sales]]*100</f>
        <v>76.687460573351089</v>
      </c>
      <c r="K495" t="str">
        <f>IF(Table1[[#This Row],[Sales]]&gt;=30000,"High", IF(Table1[[#This Row],[Sales]]&gt;=15000,"Medium","Low"))</f>
        <v>Low</v>
      </c>
      <c r="L495" t="str">
        <f>TEXT(Table1[[#This Row],[Order_Date]],"MMM")</f>
        <v>Feb</v>
      </c>
      <c r="M495" t="str">
        <f>IF(Table1[[#This Row],[Profit]]&gt;=10000,"Excellent",IF(Table1[[#This Row],[Profit]]&gt;5000,"Good","Low"))</f>
        <v>Excellent</v>
      </c>
      <c r="N495" t="str">
        <f>TEXT(Table1[[#This Row],[Order_Date]],"YYYY")</f>
        <v>2025</v>
      </c>
    </row>
    <row r="496" spans="1:14" x14ac:dyDescent="0.25">
      <c r="A496" s="1">
        <v>46204</v>
      </c>
      <c r="B496" t="s">
        <v>26</v>
      </c>
      <c r="C496" t="s">
        <v>12</v>
      </c>
      <c r="D496">
        <v>24112</v>
      </c>
      <c r="E496">
        <v>14408</v>
      </c>
      <c r="F496">
        <v>9704</v>
      </c>
      <c r="G496" t="s">
        <v>13</v>
      </c>
      <c r="H496" t="s">
        <v>34</v>
      </c>
      <c r="I496" t="s">
        <v>53</v>
      </c>
      <c r="J496" s="2">
        <f>Table1[[#This Row],[Profit]]/Table1[[#This Row],[Sales]]*100</f>
        <v>40.245520902455205</v>
      </c>
      <c r="K496" t="str">
        <f>IF(Table1[[#This Row],[Sales]]&gt;=30000,"High", IF(Table1[[#This Row],[Sales]]&gt;=15000,"Medium","Low"))</f>
        <v>Medium</v>
      </c>
      <c r="L496" t="str">
        <f>TEXT(Table1[[#This Row],[Order_Date]],"MMM")</f>
        <v>Jul</v>
      </c>
      <c r="M496" t="str">
        <f>IF(Table1[[#This Row],[Profit]]&gt;=10000,"Excellent",IF(Table1[[#This Row],[Profit]]&gt;5000,"Good","Low"))</f>
        <v>Good</v>
      </c>
      <c r="N496" t="str">
        <f>TEXT(Table1[[#This Row],[Order_Date]],"YYYY")</f>
        <v>2026</v>
      </c>
    </row>
    <row r="497" spans="1:14" x14ac:dyDescent="0.25">
      <c r="A497" s="1">
        <v>45568</v>
      </c>
      <c r="B497" t="s">
        <v>26</v>
      </c>
      <c r="C497" t="s">
        <v>36</v>
      </c>
      <c r="D497">
        <v>34411</v>
      </c>
      <c r="E497">
        <v>24064</v>
      </c>
      <c r="F497">
        <v>10347</v>
      </c>
      <c r="G497" t="s">
        <v>27</v>
      </c>
      <c r="H497" t="s">
        <v>28</v>
      </c>
      <c r="I497" t="s">
        <v>29</v>
      </c>
      <c r="J497" s="2">
        <f>Table1[[#This Row],[Profit]]/Table1[[#This Row],[Sales]]*100</f>
        <v>30.06887332539014</v>
      </c>
      <c r="K497" t="str">
        <f>IF(Table1[[#This Row],[Sales]]&gt;=30000,"High", IF(Table1[[#This Row],[Sales]]&gt;=15000,"Medium","Low"))</f>
        <v>High</v>
      </c>
      <c r="L497" t="str">
        <f>TEXT(Table1[[#This Row],[Order_Date]],"MMM")</f>
        <v>Oct</v>
      </c>
      <c r="M497" t="str">
        <f>IF(Table1[[#This Row],[Profit]]&gt;=10000,"Excellent",IF(Table1[[#This Row],[Profit]]&gt;5000,"Good","Low"))</f>
        <v>Excellent</v>
      </c>
      <c r="N497" t="str">
        <f>TEXT(Table1[[#This Row],[Order_Date]],"YYYY")</f>
        <v>2024</v>
      </c>
    </row>
    <row r="498" spans="1:14" x14ac:dyDescent="0.25">
      <c r="A498" s="1">
        <v>45390</v>
      </c>
      <c r="B498" t="s">
        <v>26</v>
      </c>
      <c r="C498" t="s">
        <v>18</v>
      </c>
      <c r="D498">
        <v>11057</v>
      </c>
      <c r="E498">
        <v>2474</v>
      </c>
      <c r="F498">
        <v>8583</v>
      </c>
      <c r="G498" t="s">
        <v>19</v>
      </c>
      <c r="H498" t="s">
        <v>60</v>
      </c>
      <c r="I498" t="s">
        <v>42</v>
      </c>
      <c r="J498" s="2">
        <f>Table1[[#This Row],[Profit]]/Table1[[#This Row],[Sales]]*100</f>
        <v>77.625033915166867</v>
      </c>
      <c r="K498" t="str">
        <f>IF(Table1[[#This Row],[Sales]]&gt;=30000,"High", IF(Table1[[#This Row],[Sales]]&gt;=15000,"Medium","Low"))</f>
        <v>Low</v>
      </c>
      <c r="L498" t="str">
        <f>TEXT(Table1[[#This Row],[Order_Date]],"MMM")</f>
        <v>Apr</v>
      </c>
      <c r="M498" t="str">
        <f>IF(Table1[[#This Row],[Profit]]&gt;=10000,"Excellent",IF(Table1[[#This Row],[Profit]]&gt;5000,"Good","Low"))</f>
        <v>Good</v>
      </c>
      <c r="N498" t="str">
        <f>TEXT(Table1[[#This Row],[Order_Date]],"YYYY")</f>
        <v>2024</v>
      </c>
    </row>
    <row r="499" spans="1:14" x14ac:dyDescent="0.25">
      <c r="A499" s="1">
        <v>45911</v>
      </c>
      <c r="B499" t="s">
        <v>11</v>
      </c>
      <c r="C499" t="s">
        <v>12</v>
      </c>
      <c r="D499">
        <v>48101</v>
      </c>
      <c r="E499">
        <v>36006</v>
      </c>
      <c r="F499">
        <v>12095</v>
      </c>
      <c r="G499" t="s">
        <v>38</v>
      </c>
      <c r="H499" t="s">
        <v>23</v>
      </c>
      <c r="I499" t="s">
        <v>53</v>
      </c>
      <c r="J499" s="2">
        <f>Table1[[#This Row],[Profit]]/Table1[[#This Row],[Sales]]*100</f>
        <v>25.145007380303948</v>
      </c>
      <c r="K499" t="str">
        <f>IF(Table1[[#This Row],[Sales]]&gt;=30000,"High", IF(Table1[[#This Row],[Sales]]&gt;=15000,"Medium","Low"))</f>
        <v>High</v>
      </c>
      <c r="L499" t="str">
        <f>TEXT(Table1[[#This Row],[Order_Date]],"MMM")</f>
        <v>Sep</v>
      </c>
      <c r="M499" t="str">
        <f>IF(Table1[[#This Row],[Profit]]&gt;=10000,"Excellent",IF(Table1[[#This Row],[Profit]]&gt;5000,"Good","Low"))</f>
        <v>Excellent</v>
      </c>
      <c r="N499" t="str">
        <f>TEXT(Table1[[#This Row],[Order_Date]],"YYYY")</f>
        <v>2025</v>
      </c>
    </row>
    <row r="500" spans="1:14" x14ac:dyDescent="0.25">
      <c r="A500" s="1">
        <v>45429</v>
      </c>
      <c r="B500" t="s">
        <v>26</v>
      </c>
      <c r="C500" t="s">
        <v>36</v>
      </c>
      <c r="D500">
        <v>42696</v>
      </c>
      <c r="E500">
        <v>40383</v>
      </c>
      <c r="F500">
        <v>2313</v>
      </c>
      <c r="G500" t="s">
        <v>27</v>
      </c>
      <c r="H500" t="s">
        <v>31</v>
      </c>
      <c r="I500" t="s">
        <v>15</v>
      </c>
      <c r="J500" s="2">
        <f>Table1[[#This Row],[Profit]]/Table1[[#This Row],[Sales]]*100</f>
        <v>5.4173693086003372</v>
      </c>
      <c r="K500" t="str">
        <f>IF(Table1[[#This Row],[Sales]]&gt;=30000,"High", IF(Table1[[#This Row],[Sales]]&gt;=15000,"Medium","Low"))</f>
        <v>High</v>
      </c>
      <c r="L500" t="str">
        <f>TEXT(Table1[[#This Row],[Order_Date]],"MMM")</f>
        <v>May</v>
      </c>
      <c r="M500" t="str">
        <f>IF(Table1[[#This Row],[Profit]]&gt;=10000,"Excellent",IF(Table1[[#This Row],[Profit]]&gt;5000,"Good","Low"))</f>
        <v>Low</v>
      </c>
      <c r="N500" t="str">
        <f>TEXT(Table1[[#This Row],[Order_Date]],"YYYY")</f>
        <v>2024</v>
      </c>
    </row>
    <row r="501" spans="1:14" x14ac:dyDescent="0.25">
      <c r="A501" s="1">
        <v>45819</v>
      </c>
      <c r="B501" t="s">
        <v>11</v>
      </c>
      <c r="C501" t="s">
        <v>12</v>
      </c>
      <c r="D501">
        <v>34615</v>
      </c>
      <c r="E501">
        <v>27573</v>
      </c>
      <c r="F501">
        <v>7042</v>
      </c>
      <c r="G501" t="s">
        <v>19</v>
      </c>
      <c r="H501" t="s">
        <v>34</v>
      </c>
      <c r="I501" t="s">
        <v>42</v>
      </c>
      <c r="J501" s="2">
        <f>Table1[[#This Row],[Profit]]/Table1[[#This Row],[Sales]]*100</f>
        <v>20.343781597573308</v>
      </c>
      <c r="K501" t="str">
        <f>IF(Table1[[#This Row],[Sales]]&gt;=30000,"High", IF(Table1[[#This Row],[Sales]]&gt;=15000,"Medium","Low"))</f>
        <v>High</v>
      </c>
      <c r="L501" t="str">
        <f>TEXT(Table1[[#This Row],[Order_Date]],"MMM")</f>
        <v>Jun</v>
      </c>
      <c r="M501" t="str">
        <f>IF(Table1[[#This Row],[Profit]]&gt;=10000,"Excellent",IF(Table1[[#This Row],[Profit]]&gt;5000,"Good","Low"))</f>
        <v>Good</v>
      </c>
      <c r="N501" t="str">
        <f>TEXT(Table1[[#This Row],[Order_Date]],"YYYY")</f>
        <v>2025</v>
      </c>
    </row>
    <row r="502" spans="1:14" x14ac:dyDescent="0.25">
      <c r="A502" s="1">
        <v>45455</v>
      </c>
      <c r="B502" t="s">
        <v>22</v>
      </c>
      <c r="C502" t="s">
        <v>18</v>
      </c>
      <c r="D502">
        <v>8125</v>
      </c>
      <c r="E502">
        <v>4581</v>
      </c>
      <c r="F502">
        <v>3544</v>
      </c>
      <c r="G502" t="s">
        <v>13</v>
      </c>
      <c r="H502" t="s">
        <v>31</v>
      </c>
      <c r="I502" t="s">
        <v>24</v>
      </c>
      <c r="J502" s="2">
        <f>Table1[[#This Row],[Profit]]/Table1[[#This Row],[Sales]]*100</f>
        <v>43.618461538461538</v>
      </c>
      <c r="K502" t="str">
        <f>IF(Table1[[#This Row],[Sales]]&gt;=30000,"High", IF(Table1[[#This Row],[Sales]]&gt;=15000,"Medium","Low"))</f>
        <v>Low</v>
      </c>
      <c r="L502" t="str">
        <f>TEXT(Table1[[#This Row],[Order_Date]],"MMM")</f>
        <v>Jun</v>
      </c>
      <c r="M502" t="str">
        <f>IF(Table1[[#This Row],[Profit]]&gt;=10000,"Excellent",IF(Table1[[#This Row],[Profit]]&gt;5000,"Good","Low"))</f>
        <v>Low</v>
      </c>
      <c r="N502" t="str">
        <f>TEXT(Table1[[#This Row],[Order_Date]],"YYYY")</f>
        <v>2024</v>
      </c>
    </row>
    <row r="503" spans="1:14" x14ac:dyDescent="0.25">
      <c r="A503" s="1">
        <v>45799</v>
      </c>
      <c r="B503" t="s">
        <v>26</v>
      </c>
      <c r="C503" t="s">
        <v>36</v>
      </c>
      <c r="D503">
        <v>38276</v>
      </c>
      <c r="E503">
        <v>26040</v>
      </c>
      <c r="F503">
        <v>12236</v>
      </c>
      <c r="G503" t="s">
        <v>13</v>
      </c>
      <c r="H503" t="s">
        <v>34</v>
      </c>
      <c r="I503" t="s">
        <v>24</v>
      </c>
      <c r="J503" s="2">
        <f>Table1[[#This Row],[Profit]]/Table1[[#This Row],[Sales]]*100</f>
        <v>31.96781272860278</v>
      </c>
      <c r="K503" t="str">
        <f>IF(Table1[[#This Row],[Sales]]&gt;=30000,"High", IF(Table1[[#This Row],[Sales]]&gt;=15000,"Medium","Low"))</f>
        <v>High</v>
      </c>
      <c r="L503" t="str">
        <f>TEXT(Table1[[#This Row],[Order_Date]],"MMM")</f>
        <v>May</v>
      </c>
      <c r="M503" t="str">
        <f>IF(Table1[[#This Row],[Profit]]&gt;=10000,"Excellent",IF(Table1[[#This Row],[Profit]]&gt;5000,"Good","Low"))</f>
        <v>Excellent</v>
      </c>
      <c r="N503" t="str">
        <f>TEXT(Table1[[#This Row],[Order_Date]],"YYYY")</f>
        <v>2025</v>
      </c>
    </row>
    <row r="504" spans="1:14" x14ac:dyDescent="0.25">
      <c r="A504" s="1">
        <v>45610</v>
      </c>
      <c r="B504" t="s">
        <v>26</v>
      </c>
      <c r="C504" t="s">
        <v>36</v>
      </c>
      <c r="D504">
        <v>42718</v>
      </c>
      <c r="E504">
        <v>37899</v>
      </c>
      <c r="F504">
        <v>4819</v>
      </c>
      <c r="G504" t="s">
        <v>19</v>
      </c>
      <c r="H504" t="s">
        <v>63</v>
      </c>
      <c r="I504" t="s">
        <v>42</v>
      </c>
      <c r="J504" s="2">
        <f>Table1[[#This Row],[Profit]]/Table1[[#This Row],[Sales]]*100</f>
        <v>11.280958846387939</v>
      </c>
      <c r="K504" t="str">
        <f>IF(Table1[[#This Row],[Sales]]&gt;=30000,"High", IF(Table1[[#This Row],[Sales]]&gt;=15000,"Medium","Low"))</f>
        <v>High</v>
      </c>
      <c r="L504" t="str">
        <f>TEXT(Table1[[#This Row],[Order_Date]],"MMM")</f>
        <v>Nov</v>
      </c>
      <c r="M504" t="str">
        <f>IF(Table1[[#This Row],[Profit]]&gt;=10000,"Excellent",IF(Table1[[#This Row],[Profit]]&gt;5000,"Good","Low"))</f>
        <v>Low</v>
      </c>
      <c r="N504" t="str">
        <f>TEXT(Table1[[#This Row],[Order_Date]],"YYYY")</f>
        <v>2024</v>
      </c>
    </row>
    <row r="505" spans="1:14" x14ac:dyDescent="0.25">
      <c r="A505" s="1">
        <v>45540</v>
      </c>
      <c r="B505" t="s">
        <v>11</v>
      </c>
      <c r="C505" t="s">
        <v>41</v>
      </c>
      <c r="D505">
        <v>20396</v>
      </c>
      <c r="E505">
        <v>16611</v>
      </c>
      <c r="F505">
        <v>3785</v>
      </c>
      <c r="G505" t="s">
        <v>27</v>
      </c>
      <c r="H505" t="s">
        <v>20</v>
      </c>
      <c r="I505" t="s">
        <v>29</v>
      </c>
      <c r="J505" s="2">
        <f>Table1[[#This Row],[Profit]]/Table1[[#This Row],[Sales]]*100</f>
        <v>18.557560305942342</v>
      </c>
      <c r="K505" t="str">
        <f>IF(Table1[[#This Row],[Sales]]&gt;=30000,"High", IF(Table1[[#This Row],[Sales]]&gt;=15000,"Medium","Low"))</f>
        <v>Medium</v>
      </c>
      <c r="L505" t="str">
        <f>TEXT(Table1[[#This Row],[Order_Date]],"MMM")</f>
        <v>Sep</v>
      </c>
      <c r="M505" t="str">
        <f>IF(Table1[[#This Row],[Profit]]&gt;=10000,"Excellent",IF(Table1[[#This Row],[Profit]]&gt;5000,"Good","Low"))</f>
        <v>Low</v>
      </c>
      <c r="N505" t="str">
        <f>TEXT(Table1[[#This Row],[Order_Date]],"YYYY")</f>
        <v>2024</v>
      </c>
    </row>
    <row r="506" spans="1:14" x14ac:dyDescent="0.25">
      <c r="A506" s="1">
        <v>45330</v>
      </c>
      <c r="B506" t="s">
        <v>26</v>
      </c>
      <c r="C506" t="s">
        <v>18</v>
      </c>
      <c r="D506">
        <v>44272</v>
      </c>
      <c r="E506">
        <v>24955</v>
      </c>
      <c r="F506">
        <v>19317</v>
      </c>
      <c r="G506" t="s">
        <v>38</v>
      </c>
      <c r="H506" t="s">
        <v>34</v>
      </c>
      <c r="I506" t="s">
        <v>29</v>
      </c>
      <c r="J506" s="2">
        <f>Table1[[#This Row],[Profit]]/Table1[[#This Row],[Sales]]*100</f>
        <v>43.632544271774485</v>
      </c>
      <c r="K506" t="str">
        <f>IF(Table1[[#This Row],[Sales]]&gt;=30000,"High", IF(Table1[[#This Row],[Sales]]&gt;=15000,"Medium","Low"))</f>
        <v>High</v>
      </c>
      <c r="L506" t="str">
        <f>TEXT(Table1[[#This Row],[Order_Date]],"MMM")</f>
        <v>Feb</v>
      </c>
      <c r="M506" t="str">
        <f>IF(Table1[[#This Row],[Profit]]&gt;=10000,"Excellent",IF(Table1[[#This Row],[Profit]]&gt;5000,"Good","Low"))</f>
        <v>Excellent</v>
      </c>
      <c r="N506" t="str">
        <f>TEXT(Table1[[#This Row],[Order_Date]],"YYYY")</f>
        <v>2024</v>
      </c>
    </row>
    <row r="507" spans="1:14" x14ac:dyDescent="0.25">
      <c r="A507" s="1">
        <v>45290</v>
      </c>
      <c r="B507" t="s">
        <v>17</v>
      </c>
      <c r="C507" t="s">
        <v>12</v>
      </c>
      <c r="D507">
        <v>12919</v>
      </c>
      <c r="E507">
        <v>3899</v>
      </c>
      <c r="F507">
        <v>9020</v>
      </c>
      <c r="G507" t="s">
        <v>13</v>
      </c>
      <c r="H507" t="s">
        <v>78</v>
      </c>
      <c r="I507" t="s">
        <v>24</v>
      </c>
      <c r="J507" s="2">
        <f>Table1[[#This Row],[Profit]]/Table1[[#This Row],[Sales]]*100</f>
        <v>69.819645483396556</v>
      </c>
      <c r="K507" t="str">
        <f>IF(Table1[[#This Row],[Sales]]&gt;=30000,"High", IF(Table1[[#This Row],[Sales]]&gt;=15000,"Medium","Low"))</f>
        <v>Low</v>
      </c>
      <c r="L507" t="str">
        <f>TEXT(Table1[[#This Row],[Order_Date]],"MMM")</f>
        <v>Dec</v>
      </c>
      <c r="M507" t="str">
        <f>IF(Table1[[#This Row],[Profit]]&gt;=10000,"Excellent",IF(Table1[[#This Row],[Profit]]&gt;5000,"Good","Low"))</f>
        <v>Good</v>
      </c>
      <c r="N507" t="str">
        <f>TEXT(Table1[[#This Row],[Order_Date]],"YYYY")</f>
        <v>2023</v>
      </c>
    </row>
    <row r="508" spans="1:14" x14ac:dyDescent="0.25">
      <c r="A508" s="1">
        <v>45670</v>
      </c>
      <c r="B508" t="s">
        <v>17</v>
      </c>
      <c r="C508" t="s">
        <v>33</v>
      </c>
      <c r="D508">
        <v>31150</v>
      </c>
      <c r="E508">
        <v>23656</v>
      </c>
      <c r="F508">
        <v>7494</v>
      </c>
      <c r="G508" t="s">
        <v>13</v>
      </c>
      <c r="H508" t="s">
        <v>28</v>
      </c>
      <c r="I508" t="s">
        <v>29</v>
      </c>
      <c r="J508" s="2">
        <f>Table1[[#This Row],[Profit]]/Table1[[#This Row],[Sales]]*100</f>
        <v>24.057784911717494</v>
      </c>
      <c r="K508" t="str">
        <f>IF(Table1[[#This Row],[Sales]]&gt;=30000,"High", IF(Table1[[#This Row],[Sales]]&gt;=15000,"Medium","Low"))</f>
        <v>High</v>
      </c>
      <c r="L508" t="str">
        <f>TEXT(Table1[[#This Row],[Order_Date]],"MMM")</f>
        <v>Jan</v>
      </c>
      <c r="M508" t="str">
        <f>IF(Table1[[#This Row],[Profit]]&gt;=10000,"Excellent",IF(Table1[[#This Row],[Profit]]&gt;5000,"Good","Low"))</f>
        <v>Good</v>
      </c>
      <c r="N508" t="str">
        <f>TEXT(Table1[[#This Row],[Order_Date]],"YYYY")</f>
        <v>2025</v>
      </c>
    </row>
    <row r="509" spans="1:14" x14ac:dyDescent="0.25">
      <c r="A509" s="1">
        <v>45388</v>
      </c>
      <c r="B509" t="s">
        <v>11</v>
      </c>
      <c r="C509" t="s">
        <v>18</v>
      </c>
      <c r="D509">
        <v>7977</v>
      </c>
      <c r="E509">
        <v>4607</v>
      </c>
      <c r="F509">
        <v>3370</v>
      </c>
      <c r="G509" t="s">
        <v>19</v>
      </c>
      <c r="H509" t="s">
        <v>60</v>
      </c>
      <c r="I509" t="s">
        <v>24</v>
      </c>
      <c r="J509" s="2">
        <f>Table1[[#This Row],[Profit]]/Table1[[#This Row],[Sales]]*100</f>
        <v>42.246458568384107</v>
      </c>
      <c r="K509" t="str">
        <f>IF(Table1[[#This Row],[Sales]]&gt;=30000,"High", IF(Table1[[#This Row],[Sales]]&gt;=15000,"Medium","Low"))</f>
        <v>Low</v>
      </c>
      <c r="L509" t="str">
        <f>TEXT(Table1[[#This Row],[Order_Date]],"MMM")</f>
        <v>Apr</v>
      </c>
      <c r="M509" t="str">
        <f>IF(Table1[[#This Row],[Profit]]&gt;=10000,"Excellent",IF(Table1[[#This Row],[Profit]]&gt;5000,"Good","Low"))</f>
        <v>Low</v>
      </c>
      <c r="N509" t="str">
        <f>TEXT(Table1[[#This Row],[Order_Date]],"YYYY")</f>
        <v>2024</v>
      </c>
    </row>
    <row r="510" spans="1:14" x14ac:dyDescent="0.25">
      <c r="A510" s="1">
        <v>45596</v>
      </c>
      <c r="B510" t="s">
        <v>17</v>
      </c>
      <c r="C510" t="s">
        <v>18</v>
      </c>
      <c r="D510">
        <v>5697</v>
      </c>
      <c r="E510">
        <v>3463</v>
      </c>
      <c r="F510">
        <v>2234</v>
      </c>
      <c r="G510" t="s">
        <v>13</v>
      </c>
      <c r="H510" t="s">
        <v>60</v>
      </c>
      <c r="I510" t="s">
        <v>29</v>
      </c>
      <c r="J510" s="2">
        <f>Table1[[#This Row],[Profit]]/Table1[[#This Row],[Sales]]*100</f>
        <v>39.213621204142527</v>
      </c>
      <c r="K510" t="str">
        <f>IF(Table1[[#This Row],[Sales]]&gt;=30000,"High", IF(Table1[[#This Row],[Sales]]&gt;=15000,"Medium","Low"))</f>
        <v>Low</v>
      </c>
      <c r="L510" t="str">
        <f>TEXT(Table1[[#This Row],[Order_Date]],"MMM")</f>
        <v>Oct</v>
      </c>
      <c r="M510" t="str">
        <f>IF(Table1[[#This Row],[Profit]]&gt;=10000,"Excellent",IF(Table1[[#This Row],[Profit]]&gt;5000,"Good","Low"))</f>
        <v>Low</v>
      </c>
      <c r="N510" t="str">
        <f>TEXT(Table1[[#This Row],[Order_Date]],"YYYY")</f>
        <v>2024</v>
      </c>
    </row>
    <row r="511" spans="1:14" x14ac:dyDescent="0.25">
      <c r="A511" s="1">
        <v>45177</v>
      </c>
      <c r="B511" t="s">
        <v>44</v>
      </c>
      <c r="C511" t="s">
        <v>36</v>
      </c>
      <c r="D511">
        <v>40454</v>
      </c>
      <c r="E511">
        <v>29808</v>
      </c>
      <c r="F511">
        <v>10646</v>
      </c>
      <c r="G511" t="s">
        <v>13</v>
      </c>
      <c r="H511" t="s">
        <v>60</v>
      </c>
      <c r="I511" t="s">
        <v>53</v>
      </c>
      <c r="J511" s="2">
        <f>Table1[[#This Row],[Profit]]/Table1[[#This Row],[Sales]]*100</f>
        <v>26.316309882829881</v>
      </c>
      <c r="K511" t="str">
        <f>IF(Table1[[#This Row],[Sales]]&gt;=30000,"High", IF(Table1[[#This Row],[Sales]]&gt;=15000,"Medium","Low"))</f>
        <v>High</v>
      </c>
      <c r="L511" t="str">
        <f>TEXT(Table1[[#This Row],[Order_Date]],"MMM")</f>
        <v>Sep</v>
      </c>
      <c r="M511" t="str">
        <f>IF(Table1[[#This Row],[Profit]]&gt;=10000,"Excellent",IF(Table1[[#This Row],[Profit]]&gt;5000,"Good","Low"))</f>
        <v>Excellent</v>
      </c>
      <c r="N511" t="str">
        <f>TEXT(Table1[[#This Row],[Order_Date]],"YYYY")</f>
        <v>2023</v>
      </c>
    </row>
    <row r="512" spans="1:14" x14ac:dyDescent="0.25">
      <c r="A512" s="1">
        <v>45303</v>
      </c>
      <c r="B512" t="s">
        <v>17</v>
      </c>
      <c r="C512" t="s">
        <v>18</v>
      </c>
      <c r="D512">
        <v>6797</v>
      </c>
      <c r="E512">
        <v>5662</v>
      </c>
      <c r="F512">
        <v>1135</v>
      </c>
      <c r="G512" t="s">
        <v>13</v>
      </c>
      <c r="H512" t="s">
        <v>28</v>
      </c>
      <c r="I512" t="s">
        <v>15</v>
      </c>
      <c r="J512" s="2">
        <f>Table1[[#This Row],[Profit]]/Table1[[#This Row],[Sales]]*100</f>
        <v>16.698543475062529</v>
      </c>
      <c r="K512" t="str">
        <f>IF(Table1[[#This Row],[Sales]]&gt;=30000,"High", IF(Table1[[#This Row],[Sales]]&gt;=15000,"Medium","Low"))</f>
        <v>Low</v>
      </c>
      <c r="L512" t="str">
        <f>TEXT(Table1[[#This Row],[Order_Date]],"MMM")</f>
        <v>Jan</v>
      </c>
      <c r="M512" t="str">
        <f>IF(Table1[[#This Row],[Profit]]&gt;=10000,"Excellent",IF(Table1[[#This Row],[Profit]]&gt;5000,"Good","Low"))</f>
        <v>Low</v>
      </c>
      <c r="N512" t="str">
        <f>TEXT(Table1[[#This Row],[Order_Date]],"YYYY")</f>
        <v>2024</v>
      </c>
    </row>
    <row r="513" spans="1:14" x14ac:dyDescent="0.25">
      <c r="A513" s="1">
        <v>45824</v>
      </c>
      <c r="B513" t="s">
        <v>26</v>
      </c>
      <c r="C513" t="s">
        <v>12</v>
      </c>
      <c r="D513">
        <v>35255</v>
      </c>
      <c r="E513">
        <v>27553</v>
      </c>
      <c r="F513">
        <v>7702</v>
      </c>
      <c r="G513" t="s">
        <v>27</v>
      </c>
      <c r="H513" t="s">
        <v>34</v>
      </c>
      <c r="I513" t="s">
        <v>53</v>
      </c>
      <c r="J513" s="2">
        <f>Table1[[#This Row],[Profit]]/Table1[[#This Row],[Sales]]*100</f>
        <v>21.846546589136292</v>
      </c>
      <c r="K513" t="str">
        <f>IF(Table1[[#This Row],[Sales]]&gt;=30000,"High", IF(Table1[[#This Row],[Sales]]&gt;=15000,"Medium","Low"))</f>
        <v>High</v>
      </c>
      <c r="L513" t="str">
        <f>TEXT(Table1[[#This Row],[Order_Date]],"MMM")</f>
        <v>Jun</v>
      </c>
      <c r="M513" t="str">
        <f>IF(Table1[[#This Row],[Profit]]&gt;=10000,"Excellent",IF(Table1[[#This Row],[Profit]]&gt;5000,"Good","Low"))</f>
        <v>Good</v>
      </c>
      <c r="N513" t="str">
        <f>TEXT(Table1[[#This Row],[Order_Date]],"YYYY")</f>
        <v>2025</v>
      </c>
    </row>
    <row r="514" spans="1:14" x14ac:dyDescent="0.25">
      <c r="A514" s="1">
        <v>46030</v>
      </c>
      <c r="B514" t="s">
        <v>22</v>
      </c>
      <c r="C514" t="s">
        <v>33</v>
      </c>
      <c r="D514">
        <v>5230</v>
      </c>
      <c r="E514">
        <v>2195</v>
      </c>
      <c r="F514">
        <v>3035</v>
      </c>
      <c r="G514" t="s">
        <v>19</v>
      </c>
      <c r="H514" t="s">
        <v>20</v>
      </c>
      <c r="I514" t="s">
        <v>15</v>
      </c>
      <c r="J514" s="2">
        <f>Table1[[#This Row],[Profit]]/Table1[[#This Row],[Sales]]*100</f>
        <v>58.030592734225614</v>
      </c>
      <c r="K514" t="str">
        <f>IF(Table1[[#This Row],[Sales]]&gt;=30000,"High", IF(Table1[[#This Row],[Sales]]&gt;=15000,"Medium","Low"))</f>
        <v>Low</v>
      </c>
      <c r="L514" t="str">
        <f>TEXT(Table1[[#This Row],[Order_Date]],"MMM")</f>
        <v>Jan</v>
      </c>
      <c r="M514" t="str">
        <f>IF(Table1[[#This Row],[Profit]]&gt;=10000,"Excellent",IF(Table1[[#This Row],[Profit]]&gt;5000,"Good","Low"))</f>
        <v>Low</v>
      </c>
      <c r="N514" t="str">
        <f>TEXT(Table1[[#This Row],[Order_Date]],"YYYY")</f>
        <v>2026</v>
      </c>
    </row>
    <row r="515" spans="1:14" x14ac:dyDescent="0.25">
      <c r="A515" s="1">
        <v>45963</v>
      </c>
      <c r="B515" t="s">
        <v>22</v>
      </c>
      <c r="C515" t="s">
        <v>18</v>
      </c>
      <c r="D515">
        <v>30043</v>
      </c>
      <c r="E515">
        <v>27699</v>
      </c>
      <c r="F515">
        <v>2344</v>
      </c>
      <c r="G515" t="s">
        <v>13</v>
      </c>
      <c r="H515" t="s">
        <v>60</v>
      </c>
      <c r="I515" t="s">
        <v>24</v>
      </c>
      <c r="J515" s="2">
        <f>Table1[[#This Row],[Profit]]/Table1[[#This Row],[Sales]]*100</f>
        <v>7.8021502513064611</v>
      </c>
      <c r="K515" t="str">
        <f>IF(Table1[[#This Row],[Sales]]&gt;=30000,"High", IF(Table1[[#This Row],[Sales]]&gt;=15000,"Medium","Low"))</f>
        <v>High</v>
      </c>
      <c r="L515" t="str">
        <f>TEXT(Table1[[#This Row],[Order_Date]],"MMM")</f>
        <v>Nov</v>
      </c>
      <c r="M515" t="str">
        <f>IF(Table1[[#This Row],[Profit]]&gt;=10000,"Excellent",IF(Table1[[#This Row],[Profit]]&gt;5000,"Good","Low"))</f>
        <v>Low</v>
      </c>
      <c r="N515" t="str">
        <f>TEXT(Table1[[#This Row],[Order_Date]],"YYYY")</f>
        <v>2025</v>
      </c>
    </row>
    <row r="516" spans="1:14" x14ac:dyDescent="0.25">
      <c r="A516" s="1">
        <v>46195</v>
      </c>
      <c r="B516" t="s">
        <v>44</v>
      </c>
      <c r="C516" t="s">
        <v>33</v>
      </c>
      <c r="D516">
        <v>23075</v>
      </c>
      <c r="E516">
        <v>4441</v>
      </c>
      <c r="F516">
        <v>18634</v>
      </c>
      <c r="G516" t="s">
        <v>13</v>
      </c>
      <c r="H516" t="s">
        <v>60</v>
      </c>
      <c r="I516" t="s">
        <v>24</v>
      </c>
      <c r="J516" s="2">
        <f>Table1[[#This Row],[Profit]]/Table1[[#This Row],[Sales]]*100</f>
        <v>80.75406283856988</v>
      </c>
      <c r="K516" t="str">
        <f>IF(Table1[[#This Row],[Sales]]&gt;=30000,"High", IF(Table1[[#This Row],[Sales]]&gt;=15000,"Medium","Low"))</f>
        <v>Medium</v>
      </c>
      <c r="L516" t="str">
        <f>TEXT(Table1[[#This Row],[Order_Date]],"MMM")</f>
        <v>Jun</v>
      </c>
      <c r="M516" t="str">
        <f>IF(Table1[[#This Row],[Profit]]&gt;=10000,"Excellent",IF(Table1[[#This Row],[Profit]]&gt;5000,"Good","Low"))</f>
        <v>Excellent</v>
      </c>
      <c r="N516" t="str">
        <f>TEXT(Table1[[#This Row],[Order_Date]],"YYYY")</f>
        <v>2026</v>
      </c>
    </row>
    <row r="517" spans="1:14" x14ac:dyDescent="0.25">
      <c r="A517" s="1">
        <v>45487</v>
      </c>
      <c r="B517" t="s">
        <v>44</v>
      </c>
      <c r="C517" t="s">
        <v>12</v>
      </c>
      <c r="D517">
        <v>20969</v>
      </c>
      <c r="E517">
        <v>20112</v>
      </c>
      <c r="F517">
        <v>857</v>
      </c>
      <c r="G517" t="s">
        <v>19</v>
      </c>
      <c r="H517" t="s">
        <v>28</v>
      </c>
      <c r="I517" t="s">
        <v>29</v>
      </c>
      <c r="J517" s="2">
        <f>Table1[[#This Row],[Profit]]/Table1[[#This Row],[Sales]]*100</f>
        <v>4.0869855500977632</v>
      </c>
      <c r="K517" t="str">
        <f>IF(Table1[[#This Row],[Sales]]&gt;=30000,"High", IF(Table1[[#This Row],[Sales]]&gt;=15000,"Medium","Low"))</f>
        <v>Medium</v>
      </c>
      <c r="L517" t="str">
        <f>TEXT(Table1[[#This Row],[Order_Date]],"MMM")</f>
        <v>Jul</v>
      </c>
      <c r="M517" t="str">
        <f>IF(Table1[[#This Row],[Profit]]&gt;=10000,"Excellent",IF(Table1[[#This Row],[Profit]]&gt;5000,"Good","Low"))</f>
        <v>Low</v>
      </c>
      <c r="N517" t="str">
        <f>TEXT(Table1[[#This Row],[Order_Date]],"YYYY")</f>
        <v>2024</v>
      </c>
    </row>
    <row r="518" spans="1:14" x14ac:dyDescent="0.25">
      <c r="A518" s="1">
        <v>46196</v>
      </c>
      <c r="B518" t="s">
        <v>26</v>
      </c>
      <c r="C518" t="s">
        <v>41</v>
      </c>
      <c r="D518">
        <v>40478</v>
      </c>
      <c r="E518">
        <v>32864</v>
      </c>
      <c r="F518">
        <v>7614</v>
      </c>
      <c r="G518" t="s">
        <v>13</v>
      </c>
      <c r="H518" t="s">
        <v>63</v>
      </c>
      <c r="I518" t="s">
        <v>15</v>
      </c>
      <c r="J518" s="2">
        <f>Table1[[#This Row],[Profit]]/Table1[[#This Row],[Sales]]*100</f>
        <v>18.810217896141111</v>
      </c>
      <c r="K518" t="str">
        <f>IF(Table1[[#This Row],[Sales]]&gt;=30000,"High", IF(Table1[[#This Row],[Sales]]&gt;=15000,"Medium","Low"))</f>
        <v>High</v>
      </c>
      <c r="L518" t="str">
        <f>TEXT(Table1[[#This Row],[Order_Date]],"MMM")</f>
        <v>Jun</v>
      </c>
      <c r="M518" t="str">
        <f>IF(Table1[[#This Row],[Profit]]&gt;=10000,"Excellent",IF(Table1[[#This Row],[Profit]]&gt;5000,"Good","Low"))</f>
        <v>Good</v>
      </c>
      <c r="N518" t="str">
        <f>TEXT(Table1[[#This Row],[Order_Date]],"YYYY")</f>
        <v>2026</v>
      </c>
    </row>
    <row r="519" spans="1:14" x14ac:dyDescent="0.25">
      <c r="A519" s="1">
        <v>45423</v>
      </c>
      <c r="B519" t="s">
        <v>26</v>
      </c>
      <c r="C519" t="s">
        <v>33</v>
      </c>
      <c r="D519">
        <v>23066</v>
      </c>
      <c r="E519">
        <v>20623</v>
      </c>
      <c r="F519">
        <v>2443</v>
      </c>
      <c r="G519" t="s">
        <v>27</v>
      </c>
      <c r="H519" t="s">
        <v>20</v>
      </c>
      <c r="I519" t="s">
        <v>53</v>
      </c>
      <c r="J519" s="2">
        <f>Table1[[#This Row],[Profit]]/Table1[[#This Row],[Sales]]*100</f>
        <v>10.591346570710137</v>
      </c>
      <c r="K519" t="str">
        <f>IF(Table1[[#This Row],[Sales]]&gt;=30000,"High", IF(Table1[[#This Row],[Sales]]&gt;=15000,"Medium","Low"))</f>
        <v>Medium</v>
      </c>
      <c r="L519" t="str">
        <f>TEXT(Table1[[#This Row],[Order_Date]],"MMM")</f>
        <v>May</v>
      </c>
      <c r="M519" t="str">
        <f>IF(Table1[[#This Row],[Profit]]&gt;=10000,"Excellent",IF(Table1[[#This Row],[Profit]]&gt;5000,"Good","Low"))</f>
        <v>Low</v>
      </c>
      <c r="N519" t="str">
        <f>TEXT(Table1[[#This Row],[Order_Date]],"YYYY")</f>
        <v>2024</v>
      </c>
    </row>
    <row r="520" spans="1:14" x14ac:dyDescent="0.25">
      <c r="A520" s="1">
        <v>45714</v>
      </c>
      <c r="B520" t="s">
        <v>44</v>
      </c>
      <c r="C520" t="s">
        <v>41</v>
      </c>
      <c r="D520">
        <v>17824</v>
      </c>
      <c r="E520">
        <v>14713</v>
      </c>
      <c r="F520">
        <v>3111</v>
      </c>
      <c r="G520" t="s">
        <v>13</v>
      </c>
      <c r="H520" t="s">
        <v>78</v>
      </c>
      <c r="I520" t="s">
        <v>53</v>
      </c>
      <c r="J520" s="2">
        <f>Table1[[#This Row],[Profit]]/Table1[[#This Row],[Sales]]*100</f>
        <v>17.453994614003591</v>
      </c>
      <c r="K520" t="str">
        <f>IF(Table1[[#This Row],[Sales]]&gt;=30000,"High", IF(Table1[[#This Row],[Sales]]&gt;=15000,"Medium","Low"))</f>
        <v>Medium</v>
      </c>
      <c r="L520" t="str">
        <f>TEXT(Table1[[#This Row],[Order_Date]],"MMM")</f>
        <v>Feb</v>
      </c>
      <c r="M520" t="str">
        <f>IF(Table1[[#This Row],[Profit]]&gt;=10000,"Excellent",IF(Table1[[#This Row],[Profit]]&gt;5000,"Good","Low"))</f>
        <v>Low</v>
      </c>
      <c r="N520" t="str">
        <f>TEXT(Table1[[#This Row],[Order_Date]],"YYYY")</f>
        <v>2025</v>
      </c>
    </row>
    <row r="521" spans="1:14" x14ac:dyDescent="0.25">
      <c r="A521" s="1">
        <v>45882</v>
      </c>
      <c r="B521" t="s">
        <v>44</v>
      </c>
      <c r="C521" t="s">
        <v>36</v>
      </c>
      <c r="D521">
        <v>48992</v>
      </c>
      <c r="E521">
        <v>31324</v>
      </c>
      <c r="F521">
        <v>17668</v>
      </c>
      <c r="G521" t="s">
        <v>19</v>
      </c>
      <c r="H521" t="s">
        <v>28</v>
      </c>
      <c r="I521" t="s">
        <v>42</v>
      </c>
      <c r="J521" s="2">
        <f>Table1[[#This Row],[Profit]]/Table1[[#This Row],[Sales]]*100</f>
        <v>36.063030698889612</v>
      </c>
      <c r="K521" t="str">
        <f>IF(Table1[[#This Row],[Sales]]&gt;=30000,"High", IF(Table1[[#This Row],[Sales]]&gt;=15000,"Medium","Low"))</f>
        <v>High</v>
      </c>
      <c r="L521" t="str">
        <f>TEXT(Table1[[#This Row],[Order_Date]],"MMM")</f>
        <v>Aug</v>
      </c>
      <c r="M521" t="str">
        <f>IF(Table1[[#This Row],[Profit]]&gt;=10000,"Excellent",IF(Table1[[#This Row],[Profit]]&gt;5000,"Good","Low"))</f>
        <v>Excellent</v>
      </c>
      <c r="N521" t="str">
        <f>TEXT(Table1[[#This Row],[Order_Date]],"YYYY")</f>
        <v>2025</v>
      </c>
    </row>
    <row r="522" spans="1:14" x14ac:dyDescent="0.25">
      <c r="A522" s="1">
        <v>45694</v>
      </c>
      <c r="B522" t="s">
        <v>11</v>
      </c>
      <c r="C522" t="s">
        <v>41</v>
      </c>
      <c r="D522">
        <v>28169</v>
      </c>
      <c r="E522">
        <v>25638</v>
      </c>
      <c r="F522">
        <v>2531</v>
      </c>
      <c r="G522" t="s">
        <v>13</v>
      </c>
      <c r="H522" t="s">
        <v>34</v>
      </c>
      <c r="I522" t="s">
        <v>53</v>
      </c>
      <c r="J522" s="2">
        <f>Table1[[#This Row],[Profit]]/Table1[[#This Row],[Sales]]*100</f>
        <v>8.9850544925272455</v>
      </c>
      <c r="K522" t="str">
        <f>IF(Table1[[#This Row],[Sales]]&gt;=30000,"High", IF(Table1[[#This Row],[Sales]]&gt;=15000,"Medium","Low"))</f>
        <v>Medium</v>
      </c>
      <c r="L522" t="str">
        <f>TEXT(Table1[[#This Row],[Order_Date]],"MMM")</f>
        <v>Feb</v>
      </c>
      <c r="M522" t="str">
        <f>IF(Table1[[#This Row],[Profit]]&gt;=10000,"Excellent",IF(Table1[[#This Row],[Profit]]&gt;5000,"Good","Low"))</f>
        <v>Low</v>
      </c>
      <c r="N522" t="str">
        <f>TEXT(Table1[[#This Row],[Order_Date]],"YYYY")</f>
        <v>2025</v>
      </c>
    </row>
    <row r="523" spans="1:14" x14ac:dyDescent="0.25">
      <c r="A523" s="1">
        <v>46055</v>
      </c>
      <c r="B523" t="s">
        <v>17</v>
      </c>
      <c r="C523" t="s">
        <v>18</v>
      </c>
      <c r="D523">
        <v>42409</v>
      </c>
      <c r="E523">
        <v>25544</v>
      </c>
      <c r="F523">
        <v>16865</v>
      </c>
      <c r="G523" t="s">
        <v>19</v>
      </c>
      <c r="H523" t="s">
        <v>20</v>
      </c>
      <c r="I523" t="s">
        <v>24</v>
      </c>
      <c r="J523" s="2">
        <f>Table1[[#This Row],[Profit]]/Table1[[#This Row],[Sales]]*100</f>
        <v>39.767502181140799</v>
      </c>
      <c r="K523" t="str">
        <f>IF(Table1[[#This Row],[Sales]]&gt;=30000,"High", IF(Table1[[#This Row],[Sales]]&gt;=15000,"Medium","Low"))</f>
        <v>High</v>
      </c>
      <c r="L523" t="str">
        <f>TEXT(Table1[[#This Row],[Order_Date]],"MMM")</f>
        <v>Feb</v>
      </c>
      <c r="M523" t="str">
        <f>IF(Table1[[#This Row],[Profit]]&gt;=10000,"Excellent",IF(Table1[[#This Row],[Profit]]&gt;5000,"Good","Low"))</f>
        <v>Excellent</v>
      </c>
      <c r="N523" t="str">
        <f>TEXT(Table1[[#This Row],[Order_Date]],"YYYY")</f>
        <v>2026</v>
      </c>
    </row>
    <row r="524" spans="1:14" x14ac:dyDescent="0.25">
      <c r="A524" s="1">
        <v>45758</v>
      </c>
      <c r="B524" t="s">
        <v>17</v>
      </c>
      <c r="C524" t="s">
        <v>18</v>
      </c>
      <c r="D524">
        <v>43098</v>
      </c>
      <c r="E524">
        <v>34427</v>
      </c>
      <c r="F524">
        <v>8671</v>
      </c>
      <c r="G524" t="s">
        <v>13</v>
      </c>
      <c r="H524" t="s">
        <v>60</v>
      </c>
      <c r="I524" t="s">
        <v>24</v>
      </c>
      <c r="J524" s="2">
        <f>Table1[[#This Row],[Profit]]/Table1[[#This Row],[Sales]]*100</f>
        <v>20.119263074852661</v>
      </c>
      <c r="K524" t="str">
        <f>IF(Table1[[#This Row],[Sales]]&gt;=30000,"High", IF(Table1[[#This Row],[Sales]]&gt;=15000,"Medium","Low"))</f>
        <v>High</v>
      </c>
      <c r="L524" t="str">
        <f>TEXT(Table1[[#This Row],[Order_Date]],"MMM")</f>
        <v>Apr</v>
      </c>
      <c r="M524" t="str">
        <f>IF(Table1[[#This Row],[Profit]]&gt;=10000,"Excellent",IF(Table1[[#This Row],[Profit]]&gt;5000,"Good","Low"))</f>
        <v>Good</v>
      </c>
      <c r="N524" t="str">
        <f>TEXT(Table1[[#This Row],[Order_Date]],"YYYY")</f>
        <v>2025</v>
      </c>
    </row>
    <row r="525" spans="1:14" x14ac:dyDescent="0.25">
      <c r="A525" s="1">
        <v>45244</v>
      </c>
      <c r="B525" t="s">
        <v>17</v>
      </c>
      <c r="C525" t="s">
        <v>41</v>
      </c>
      <c r="D525">
        <v>32596</v>
      </c>
      <c r="E525">
        <v>19963</v>
      </c>
      <c r="F525">
        <v>12633</v>
      </c>
      <c r="G525" t="s">
        <v>38</v>
      </c>
      <c r="H525" t="s">
        <v>28</v>
      </c>
      <c r="I525" t="s">
        <v>15</v>
      </c>
      <c r="J525" s="2">
        <f>Table1[[#This Row],[Profit]]/Table1[[#This Row],[Sales]]*100</f>
        <v>38.756289115228867</v>
      </c>
      <c r="K525" t="str">
        <f>IF(Table1[[#This Row],[Sales]]&gt;=30000,"High", IF(Table1[[#This Row],[Sales]]&gt;=15000,"Medium","Low"))</f>
        <v>High</v>
      </c>
      <c r="L525" t="str">
        <f>TEXT(Table1[[#This Row],[Order_Date]],"MMM")</f>
        <v>Nov</v>
      </c>
      <c r="M525" t="str">
        <f>IF(Table1[[#This Row],[Profit]]&gt;=10000,"Excellent",IF(Table1[[#This Row],[Profit]]&gt;5000,"Good","Low"))</f>
        <v>Excellent</v>
      </c>
      <c r="N525" t="str">
        <f>TEXT(Table1[[#This Row],[Order_Date]],"YYYY")</f>
        <v>2023</v>
      </c>
    </row>
    <row r="526" spans="1:14" x14ac:dyDescent="0.25">
      <c r="A526" s="1">
        <v>45222</v>
      </c>
      <c r="B526" t="s">
        <v>44</v>
      </c>
      <c r="C526" t="s">
        <v>41</v>
      </c>
      <c r="D526">
        <v>22524</v>
      </c>
      <c r="E526">
        <v>11412</v>
      </c>
      <c r="F526">
        <v>11112</v>
      </c>
      <c r="G526" t="s">
        <v>38</v>
      </c>
      <c r="H526" t="s">
        <v>28</v>
      </c>
      <c r="I526" t="s">
        <v>42</v>
      </c>
      <c r="J526" s="2">
        <f>Table1[[#This Row],[Profit]]/Table1[[#This Row],[Sales]]*100</f>
        <v>49.334043686734155</v>
      </c>
      <c r="K526" t="str">
        <f>IF(Table1[[#This Row],[Sales]]&gt;=30000,"High", IF(Table1[[#This Row],[Sales]]&gt;=15000,"Medium","Low"))</f>
        <v>Medium</v>
      </c>
      <c r="L526" t="str">
        <f>TEXT(Table1[[#This Row],[Order_Date]],"MMM")</f>
        <v>Oct</v>
      </c>
      <c r="M526" t="str">
        <f>IF(Table1[[#This Row],[Profit]]&gt;=10000,"Excellent",IF(Table1[[#This Row],[Profit]]&gt;5000,"Good","Low"))</f>
        <v>Excellent</v>
      </c>
      <c r="N526" t="str">
        <f>TEXT(Table1[[#This Row],[Order_Date]],"YYYY")</f>
        <v>2023</v>
      </c>
    </row>
    <row r="527" spans="1:14" x14ac:dyDescent="0.25">
      <c r="A527" s="1">
        <v>45873</v>
      </c>
      <c r="B527" t="s">
        <v>17</v>
      </c>
      <c r="C527" t="s">
        <v>18</v>
      </c>
      <c r="D527">
        <v>40636</v>
      </c>
      <c r="E527">
        <v>32426</v>
      </c>
      <c r="F527">
        <v>8210</v>
      </c>
      <c r="G527" t="s">
        <v>38</v>
      </c>
      <c r="H527" t="s">
        <v>28</v>
      </c>
      <c r="I527" t="s">
        <v>24</v>
      </c>
      <c r="J527" s="2">
        <f>Table1[[#This Row],[Profit]]/Table1[[#This Row],[Sales]]*100</f>
        <v>20.203760212619351</v>
      </c>
      <c r="K527" t="str">
        <f>IF(Table1[[#This Row],[Sales]]&gt;=30000,"High", IF(Table1[[#This Row],[Sales]]&gt;=15000,"Medium","Low"))</f>
        <v>High</v>
      </c>
      <c r="L527" t="str">
        <f>TEXT(Table1[[#This Row],[Order_Date]],"MMM")</f>
        <v>Aug</v>
      </c>
      <c r="M527" t="str">
        <f>IF(Table1[[#This Row],[Profit]]&gt;=10000,"Excellent",IF(Table1[[#This Row],[Profit]]&gt;5000,"Good","Low"))</f>
        <v>Good</v>
      </c>
      <c r="N527" t="str">
        <f>TEXT(Table1[[#This Row],[Order_Date]],"YYYY")</f>
        <v>2025</v>
      </c>
    </row>
    <row r="528" spans="1:14" x14ac:dyDescent="0.25">
      <c r="A528" s="1">
        <v>45443</v>
      </c>
      <c r="B528" t="s">
        <v>11</v>
      </c>
      <c r="C528" t="s">
        <v>12</v>
      </c>
      <c r="D528">
        <v>8459</v>
      </c>
      <c r="E528">
        <v>344</v>
      </c>
      <c r="F528">
        <v>8115</v>
      </c>
      <c r="G528" t="s">
        <v>13</v>
      </c>
      <c r="H528" t="s">
        <v>14</v>
      </c>
      <c r="I528" t="s">
        <v>29</v>
      </c>
      <c r="J528" s="2">
        <f>Table1[[#This Row],[Profit]]/Table1[[#This Row],[Sales]]*100</f>
        <v>95.933325452181109</v>
      </c>
      <c r="K528" t="str">
        <f>IF(Table1[[#This Row],[Sales]]&gt;=30000,"High", IF(Table1[[#This Row],[Sales]]&gt;=15000,"Medium","Low"))</f>
        <v>Low</v>
      </c>
      <c r="L528" t="str">
        <f>TEXT(Table1[[#This Row],[Order_Date]],"MMM")</f>
        <v>May</v>
      </c>
      <c r="M528" t="str">
        <f>IF(Table1[[#This Row],[Profit]]&gt;=10000,"Excellent",IF(Table1[[#This Row],[Profit]]&gt;5000,"Good","Low"))</f>
        <v>Good</v>
      </c>
      <c r="N528" t="str">
        <f>TEXT(Table1[[#This Row],[Order_Date]],"YYYY")</f>
        <v>2024</v>
      </c>
    </row>
    <row r="529" spans="1:14" x14ac:dyDescent="0.25">
      <c r="A529" s="1">
        <v>45802</v>
      </c>
      <c r="B529" t="s">
        <v>22</v>
      </c>
      <c r="C529" t="s">
        <v>36</v>
      </c>
      <c r="D529">
        <v>35938</v>
      </c>
      <c r="E529">
        <v>25504</v>
      </c>
      <c r="F529">
        <v>10434</v>
      </c>
      <c r="G529" t="s">
        <v>38</v>
      </c>
      <c r="H529" t="s">
        <v>45</v>
      </c>
      <c r="I529" t="s">
        <v>24</v>
      </c>
      <c r="J529" s="2">
        <f>Table1[[#This Row],[Profit]]/Table1[[#This Row],[Sales]]*100</f>
        <v>29.03333518837999</v>
      </c>
      <c r="K529" t="str">
        <f>IF(Table1[[#This Row],[Sales]]&gt;=30000,"High", IF(Table1[[#This Row],[Sales]]&gt;=15000,"Medium","Low"))</f>
        <v>High</v>
      </c>
      <c r="L529" t="str">
        <f>TEXT(Table1[[#This Row],[Order_Date]],"MMM")</f>
        <v>May</v>
      </c>
      <c r="M529" t="str">
        <f>IF(Table1[[#This Row],[Profit]]&gt;=10000,"Excellent",IF(Table1[[#This Row],[Profit]]&gt;5000,"Good","Low"))</f>
        <v>Excellent</v>
      </c>
      <c r="N529" t="str">
        <f>TEXT(Table1[[#This Row],[Order_Date]],"YYYY")</f>
        <v>2025</v>
      </c>
    </row>
    <row r="530" spans="1:14" x14ac:dyDescent="0.25">
      <c r="A530" s="1">
        <v>45891</v>
      </c>
      <c r="B530" t="s">
        <v>17</v>
      </c>
      <c r="C530" t="s">
        <v>12</v>
      </c>
      <c r="D530">
        <v>43702</v>
      </c>
      <c r="E530">
        <v>27901</v>
      </c>
      <c r="F530">
        <v>15801</v>
      </c>
      <c r="G530" t="s">
        <v>19</v>
      </c>
      <c r="H530" t="s">
        <v>45</v>
      </c>
      <c r="I530" t="s">
        <v>53</v>
      </c>
      <c r="J530" s="2">
        <f>Table1[[#This Row],[Profit]]/Table1[[#This Row],[Sales]]*100</f>
        <v>36.15623998901652</v>
      </c>
      <c r="K530" t="str">
        <f>IF(Table1[[#This Row],[Sales]]&gt;=30000,"High", IF(Table1[[#This Row],[Sales]]&gt;=15000,"Medium","Low"))</f>
        <v>High</v>
      </c>
      <c r="L530" t="str">
        <f>TEXT(Table1[[#This Row],[Order_Date]],"MMM")</f>
        <v>Aug</v>
      </c>
      <c r="M530" t="str">
        <f>IF(Table1[[#This Row],[Profit]]&gt;=10000,"Excellent",IF(Table1[[#This Row],[Profit]]&gt;5000,"Good","Low"))</f>
        <v>Excellent</v>
      </c>
      <c r="N530" t="str">
        <f>TEXT(Table1[[#This Row],[Order_Date]],"YYYY")</f>
        <v>2025</v>
      </c>
    </row>
    <row r="531" spans="1:14" x14ac:dyDescent="0.25">
      <c r="A531" s="1">
        <v>45316</v>
      </c>
      <c r="B531" t="s">
        <v>26</v>
      </c>
      <c r="C531" t="s">
        <v>41</v>
      </c>
      <c r="D531">
        <v>42402</v>
      </c>
      <c r="E531">
        <v>40572</v>
      </c>
      <c r="F531">
        <v>1830</v>
      </c>
      <c r="G531" t="s">
        <v>38</v>
      </c>
      <c r="H531" t="s">
        <v>20</v>
      </c>
      <c r="I531" t="s">
        <v>53</v>
      </c>
      <c r="J531" s="2">
        <f>Table1[[#This Row],[Profit]]/Table1[[#This Row],[Sales]]*100</f>
        <v>4.315834158766096</v>
      </c>
      <c r="K531" t="str">
        <f>IF(Table1[[#This Row],[Sales]]&gt;=30000,"High", IF(Table1[[#This Row],[Sales]]&gt;=15000,"Medium","Low"))</f>
        <v>High</v>
      </c>
      <c r="L531" t="str">
        <f>TEXT(Table1[[#This Row],[Order_Date]],"MMM")</f>
        <v>Jan</v>
      </c>
      <c r="M531" t="str">
        <f>IF(Table1[[#This Row],[Profit]]&gt;=10000,"Excellent",IF(Table1[[#This Row],[Profit]]&gt;5000,"Good","Low"))</f>
        <v>Low</v>
      </c>
      <c r="N531" t="str">
        <f>TEXT(Table1[[#This Row],[Order_Date]],"YYYY")</f>
        <v>2024</v>
      </c>
    </row>
    <row r="532" spans="1:14" x14ac:dyDescent="0.25">
      <c r="A532" s="1">
        <v>45539</v>
      </c>
      <c r="B532" t="s">
        <v>44</v>
      </c>
      <c r="C532" t="s">
        <v>33</v>
      </c>
      <c r="D532">
        <v>18427</v>
      </c>
      <c r="E532">
        <v>9038</v>
      </c>
      <c r="F532">
        <v>9389</v>
      </c>
      <c r="G532" t="s">
        <v>19</v>
      </c>
      <c r="H532" t="s">
        <v>63</v>
      </c>
      <c r="I532" t="s">
        <v>42</v>
      </c>
      <c r="J532" s="2">
        <f>Table1[[#This Row],[Profit]]/Table1[[#This Row],[Sales]]*100</f>
        <v>50.952406794377815</v>
      </c>
      <c r="K532" t="str">
        <f>IF(Table1[[#This Row],[Sales]]&gt;=30000,"High", IF(Table1[[#This Row],[Sales]]&gt;=15000,"Medium","Low"))</f>
        <v>Medium</v>
      </c>
      <c r="L532" t="str">
        <f>TEXT(Table1[[#This Row],[Order_Date]],"MMM")</f>
        <v>Sep</v>
      </c>
      <c r="M532" t="str">
        <f>IF(Table1[[#This Row],[Profit]]&gt;=10000,"Excellent",IF(Table1[[#This Row],[Profit]]&gt;5000,"Good","Low"))</f>
        <v>Good</v>
      </c>
      <c r="N532" t="str">
        <f>TEXT(Table1[[#This Row],[Order_Date]],"YYYY")</f>
        <v>2024</v>
      </c>
    </row>
    <row r="533" spans="1:14" x14ac:dyDescent="0.25">
      <c r="A533" s="1">
        <v>45621</v>
      </c>
      <c r="B533" t="s">
        <v>11</v>
      </c>
      <c r="C533" t="s">
        <v>18</v>
      </c>
      <c r="D533">
        <v>15468</v>
      </c>
      <c r="E533">
        <v>3895</v>
      </c>
      <c r="F533">
        <v>11573</v>
      </c>
      <c r="G533" t="s">
        <v>27</v>
      </c>
      <c r="H533" t="s">
        <v>63</v>
      </c>
      <c r="I533" t="s">
        <v>42</v>
      </c>
      <c r="J533" s="2">
        <f>Table1[[#This Row],[Profit]]/Table1[[#This Row],[Sales]]*100</f>
        <v>74.818981122317041</v>
      </c>
      <c r="K533" t="str">
        <f>IF(Table1[[#This Row],[Sales]]&gt;=30000,"High", IF(Table1[[#This Row],[Sales]]&gt;=15000,"Medium","Low"))</f>
        <v>Medium</v>
      </c>
      <c r="L533" t="str">
        <f>TEXT(Table1[[#This Row],[Order_Date]],"MMM")</f>
        <v>Nov</v>
      </c>
      <c r="M533" t="str">
        <f>IF(Table1[[#This Row],[Profit]]&gt;=10000,"Excellent",IF(Table1[[#This Row],[Profit]]&gt;5000,"Good","Low"))</f>
        <v>Excellent</v>
      </c>
      <c r="N533" t="str">
        <f>TEXT(Table1[[#This Row],[Order_Date]],"YYYY")</f>
        <v>2024</v>
      </c>
    </row>
    <row r="534" spans="1:14" x14ac:dyDescent="0.25">
      <c r="A534" s="1">
        <v>45334</v>
      </c>
      <c r="B534" t="s">
        <v>44</v>
      </c>
      <c r="C534" t="s">
        <v>33</v>
      </c>
      <c r="D534">
        <v>18907</v>
      </c>
      <c r="E534">
        <v>15704</v>
      </c>
      <c r="F534">
        <v>3203</v>
      </c>
      <c r="G534" t="s">
        <v>27</v>
      </c>
      <c r="H534" t="s">
        <v>60</v>
      </c>
      <c r="I534" t="s">
        <v>29</v>
      </c>
      <c r="J534" s="2">
        <f>Table1[[#This Row],[Profit]]/Table1[[#This Row],[Sales]]*100</f>
        <v>16.940815570952559</v>
      </c>
      <c r="K534" t="str">
        <f>IF(Table1[[#This Row],[Sales]]&gt;=30000,"High", IF(Table1[[#This Row],[Sales]]&gt;=15000,"Medium","Low"))</f>
        <v>Medium</v>
      </c>
      <c r="L534" t="str">
        <f>TEXT(Table1[[#This Row],[Order_Date]],"MMM")</f>
        <v>Feb</v>
      </c>
      <c r="M534" t="str">
        <f>IF(Table1[[#This Row],[Profit]]&gt;=10000,"Excellent",IF(Table1[[#This Row],[Profit]]&gt;5000,"Good","Low"))</f>
        <v>Low</v>
      </c>
      <c r="N534" t="str">
        <f>TEXT(Table1[[#This Row],[Order_Date]],"YYYY")</f>
        <v>2024</v>
      </c>
    </row>
    <row r="535" spans="1:14" x14ac:dyDescent="0.25">
      <c r="A535" s="1">
        <v>45606</v>
      </c>
      <c r="B535" t="s">
        <v>17</v>
      </c>
      <c r="C535" t="s">
        <v>18</v>
      </c>
      <c r="D535">
        <v>45361</v>
      </c>
      <c r="E535">
        <v>44624</v>
      </c>
      <c r="F535">
        <v>737</v>
      </c>
      <c r="G535" t="s">
        <v>27</v>
      </c>
      <c r="H535" t="s">
        <v>78</v>
      </c>
      <c r="I535" t="s">
        <v>53</v>
      </c>
      <c r="J535" s="2">
        <f>Table1[[#This Row],[Profit]]/Table1[[#This Row],[Sales]]*100</f>
        <v>1.6247437225810717</v>
      </c>
      <c r="K535" t="str">
        <f>IF(Table1[[#This Row],[Sales]]&gt;=30000,"High", IF(Table1[[#This Row],[Sales]]&gt;=15000,"Medium","Low"))</f>
        <v>High</v>
      </c>
      <c r="L535" t="str">
        <f>TEXT(Table1[[#This Row],[Order_Date]],"MMM")</f>
        <v>Nov</v>
      </c>
      <c r="M535" t="str">
        <f>IF(Table1[[#This Row],[Profit]]&gt;=10000,"Excellent",IF(Table1[[#This Row],[Profit]]&gt;5000,"Good","Low"))</f>
        <v>Low</v>
      </c>
      <c r="N535" t="str">
        <f>TEXT(Table1[[#This Row],[Order_Date]],"YYYY")</f>
        <v>2024</v>
      </c>
    </row>
    <row r="536" spans="1:14" x14ac:dyDescent="0.25">
      <c r="A536" s="1">
        <v>45251</v>
      </c>
      <c r="B536" t="s">
        <v>17</v>
      </c>
      <c r="C536" t="s">
        <v>36</v>
      </c>
      <c r="D536">
        <v>43583</v>
      </c>
      <c r="E536">
        <v>26083</v>
      </c>
      <c r="F536">
        <v>17500</v>
      </c>
      <c r="G536" t="s">
        <v>38</v>
      </c>
      <c r="H536" t="s">
        <v>23</v>
      </c>
      <c r="I536" t="s">
        <v>42</v>
      </c>
      <c r="J536" s="2">
        <f>Table1[[#This Row],[Profit]]/Table1[[#This Row],[Sales]]*100</f>
        <v>40.153270770713348</v>
      </c>
      <c r="K536" t="str">
        <f>IF(Table1[[#This Row],[Sales]]&gt;=30000,"High", IF(Table1[[#This Row],[Sales]]&gt;=15000,"Medium","Low"))</f>
        <v>High</v>
      </c>
      <c r="L536" t="str">
        <f>TEXT(Table1[[#This Row],[Order_Date]],"MMM")</f>
        <v>Nov</v>
      </c>
      <c r="M536" t="str">
        <f>IF(Table1[[#This Row],[Profit]]&gt;=10000,"Excellent",IF(Table1[[#This Row],[Profit]]&gt;5000,"Good","Low"))</f>
        <v>Excellent</v>
      </c>
      <c r="N536" t="str">
        <f>TEXT(Table1[[#This Row],[Order_Date]],"YYYY")</f>
        <v>2023</v>
      </c>
    </row>
    <row r="537" spans="1:14" x14ac:dyDescent="0.25">
      <c r="A537" s="1">
        <v>45327</v>
      </c>
      <c r="B537" t="s">
        <v>17</v>
      </c>
      <c r="C537" t="s">
        <v>33</v>
      </c>
      <c r="D537">
        <v>15127</v>
      </c>
      <c r="E537">
        <v>8565</v>
      </c>
      <c r="F537">
        <v>6562</v>
      </c>
      <c r="G537" t="s">
        <v>27</v>
      </c>
      <c r="H537" t="s">
        <v>14</v>
      </c>
      <c r="I537" t="s">
        <v>15</v>
      </c>
      <c r="J537" s="2">
        <f>Table1[[#This Row],[Profit]]/Table1[[#This Row],[Sales]]*100</f>
        <v>43.379387849540556</v>
      </c>
      <c r="K537" t="str">
        <f>IF(Table1[[#This Row],[Sales]]&gt;=30000,"High", IF(Table1[[#This Row],[Sales]]&gt;=15000,"Medium","Low"))</f>
        <v>Medium</v>
      </c>
      <c r="L537" t="str">
        <f>TEXT(Table1[[#This Row],[Order_Date]],"MMM")</f>
        <v>Feb</v>
      </c>
      <c r="M537" t="str">
        <f>IF(Table1[[#This Row],[Profit]]&gt;=10000,"Excellent",IF(Table1[[#This Row],[Profit]]&gt;5000,"Good","Low"))</f>
        <v>Good</v>
      </c>
      <c r="N537" t="str">
        <f>TEXT(Table1[[#This Row],[Order_Date]],"YYYY")</f>
        <v>2024</v>
      </c>
    </row>
    <row r="538" spans="1:14" x14ac:dyDescent="0.25">
      <c r="A538" s="1">
        <v>45629</v>
      </c>
      <c r="B538" t="s">
        <v>11</v>
      </c>
      <c r="C538" t="s">
        <v>41</v>
      </c>
      <c r="D538">
        <v>37183</v>
      </c>
      <c r="E538">
        <v>31497</v>
      </c>
      <c r="F538">
        <v>5686</v>
      </c>
      <c r="G538" t="s">
        <v>19</v>
      </c>
      <c r="H538" t="s">
        <v>63</v>
      </c>
      <c r="I538" t="s">
        <v>53</v>
      </c>
      <c r="J538" s="2">
        <f>Table1[[#This Row],[Profit]]/Table1[[#This Row],[Sales]]*100</f>
        <v>15.291934486189925</v>
      </c>
      <c r="K538" t="str">
        <f>IF(Table1[[#This Row],[Sales]]&gt;=30000,"High", IF(Table1[[#This Row],[Sales]]&gt;=15000,"Medium","Low"))</f>
        <v>High</v>
      </c>
      <c r="L538" t="str">
        <f>TEXT(Table1[[#This Row],[Order_Date]],"MMM")</f>
        <v>Dec</v>
      </c>
      <c r="M538" t="str">
        <f>IF(Table1[[#This Row],[Profit]]&gt;=10000,"Excellent",IF(Table1[[#This Row],[Profit]]&gt;5000,"Good","Low"))</f>
        <v>Good</v>
      </c>
      <c r="N538" t="str">
        <f>TEXT(Table1[[#This Row],[Order_Date]],"YYYY")</f>
        <v>2024</v>
      </c>
    </row>
    <row r="539" spans="1:14" x14ac:dyDescent="0.25">
      <c r="A539" s="1">
        <v>45597</v>
      </c>
      <c r="B539" t="s">
        <v>11</v>
      </c>
      <c r="C539" t="s">
        <v>18</v>
      </c>
      <c r="D539">
        <v>49213</v>
      </c>
      <c r="E539">
        <v>46632</v>
      </c>
      <c r="F539">
        <v>2581</v>
      </c>
      <c r="G539" t="s">
        <v>13</v>
      </c>
      <c r="H539" t="s">
        <v>45</v>
      </c>
      <c r="I539" t="s">
        <v>15</v>
      </c>
      <c r="J539" s="2">
        <f>Table1[[#This Row],[Profit]]/Table1[[#This Row],[Sales]]*100</f>
        <v>5.2445492044784912</v>
      </c>
      <c r="K539" t="str">
        <f>IF(Table1[[#This Row],[Sales]]&gt;=30000,"High", IF(Table1[[#This Row],[Sales]]&gt;=15000,"Medium","Low"))</f>
        <v>High</v>
      </c>
      <c r="L539" t="str">
        <f>TEXT(Table1[[#This Row],[Order_Date]],"MMM")</f>
        <v>Nov</v>
      </c>
      <c r="M539" t="str">
        <f>IF(Table1[[#This Row],[Profit]]&gt;=10000,"Excellent",IF(Table1[[#This Row],[Profit]]&gt;5000,"Good","Low"))</f>
        <v>Low</v>
      </c>
      <c r="N539" t="str">
        <f>TEXT(Table1[[#This Row],[Order_Date]],"YYYY")</f>
        <v>2024</v>
      </c>
    </row>
    <row r="540" spans="1:14" x14ac:dyDescent="0.25">
      <c r="A540" s="1">
        <v>45344</v>
      </c>
      <c r="B540" t="s">
        <v>11</v>
      </c>
      <c r="C540" t="s">
        <v>33</v>
      </c>
      <c r="D540">
        <v>31265</v>
      </c>
      <c r="E540">
        <v>24870</v>
      </c>
      <c r="F540">
        <v>6395</v>
      </c>
      <c r="G540" t="s">
        <v>27</v>
      </c>
      <c r="H540" t="s">
        <v>45</v>
      </c>
      <c r="I540" t="s">
        <v>53</v>
      </c>
      <c r="J540" s="2">
        <f>Table1[[#This Row],[Profit]]/Table1[[#This Row],[Sales]]*100</f>
        <v>20.45418199264353</v>
      </c>
      <c r="K540" t="str">
        <f>IF(Table1[[#This Row],[Sales]]&gt;=30000,"High", IF(Table1[[#This Row],[Sales]]&gt;=15000,"Medium","Low"))</f>
        <v>High</v>
      </c>
      <c r="L540" t="str">
        <f>TEXT(Table1[[#This Row],[Order_Date]],"MMM")</f>
        <v>Feb</v>
      </c>
      <c r="M540" t="str">
        <f>IF(Table1[[#This Row],[Profit]]&gt;=10000,"Excellent",IF(Table1[[#This Row],[Profit]]&gt;5000,"Good","Low"))</f>
        <v>Good</v>
      </c>
      <c r="N540" t="str">
        <f>TEXT(Table1[[#This Row],[Order_Date]],"YYYY")</f>
        <v>2024</v>
      </c>
    </row>
    <row r="541" spans="1:14" x14ac:dyDescent="0.25">
      <c r="A541" s="1">
        <v>45481</v>
      </c>
      <c r="B541" t="s">
        <v>17</v>
      </c>
      <c r="C541" t="s">
        <v>41</v>
      </c>
      <c r="D541">
        <v>28039</v>
      </c>
      <c r="E541">
        <v>25517</v>
      </c>
      <c r="F541">
        <v>2522</v>
      </c>
      <c r="G541" t="s">
        <v>27</v>
      </c>
      <c r="H541" t="s">
        <v>23</v>
      </c>
      <c r="I541" t="s">
        <v>24</v>
      </c>
      <c r="J541" s="2">
        <f>Table1[[#This Row],[Profit]]/Table1[[#This Row],[Sales]]*100</f>
        <v>8.9946146438888697</v>
      </c>
      <c r="K541" t="str">
        <f>IF(Table1[[#This Row],[Sales]]&gt;=30000,"High", IF(Table1[[#This Row],[Sales]]&gt;=15000,"Medium","Low"))</f>
        <v>Medium</v>
      </c>
      <c r="L541" t="str">
        <f>TEXT(Table1[[#This Row],[Order_Date]],"MMM")</f>
        <v>Jul</v>
      </c>
      <c r="M541" t="str">
        <f>IF(Table1[[#This Row],[Profit]]&gt;=10000,"Excellent",IF(Table1[[#This Row],[Profit]]&gt;5000,"Good","Low"))</f>
        <v>Low</v>
      </c>
      <c r="N541" t="str">
        <f>TEXT(Table1[[#This Row],[Order_Date]],"YYYY")</f>
        <v>2024</v>
      </c>
    </row>
    <row r="542" spans="1:14" x14ac:dyDescent="0.25">
      <c r="A542" s="1">
        <v>45735</v>
      </c>
      <c r="B542" t="s">
        <v>26</v>
      </c>
      <c r="C542" t="s">
        <v>41</v>
      </c>
      <c r="D542">
        <v>15316</v>
      </c>
      <c r="E542">
        <v>13205</v>
      </c>
      <c r="F542">
        <v>2111</v>
      </c>
      <c r="G542" t="s">
        <v>13</v>
      </c>
      <c r="H542" t="s">
        <v>31</v>
      </c>
      <c r="I542" t="s">
        <v>29</v>
      </c>
      <c r="J542" s="2">
        <f>Table1[[#This Row],[Profit]]/Table1[[#This Row],[Sales]]*100</f>
        <v>13.782972055366937</v>
      </c>
      <c r="K542" t="str">
        <f>IF(Table1[[#This Row],[Sales]]&gt;=30000,"High", IF(Table1[[#This Row],[Sales]]&gt;=15000,"Medium","Low"))</f>
        <v>Medium</v>
      </c>
      <c r="L542" t="str">
        <f>TEXT(Table1[[#This Row],[Order_Date]],"MMM")</f>
        <v>Mar</v>
      </c>
      <c r="M542" t="str">
        <f>IF(Table1[[#This Row],[Profit]]&gt;=10000,"Excellent",IF(Table1[[#This Row],[Profit]]&gt;5000,"Good","Low"))</f>
        <v>Low</v>
      </c>
      <c r="N542" t="str">
        <f>TEXT(Table1[[#This Row],[Order_Date]],"YYYY")</f>
        <v>2025</v>
      </c>
    </row>
    <row r="543" spans="1:14" x14ac:dyDescent="0.25">
      <c r="A543" s="1">
        <v>45660</v>
      </c>
      <c r="B543" t="s">
        <v>44</v>
      </c>
      <c r="C543" t="s">
        <v>12</v>
      </c>
      <c r="D543">
        <v>44292</v>
      </c>
      <c r="E543">
        <v>32952</v>
      </c>
      <c r="F543">
        <v>11340</v>
      </c>
      <c r="G543" t="s">
        <v>38</v>
      </c>
      <c r="H543" t="s">
        <v>45</v>
      </c>
      <c r="I543" t="s">
        <v>42</v>
      </c>
      <c r="J543" s="2">
        <f>Table1[[#This Row],[Profit]]/Table1[[#This Row],[Sales]]*100</f>
        <v>25.602817664589544</v>
      </c>
      <c r="K543" t="str">
        <f>IF(Table1[[#This Row],[Sales]]&gt;=30000,"High", IF(Table1[[#This Row],[Sales]]&gt;=15000,"Medium","Low"))</f>
        <v>High</v>
      </c>
      <c r="L543" t="str">
        <f>TEXT(Table1[[#This Row],[Order_Date]],"MMM")</f>
        <v>Jan</v>
      </c>
      <c r="M543" t="str">
        <f>IF(Table1[[#This Row],[Profit]]&gt;=10000,"Excellent",IF(Table1[[#This Row],[Profit]]&gt;5000,"Good","Low"))</f>
        <v>Excellent</v>
      </c>
      <c r="N543" t="str">
        <f>TEXT(Table1[[#This Row],[Order_Date]],"YYYY")</f>
        <v>2025</v>
      </c>
    </row>
    <row r="544" spans="1:14" x14ac:dyDescent="0.25">
      <c r="A544" s="1">
        <v>46157</v>
      </c>
      <c r="B544" t="s">
        <v>11</v>
      </c>
      <c r="C544" t="s">
        <v>12</v>
      </c>
      <c r="D544">
        <v>35700</v>
      </c>
      <c r="E544">
        <v>25394</v>
      </c>
      <c r="F544">
        <v>10306</v>
      </c>
      <c r="G544" t="s">
        <v>38</v>
      </c>
      <c r="H544" t="s">
        <v>14</v>
      </c>
      <c r="I544" t="s">
        <v>29</v>
      </c>
      <c r="J544" s="2">
        <f>Table1[[#This Row],[Profit]]/Table1[[#This Row],[Sales]]*100</f>
        <v>28.868347338935575</v>
      </c>
      <c r="K544" t="str">
        <f>IF(Table1[[#This Row],[Sales]]&gt;=30000,"High", IF(Table1[[#This Row],[Sales]]&gt;=15000,"Medium","Low"))</f>
        <v>High</v>
      </c>
      <c r="L544" t="str">
        <f>TEXT(Table1[[#This Row],[Order_Date]],"MMM")</f>
        <v>May</v>
      </c>
      <c r="M544" t="str">
        <f>IF(Table1[[#This Row],[Profit]]&gt;=10000,"Excellent",IF(Table1[[#This Row],[Profit]]&gt;5000,"Good","Low"))</f>
        <v>Excellent</v>
      </c>
      <c r="N544" t="str">
        <f>TEXT(Table1[[#This Row],[Order_Date]],"YYYY")</f>
        <v>2026</v>
      </c>
    </row>
    <row r="545" spans="1:14" x14ac:dyDescent="0.25">
      <c r="A545" s="1">
        <v>45917</v>
      </c>
      <c r="B545" t="s">
        <v>11</v>
      </c>
      <c r="C545" t="s">
        <v>36</v>
      </c>
      <c r="D545">
        <v>43359</v>
      </c>
      <c r="E545">
        <v>25064</v>
      </c>
      <c r="F545">
        <v>18295</v>
      </c>
      <c r="G545" t="s">
        <v>27</v>
      </c>
      <c r="H545" t="s">
        <v>20</v>
      </c>
      <c r="I545" t="s">
        <v>24</v>
      </c>
      <c r="J545" s="2">
        <f>Table1[[#This Row],[Profit]]/Table1[[#This Row],[Sales]]*100</f>
        <v>42.194238797020226</v>
      </c>
      <c r="K545" t="str">
        <f>IF(Table1[[#This Row],[Sales]]&gt;=30000,"High", IF(Table1[[#This Row],[Sales]]&gt;=15000,"Medium","Low"))</f>
        <v>High</v>
      </c>
      <c r="L545" t="str">
        <f>TEXT(Table1[[#This Row],[Order_Date]],"MMM")</f>
        <v>Sep</v>
      </c>
      <c r="M545" t="str">
        <f>IF(Table1[[#This Row],[Profit]]&gt;=10000,"Excellent",IF(Table1[[#This Row],[Profit]]&gt;5000,"Good","Low"))</f>
        <v>Excellent</v>
      </c>
      <c r="N545" t="str">
        <f>TEXT(Table1[[#This Row],[Order_Date]],"YYYY")</f>
        <v>2025</v>
      </c>
    </row>
    <row r="546" spans="1:14" x14ac:dyDescent="0.25">
      <c r="A546" s="1">
        <v>46201</v>
      </c>
      <c r="B546" t="s">
        <v>22</v>
      </c>
      <c r="C546" t="s">
        <v>36</v>
      </c>
      <c r="D546">
        <v>42823</v>
      </c>
      <c r="E546">
        <v>38066</v>
      </c>
      <c r="F546">
        <v>4757</v>
      </c>
      <c r="G546" t="s">
        <v>38</v>
      </c>
      <c r="H546" t="s">
        <v>45</v>
      </c>
      <c r="I546" t="s">
        <v>29</v>
      </c>
      <c r="J546" s="2">
        <f>Table1[[#This Row],[Profit]]/Table1[[#This Row],[Sales]]*100</f>
        <v>11.108516451439646</v>
      </c>
      <c r="K546" t="str">
        <f>IF(Table1[[#This Row],[Sales]]&gt;=30000,"High", IF(Table1[[#This Row],[Sales]]&gt;=15000,"Medium","Low"))</f>
        <v>High</v>
      </c>
      <c r="L546" t="str">
        <f>TEXT(Table1[[#This Row],[Order_Date]],"MMM")</f>
        <v>Jun</v>
      </c>
      <c r="M546" t="str">
        <f>IF(Table1[[#This Row],[Profit]]&gt;=10000,"Excellent",IF(Table1[[#This Row],[Profit]]&gt;5000,"Good","Low"))</f>
        <v>Low</v>
      </c>
      <c r="N546" t="str">
        <f>TEXT(Table1[[#This Row],[Order_Date]],"YYYY")</f>
        <v>2026</v>
      </c>
    </row>
    <row r="547" spans="1:14" x14ac:dyDescent="0.25">
      <c r="A547" s="1">
        <v>45793</v>
      </c>
      <c r="B547" t="s">
        <v>44</v>
      </c>
      <c r="C547" t="s">
        <v>12</v>
      </c>
      <c r="D547">
        <v>12168</v>
      </c>
      <c r="E547">
        <v>10070</v>
      </c>
      <c r="F547">
        <v>2098</v>
      </c>
      <c r="G547" t="s">
        <v>13</v>
      </c>
      <c r="H547" t="s">
        <v>60</v>
      </c>
      <c r="I547" t="s">
        <v>24</v>
      </c>
      <c r="J547" s="2">
        <f>Table1[[#This Row],[Profit]]/Table1[[#This Row],[Sales]]*100</f>
        <v>17.241946088099937</v>
      </c>
      <c r="K547" t="str">
        <f>IF(Table1[[#This Row],[Sales]]&gt;=30000,"High", IF(Table1[[#This Row],[Sales]]&gt;=15000,"Medium","Low"))</f>
        <v>Low</v>
      </c>
      <c r="L547" t="str">
        <f>TEXT(Table1[[#This Row],[Order_Date]],"MMM")</f>
        <v>May</v>
      </c>
      <c r="M547" t="str">
        <f>IF(Table1[[#This Row],[Profit]]&gt;=10000,"Excellent",IF(Table1[[#This Row],[Profit]]&gt;5000,"Good","Low"))</f>
        <v>Low</v>
      </c>
      <c r="N547" t="str">
        <f>TEXT(Table1[[#This Row],[Order_Date]],"YYYY")</f>
        <v>2025</v>
      </c>
    </row>
    <row r="548" spans="1:14" x14ac:dyDescent="0.25">
      <c r="A548" s="1">
        <v>45318</v>
      </c>
      <c r="B548" t="s">
        <v>11</v>
      </c>
      <c r="C548" t="s">
        <v>33</v>
      </c>
      <c r="D548">
        <v>26636</v>
      </c>
      <c r="E548">
        <v>25036</v>
      </c>
      <c r="F548">
        <v>1600</v>
      </c>
      <c r="G548" t="s">
        <v>13</v>
      </c>
      <c r="H548" t="s">
        <v>20</v>
      </c>
      <c r="I548" t="s">
        <v>42</v>
      </c>
      <c r="J548" s="2">
        <f>Table1[[#This Row],[Profit]]/Table1[[#This Row],[Sales]]*100</f>
        <v>6.0069079441357562</v>
      </c>
      <c r="K548" t="str">
        <f>IF(Table1[[#This Row],[Sales]]&gt;=30000,"High", IF(Table1[[#This Row],[Sales]]&gt;=15000,"Medium","Low"))</f>
        <v>Medium</v>
      </c>
      <c r="L548" t="str">
        <f>TEXT(Table1[[#This Row],[Order_Date]],"MMM")</f>
        <v>Jan</v>
      </c>
      <c r="M548" t="str">
        <f>IF(Table1[[#This Row],[Profit]]&gt;=10000,"Excellent",IF(Table1[[#This Row],[Profit]]&gt;5000,"Good","Low"))</f>
        <v>Low</v>
      </c>
      <c r="N548" t="str">
        <f>TEXT(Table1[[#This Row],[Order_Date]],"YYYY")</f>
        <v>2024</v>
      </c>
    </row>
    <row r="549" spans="1:14" x14ac:dyDescent="0.25">
      <c r="A549" s="1">
        <v>45630</v>
      </c>
      <c r="B549" t="s">
        <v>26</v>
      </c>
      <c r="C549" t="s">
        <v>18</v>
      </c>
      <c r="D549">
        <v>48791</v>
      </c>
      <c r="E549">
        <v>41455</v>
      </c>
      <c r="F549">
        <v>7336</v>
      </c>
      <c r="G549" t="s">
        <v>27</v>
      </c>
      <c r="H549" t="s">
        <v>28</v>
      </c>
      <c r="I549" t="s">
        <v>53</v>
      </c>
      <c r="J549" s="2">
        <f>Table1[[#This Row],[Profit]]/Table1[[#This Row],[Sales]]*100</f>
        <v>15.035559836855159</v>
      </c>
      <c r="K549" t="str">
        <f>IF(Table1[[#This Row],[Sales]]&gt;=30000,"High", IF(Table1[[#This Row],[Sales]]&gt;=15000,"Medium","Low"))</f>
        <v>High</v>
      </c>
      <c r="L549" t="str">
        <f>TEXT(Table1[[#This Row],[Order_Date]],"MMM")</f>
        <v>Dec</v>
      </c>
      <c r="M549" t="str">
        <f>IF(Table1[[#This Row],[Profit]]&gt;=10000,"Excellent",IF(Table1[[#This Row],[Profit]]&gt;5000,"Good","Low"))</f>
        <v>Good</v>
      </c>
      <c r="N549" t="str">
        <f>TEXT(Table1[[#This Row],[Order_Date]],"YYYY")</f>
        <v>2024</v>
      </c>
    </row>
    <row r="550" spans="1:14" x14ac:dyDescent="0.25">
      <c r="A550" s="1">
        <v>45395</v>
      </c>
      <c r="B550" t="s">
        <v>11</v>
      </c>
      <c r="C550" t="s">
        <v>36</v>
      </c>
      <c r="D550">
        <v>20796</v>
      </c>
      <c r="E550">
        <v>16964</v>
      </c>
      <c r="F550">
        <v>3832</v>
      </c>
      <c r="G550" t="s">
        <v>19</v>
      </c>
      <c r="H550" t="s">
        <v>14</v>
      </c>
      <c r="I550" t="s">
        <v>29</v>
      </c>
      <c r="J550" s="2">
        <f>Table1[[#This Row],[Profit]]/Table1[[#This Row],[Sales]]*100</f>
        <v>18.426620503943067</v>
      </c>
      <c r="K550" t="str">
        <f>IF(Table1[[#This Row],[Sales]]&gt;=30000,"High", IF(Table1[[#This Row],[Sales]]&gt;=15000,"Medium","Low"))</f>
        <v>Medium</v>
      </c>
      <c r="L550" t="str">
        <f>TEXT(Table1[[#This Row],[Order_Date]],"MMM")</f>
        <v>Apr</v>
      </c>
      <c r="M550" t="str">
        <f>IF(Table1[[#This Row],[Profit]]&gt;=10000,"Excellent",IF(Table1[[#This Row],[Profit]]&gt;5000,"Good","Low"))</f>
        <v>Low</v>
      </c>
      <c r="N550" t="str">
        <f>TEXT(Table1[[#This Row],[Order_Date]],"YYYY")</f>
        <v>2024</v>
      </c>
    </row>
    <row r="551" spans="1:14" x14ac:dyDescent="0.25">
      <c r="A551" s="1">
        <v>46011</v>
      </c>
      <c r="B551" t="s">
        <v>44</v>
      </c>
      <c r="C551" t="s">
        <v>18</v>
      </c>
      <c r="D551">
        <v>12176</v>
      </c>
      <c r="E551">
        <v>7290</v>
      </c>
      <c r="F551">
        <v>4886</v>
      </c>
      <c r="G551" t="s">
        <v>13</v>
      </c>
      <c r="H551" t="s">
        <v>63</v>
      </c>
      <c r="I551" t="s">
        <v>53</v>
      </c>
      <c r="J551" s="2">
        <f>Table1[[#This Row],[Profit]]/Table1[[#This Row],[Sales]]*100</f>
        <v>40.128120893561103</v>
      </c>
      <c r="K551" t="str">
        <f>IF(Table1[[#This Row],[Sales]]&gt;=30000,"High", IF(Table1[[#This Row],[Sales]]&gt;=15000,"Medium","Low"))</f>
        <v>Low</v>
      </c>
      <c r="L551" t="str">
        <f>TEXT(Table1[[#This Row],[Order_Date]],"MMM")</f>
        <v>Dec</v>
      </c>
      <c r="M551" t="str">
        <f>IF(Table1[[#This Row],[Profit]]&gt;=10000,"Excellent",IF(Table1[[#This Row],[Profit]]&gt;5000,"Good","Low"))</f>
        <v>Low</v>
      </c>
      <c r="N551" t="str">
        <f>TEXT(Table1[[#This Row],[Order_Date]],"YYYY")</f>
        <v>2025</v>
      </c>
    </row>
    <row r="552" spans="1:14" x14ac:dyDescent="0.25">
      <c r="A552" s="1">
        <v>45800</v>
      </c>
      <c r="B552" t="s">
        <v>22</v>
      </c>
      <c r="C552" t="s">
        <v>36</v>
      </c>
      <c r="D552">
        <v>19012</v>
      </c>
      <c r="E552">
        <v>1201</v>
      </c>
      <c r="F552">
        <v>17811</v>
      </c>
      <c r="G552" t="s">
        <v>19</v>
      </c>
      <c r="H552" t="s">
        <v>28</v>
      </c>
      <c r="I552" t="s">
        <v>15</v>
      </c>
      <c r="J552" s="2">
        <f>Table1[[#This Row],[Profit]]/Table1[[#This Row],[Sales]]*100</f>
        <v>93.682937092362721</v>
      </c>
      <c r="K552" t="str">
        <f>IF(Table1[[#This Row],[Sales]]&gt;=30000,"High", IF(Table1[[#This Row],[Sales]]&gt;=15000,"Medium","Low"))</f>
        <v>Medium</v>
      </c>
      <c r="L552" t="str">
        <f>TEXT(Table1[[#This Row],[Order_Date]],"MMM")</f>
        <v>May</v>
      </c>
      <c r="M552" t="str">
        <f>IF(Table1[[#This Row],[Profit]]&gt;=10000,"Excellent",IF(Table1[[#This Row],[Profit]]&gt;5000,"Good","Low"))</f>
        <v>Excellent</v>
      </c>
      <c r="N552" t="str">
        <f>TEXT(Table1[[#This Row],[Order_Date]],"YYYY")</f>
        <v>2025</v>
      </c>
    </row>
    <row r="553" spans="1:14" x14ac:dyDescent="0.25">
      <c r="A553" s="1">
        <v>45472</v>
      </c>
      <c r="B553" t="s">
        <v>11</v>
      </c>
      <c r="C553" t="s">
        <v>36</v>
      </c>
      <c r="D553">
        <v>25365</v>
      </c>
      <c r="E553">
        <v>12696</v>
      </c>
      <c r="F553">
        <v>12669</v>
      </c>
      <c r="G553" t="s">
        <v>19</v>
      </c>
      <c r="H553" t="s">
        <v>31</v>
      </c>
      <c r="I553" t="s">
        <v>29</v>
      </c>
      <c r="J553" s="2">
        <f>Table1[[#This Row],[Profit]]/Table1[[#This Row],[Sales]]*100</f>
        <v>49.946777054997042</v>
      </c>
      <c r="K553" t="str">
        <f>IF(Table1[[#This Row],[Sales]]&gt;=30000,"High", IF(Table1[[#This Row],[Sales]]&gt;=15000,"Medium","Low"))</f>
        <v>Medium</v>
      </c>
      <c r="L553" t="str">
        <f>TEXT(Table1[[#This Row],[Order_Date]],"MMM")</f>
        <v>Jun</v>
      </c>
      <c r="M553" t="str">
        <f>IF(Table1[[#This Row],[Profit]]&gt;=10000,"Excellent",IF(Table1[[#This Row],[Profit]]&gt;5000,"Good","Low"))</f>
        <v>Excellent</v>
      </c>
      <c r="N553" t="str">
        <f>TEXT(Table1[[#This Row],[Order_Date]],"YYYY")</f>
        <v>2024</v>
      </c>
    </row>
    <row r="554" spans="1:14" x14ac:dyDescent="0.25">
      <c r="A554" s="1">
        <v>45832</v>
      </c>
      <c r="B554" t="s">
        <v>11</v>
      </c>
      <c r="C554" t="s">
        <v>41</v>
      </c>
      <c r="D554">
        <v>6503</v>
      </c>
      <c r="E554">
        <v>3570</v>
      </c>
      <c r="F554">
        <v>2933</v>
      </c>
      <c r="G554" t="s">
        <v>13</v>
      </c>
      <c r="H554" t="s">
        <v>14</v>
      </c>
      <c r="I554" t="s">
        <v>42</v>
      </c>
      <c r="J554" s="2">
        <f>Table1[[#This Row],[Profit]]/Table1[[#This Row],[Sales]]*100</f>
        <v>45.102260495156081</v>
      </c>
      <c r="K554" t="str">
        <f>IF(Table1[[#This Row],[Sales]]&gt;=30000,"High", IF(Table1[[#This Row],[Sales]]&gt;=15000,"Medium","Low"))</f>
        <v>Low</v>
      </c>
      <c r="L554" t="str">
        <f>TEXT(Table1[[#This Row],[Order_Date]],"MMM")</f>
        <v>Jun</v>
      </c>
      <c r="M554" t="str">
        <f>IF(Table1[[#This Row],[Profit]]&gt;=10000,"Excellent",IF(Table1[[#This Row],[Profit]]&gt;5000,"Good","Low"))</f>
        <v>Low</v>
      </c>
      <c r="N554" t="str">
        <f>TEXT(Table1[[#This Row],[Order_Date]],"YYYY")</f>
        <v>2025</v>
      </c>
    </row>
    <row r="555" spans="1:14" x14ac:dyDescent="0.25">
      <c r="A555" s="1">
        <v>45366</v>
      </c>
      <c r="B555" t="s">
        <v>26</v>
      </c>
      <c r="C555" t="s">
        <v>18</v>
      </c>
      <c r="D555">
        <v>29632</v>
      </c>
      <c r="E555">
        <v>19658</v>
      </c>
      <c r="F555">
        <v>9974</v>
      </c>
      <c r="G555" t="s">
        <v>27</v>
      </c>
      <c r="H555" t="s">
        <v>14</v>
      </c>
      <c r="I555" t="s">
        <v>24</v>
      </c>
      <c r="J555" s="2">
        <f>Table1[[#This Row],[Profit]]/Table1[[#This Row],[Sales]]*100</f>
        <v>33.659557235421168</v>
      </c>
      <c r="K555" t="str">
        <f>IF(Table1[[#This Row],[Sales]]&gt;=30000,"High", IF(Table1[[#This Row],[Sales]]&gt;=15000,"Medium","Low"))</f>
        <v>Medium</v>
      </c>
      <c r="L555" t="str">
        <f>TEXT(Table1[[#This Row],[Order_Date]],"MMM")</f>
        <v>Mar</v>
      </c>
      <c r="M555" t="str">
        <f>IF(Table1[[#This Row],[Profit]]&gt;=10000,"Excellent",IF(Table1[[#This Row],[Profit]]&gt;5000,"Good","Low"))</f>
        <v>Good</v>
      </c>
      <c r="N555" t="str">
        <f>TEXT(Table1[[#This Row],[Order_Date]],"YYYY")</f>
        <v>2024</v>
      </c>
    </row>
    <row r="556" spans="1:14" x14ac:dyDescent="0.25">
      <c r="A556" s="1">
        <v>45714</v>
      </c>
      <c r="B556" t="s">
        <v>17</v>
      </c>
      <c r="C556" t="s">
        <v>36</v>
      </c>
      <c r="D556">
        <v>49429</v>
      </c>
      <c r="E556">
        <v>35370</v>
      </c>
      <c r="F556">
        <v>14059</v>
      </c>
      <c r="G556" t="s">
        <v>13</v>
      </c>
      <c r="H556" t="s">
        <v>45</v>
      </c>
      <c r="I556" t="s">
        <v>53</v>
      </c>
      <c r="J556" s="2">
        <f>Table1[[#This Row],[Profit]]/Table1[[#This Row],[Sales]]*100</f>
        <v>28.442816969795061</v>
      </c>
      <c r="K556" t="str">
        <f>IF(Table1[[#This Row],[Sales]]&gt;=30000,"High", IF(Table1[[#This Row],[Sales]]&gt;=15000,"Medium","Low"))</f>
        <v>High</v>
      </c>
      <c r="L556" t="str">
        <f>TEXT(Table1[[#This Row],[Order_Date]],"MMM")</f>
        <v>Feb</v>
      </c>
      <c r="M556" t="str">
        <f>IF(Table1[[#This Row],[Profit]]&gt;=10000,"Excellent",IF(Table1[[#This Row],[Profit]]&gt;5000,"Good","Low"))</f>
        <v>Excellent</v>
      </c>
      <c r="N556" t="str">
        <f>TEXT(Table1[[#This Row],[Order_Date]],"YYYY")</f>
        <v>2025</v>
      </c>
    </row>
    <row r="557" spans="1:14" x14ac:dyDescent="0.25">
      <c r="A557" s="1">
        <v>45473</v>
      </c>
      <c r="B557" t="s">
        <v>26</v>
      </c>
      <c r="C557" t="s">
        <v>12</v>
      </c>
      <c r="D557">
        <v>10186</v>
      </c>
      <c r="E557">
        <v>6399</v>
      </c>
      <c r="F557">
        <v>3787</v>
      </c>
      <c r="G557" t="s">
        <v>13</v>
      </c>
      <c r="H557" t="s">
        <v>20</v>
      </c>
      <c r="I557" t="s">
        <v>29</v>
      </c>
      <c r="J557" s="2">
        <f>Table1[[#This Row],[Profit]]/Table1[[#This Row],[Sales]]*100</f>
        <v>37.17848026703318</v>
      </c>
      <c r="K557" t="str">
        <f>IF(Table1[[#This Row],[Sales]]&gt;=30000,"High", IF(Table1[[#This Row],[Sales]]&gt;=15000,"Medium","Low"))</f>
        <v>Low</v>
      </c>
      <c r="L557" t="str">
        <f>TEXT(Table1[[#This Row],[Order_Date]],"MMM")</f>
        <v>Jun</v>
      </c>
      <c r="M557" t="str">
        <f>IF(Table1[[#This Row],[Profit]]&gt;=10000,"Excellent",IF(Table1[[#This Row],[Profit]]&gt;5000,"Good","Low"))</f>
        <v>Low</v>
      </c>
      <c r="N557" t="str">
        <f>TEXT(Table1[[#This Row],[Order_Date]],"YYYY")</f>
        <v>2024</v>
      </c>
    </row>
    <row r="558" spans="1:14" x14ac:dyDescent="0.25">
      <c r="A558" s="1">
        <v>45255</v>
      </c>
      <c r="B558" t="s">
        <v>11</v>
      </c>
      <c r="C558" t="s">
        <v>36</v>
      </c>
      <c r="D558">
        <v>38366</v>
      </c>
      <c r="E558">
        <v>28310</v>
      </c>
      <c r="F558">
        <v>10056</v>
      </c>
      <c r="G558" t="s">
        <v>27</v>
      </c>
      <c r="H558" t="s">
        <v>34</v>
      </c>
      <c r="I558" t="s">
        <v>29</v>
      </c>
      <c r="J558" s="2">
        <f>Table1[[#This Row],[Profit]]/Table1[[#This Row],[Sales]]*100</f>
        <v>26.210707397174581</v>
      </c>
      <c r="K558" t="str">
        <f>IF(Table1[[#This Row],[Sales]]&gt;=30000,"High", IF(Table1[[#This Row],[Sales]]&gt;=15000,"Medium","Low"))</f>
        <v>High</v>
      </c>
      <c r="L558" t="str">
        <f>TEXT(Table1[[#This Row],[Order_Date]],"MMM")</f>
        <v>Nov</v>
      </c>
      <c r="M558" t="str">
        <f>IF(Table1[[#This Row],[Profit]]&gt;=10000,"Excellent",IF(Table1[[#This Row],[Profit]]&gt;5000,"Good","Low"))</f>
        <v>Excellent</v>
      </c>
      <c r="N558" t="str">
        <f>TEXT(Table1[[#This Row],[Order_Date]],"YYYY")</f>
        <v>2023</v>
      </c>
    </row>
    <row r="559" spans="1:14" x14ac:dyDescent="0.25">
      <c r="A559" s="1">
        <v>45532</v>
      </c>
      <c r="B559" t="s">
        <v>17</v>
      </c>
      <c r="C559" t="s">
        <v>33</v>
      </c>
      <c r="D559">
        <v>41646</v>
      </c>
      <c r="E559">
        <v>23331</v>
      </c>
      <c r="F559">
        <v>18315</v>
      </c>
      <c r="G559" t="s">
        <v>19</v>
      </c>
      <c r="H559" t="s">
        <v>34</v>
      </c>
      <c r="I559" t="s">
        <v>24</v>
      </c>
      <c r="J559" s="2">
        <f>Table1[[#This Row],[Profit]]/Table1[[#This Row],[Sales]]*100</f>
        <v>43.977812995245642</v>
      </c>
      <c r="K559" t="str">
        <f>IF(Table1[[#This Row],[Sales]]&gt;=30000,"High", IF(Table1[[#This Row],[Sales]]&gt;=15000,"Medium","Low"))</f>
        <v>High</v>
      </c>
      <c r="L559" t="str">
        <f>TEXT(Table1[[#This Row],[Order_Date]],"MMM")</f>
        <v>Aug</v>
      </c>
      <c r="M559" t="str">
        <f>IF(Table1[[#This Row],[Profit]]&gt;=10000,"Excellent",IF(Table1[[#This Row],[Profit]]&gt;5000,"Good","Low"))</f>
        <v>Excellent</v>
      </c>
      <c r="N559" t="str">
        <f>TEXT(Table1[[#This Row],[Order_Date]],"YYYY")</f>
        <v>2024</v>
      </c>
    </row>
    <row r="560" spans="1:14" x14ac:dyDescent="0.25">
      <c r="A560" s="1">
        <v>46196</v>
      </c>
      <c r="B560" t="s">
        <v>11</v>
      </c>
      <c r="C560" t="s">
        <v>41</v>
      </c>
      <c r="D560">
        <v>24800</v>
      </c>
      <c r="E560">
        <v>22017</v>
      </c>
      <c r="F560">
        <v>2783</v>
      </c>
      <c r="G560" t="s">
        <v>38</v>
      </c>
      <c r="H560" t="s">
        <v>45</v>
      </c>
      <c r="I560" t="s">
        <v>42</v>
      </c>
      <c r="J560" s="2">
        <f>Table1[[#This Row],[Profit]]/Table1[[#This Row],[Sales]]*100</f>
        <v>11.221774193548386</v>
      </c>
      <c r="K560" t="str">
        <f>IF(Table1[[#This Row],[Sales]]&gt;=30000,"High", IF(Table1[[#This Row],[Sales]]&gt;=15000,"Medium","Low"))</f>
        <v>Medium</v>
      </c>
      <c r="L560" t="str">
        <f>TEXT(Table1[[#This Row],[Order_Date]],"MMM")</f>
        <v>Jun</v>
      </c>
      <c r="M560" t="str">
        <f>IF(Table1[[#This Row],[Profit]]&gt;=10000,"Excellent",IF(Table1[[#This Row],[Profit]]&gt;5000,"Good","Low"))</f>
        <v>Low</v>
      </c>
      <c r="N560" t="str">
        <f>TEXT(Table1[[#This Row],[Order_Date]],"YYYY")</f>
        <v>2026</v>
      </c>
    </row>
    <row r="561" spans="1:14" x14ac:dyDescent="0.25">
      <c r="A561" s="1">
        <v>45283</v>
      </c>
      <c r="B561" t="s">
        <v>22</v>
      </c>
      <c r="C561" t="s">
        <v>12</v>
      </c>
      <c r="D561">
        <v>21024</v>
      </c>
      <c r="E561">
        <v>17941</v>
      </c>
      <c r="F561">
        <v>3083</v>
      </c>
      <c r="G561" t="s">
        <v>13</v>
      </c>
      <c r="H561" t="s">
        <v>28</v>
      </c>
      <c r="I561" t="s">
        <v>15</v>
      </c>
      <c r="J561" s="2">
        <f>Table1[[#This Row],[Profit]]/Table1[[#This Row],[Sales]]*100</f>
        <v>14.664193302891935</v>
      </c>
      <c r="K561" t="str">
        <f>IF(Table1[[#This Row],[Sales]]&gt;=30000,"High", IF(Table1[[#This Row],[Sales]]&gt;=15000,"Medium","Low"))</f>
        <v>Medium</v>
      </c>
      <c r="L561" t="str">
        <f>TEXT(Table1[[#This Row],[Order_Date]],"MMM")</f>
        <v>Dec</v>
      </c>
      <c r="M561" t="str">
        <f>IF(Table1[[#This Row],[Profit]]&gt;=10000,"Excellent",IF(Table1[[#This Row],[Profit]]&gt;5000,"Good","Low"))</f>
        <v>Low</v>
      </c>
      <c r="N561" t="str">
        <f>TEXT(Table1[[#This Row],[Order_Date]],"YYYY")</f>
        <v>2023</v>
      </c>
    </row>
    <row r="562" spans="1:14" x14ac:dyDescent="0.25">
      <c r="A562" s="1">
        <v>45659</v>
      </c>
      <c r="B562" t="s">
        <v>17</v>
      </c>
      <c r="C562" t="s">
        <v>41</v>
      </c>
      <c r="D562">
        <v>40392</v>
      </c>
      <c r="E562">
        <v>34664</v>
      </c>
      <c r="F562">
        <v>5728</v>
      </c>
      <c r="G562" t="s">
        <v>38</v>
      </c>
      <c r="H562" t="s">
        <v>14</v>
      </c>
      <c r="I562" t="s">
        <v>24</v>
      </c>
      <c r="J562" s="2">
        <f>Table1[[#This Row],[Profit]]/Table1[[#This Row],[Sales]]*100</f>
        <v>14.181025945731829</v>
      </c>
      <c r="K562" t="str">
        <f>IF(Table1[[#This Row],[Sales]]&gt;=30000,"High", IF(Table1[[#This Row],[Sales]]&gt;=15000,"Medium","Low"))</f>
        <v>High</v>
      </c>
      <c r="L562" t="str">
        <f>TEXT(Table1[[#This Row],[Order_Date]],"MMM")</f>
        <v>Jan</v>
      </c>
      <c r="M562" t="str">
        <f>IF(Table1[[#This Row],[Profit]]&gt;=10000,"Excellent",IF(Table1[[#This Row],[Profit]]&gt;5000,"Good","Low"))</f>
        <v>Good</v>
      </c>
      <c r="N562" t="str">
        <f>TEXT(Table1[[#This Row],[Order_Date]],"YYYY")</f>
        <v>2025</v>
      </c>
    </row>
    <row r="563" spans="1:14" x14ac:dyDescent="0.25">
      <c r="A563" s="1">
        <v>46061</v>
      </c>
      <c r="B563" t="s">
        <v>22</v>
      </c>
      <c r="C563" t="s">
        <v>33</v>
      </c>
      <c r="D563">
        <v>27278</v>
      </c>
      <c r="E563">
        <v>19521</v>
      </c>
      <c r="F563">
        <v>7757</v>
      </c>
      <c r="G563" t="s">
        <v>19</v>
      </c>
      <c r="H563" t="s">
        <v>28</v>
      </c>
      <c r="I563" t="s">
        <v>42</v>
      </c>
      <c r="J563" s="2">
        <f>Table1[[#This Row],[Profit]]/Table1[[#This Row],[Sales]]*100</f>
        <v>28.436835545127941</v>
      </c>
      <c r="K563" t="str">
        <f>IF(Table1[[#This Row],[Sales]]&gt;=30000,"High", IF(Table1[[#This Row],[Sales]]&gt;=15000,"Medium","Low"))</f>
        <v>Medium</v>
      </c>
      <c r="L563" t="str">
        <f>TEXT(Table1[[#This Row],[Order_Date]],"MMM")</f>
        <v>Feb</v>
      </c>
      <c r="M563" t="str">
        <f>IF(Table1[[#This Row],[Profit]]&gt;=10000,"Excellent",IF(Table1[[#This Row],[Profit]]&gt;5000,"Good","Low"))</f>
        <v>Good</v>
      </c>
      <c r="N563" t="str">
        <f>TEXT(Table1[[#This Row],[Order_Date]],"YYYY")</f>
        <v>2026</v>
      </c>
    </row>
    <row r="564" spans="1:14" x14ac:dyDescent="0.25">
      <c r="A564" s="1">
        <v>45800</v>
      </c>
      <c r="B564" t="s">
        <v>17</v>
      </c>
      <c r="C564" t="s">
        <v>41</v>
      </c>
      <c r="D564">
        <v>12021</v>
      </c>
      <c r="E564">
        <v>9066</v>
      </c>
      <c r="F564">
        <v>2955</v>
      </c>
      <c r="G564" t="s">
        <v>38</v>
      </c>
      <c r="H564" t="s">
        <v>63</v>
      </c>
      <c r="I564" t="s">
        <v>15</v>
      </c>
      <c r="J564" s="2">
        <f>Table1[[#This Row],[Profit]]/Table1[[#This Row],[Sales]]*100</f>
        <v>24.581981532318441</v>
      </c>
      <c r="K564" t="str">
        <f>IF(Table1[[#This Row],[Sales]]&gt;=30000,"High", IF(Table1[[#This Row],[Sales]]&gt;=15000,"Medium","Low"))</f>
        <v>Low</v>
      </c>
      <c r="L564" t="str">
        <f>TEXT(Table1[[#This Row],[Order_Date]],"MMM")</f>
        <v>May</v>
      </c>
      <c r="M564" t="str">
        <f>IF(Table1[[#This Row],[Profit]]&gt;=10000,"Excellent",IF(Table1[[#This Row],[Profit]]&gt;5000,"Good","Low"))</f>
        <v>Low</v>
      </c>
      <c r="N564" t="str">
        <f>TEXT(Table1[[#This Row],[Order_Date]],"YYYY")</f>
        <v>2025</v>
      </c>
    </row>
    <row r="565" spans="1:14" x14ac:dyDescent="0.25">
      <c r="A565" s="1">
        <v>46207</v>
      </c>
      <c r="B565" t="s">
        <v>44</v>
      </c>
      <c r="C565" t="s">
        <v>33</v>
      </c>
      <c r="D565">
        <v>48753</v>
      </c>
      <c r="E565">
        <v>36014</v>
      </c>
      <c r="F565">
        <v>12739</v>
      </c>
      <c r="G565" t="s">
        <v>19</v>
      </c>
      <c r="H565" t="s">
        <v>28</v>
      </c>
      <c r="I565" t="s">
        <v>24</v>
      </c>
      <c r="J565" s="2">
        <f>Table1[[#This Row],[Profit]]/Table1[[#This Row],[Sales]]*100</f>
        <v>26.129674071339199</v>
      </c>
      <c r="K565" t="str">
        <f>IF(Table1[[#This Row],[Sales]]&gt;=30000,"High", IF(Table1[[#This Row],[Sales]]&gt;=15000,"Medium","Low"))</f>
        <v>High</v>
      </c>
      <c r="L565" t="str">
        <f>TEXT(Table1[[#This Row],[Order_Date]],"MMM")</f>
        <v>Jul</v>
      </c>
      <c r="M565" t="str">
        <f>IF(Table1[[#This Row],[Profit]]&gt;=10000,"Excellent",IF(Table1[[#This Row],[Profit]]&gt;5000,"Good","Low"))</f>
        <v>Excellent</v>
      </c>
      <c r="N565" t="str">
        <f>TEXT(Table1[[#This Row],[Order_Date]],"YYYY")</f>
        <v>2026</v>
      </c>
    </row>
    <row r="566" spans="1:14" x14ac:dyDescent="0.25">
      <c r="A566" s="1">
        <v>45525</v>
      </c>
      <c r="B566" t="s">
        <v>22</v>
      </c>
      <c r="C566" t="s">
        <v>18</v>
      </c>
      <c r="D566">
        <v>26320</v>
      </c>
      <c r="E566">
        <v>20865</v>
      </c>
      <c r="F566">
        <v>5455</v>
      </c>
      <c r="G566" t="s">
        <v>38</v>
      </c>
      <c r="H566" t="s">
        <v>60</v>
      </c>
      <c r="I566" t="s">
        <v>29</v>
      </c>
      <c r="J566" s="2">
        <f>Table1[[#This Row],[Profit]]/Table1[[#This Row],[Sales]]*100</f>
        <v>20.725683890577507</v>
      </c>
      <c r="K566" t="str">
        <f>IF(Table1[[#This Row],[Sales]]&gt;=30000,"High", IF(Table1[[#This Row],[Sales]]&gt;=15000,"Medium","Low"))</f>
        <v>Medium</v>
      </c>
      <c r="L566" t="str">
        <f>TEXT(Table1[[#This Row],[Order_Date]],"MMM")</f>
        <v>Aug</v>
      </c>
      <c r="M566" t="str">
        <f>IF(Table1[[#This Row],[Profit]]&gt;=10000,"Excellent",IF(Table1[[#This Row],[Profit]]&gt;5000,"Good","Low"))</f>
        <v>Good</v>
      </c>
      <c r="N566" t="str">
        <f>TEXT(Table1[[#This Row],[Order_Date]],"YYYY")</f>
        <v>2024</v>
      </c>
    </row>
    <row r="567" spans="1:14" x14ac:dyDescent="0.25">
      <c r="A567" s="1">
        <v>45258</v>
      </c>
      <c r="B567" t="s">
        <v>11</v>
      </c>
      <c r="C567" t="s">
        <v>36</v>
      </c>
      <c r="D567">
        <v>5764</v>
      </c>
      <c r="E567">
        <v>614</v>
      </c>
      <c r="F567">
        <v>5150</v>
      </c>
      <c r="G567" t="s">
        <v>38</v>
      </c>
      <c r="H567" t="s">
        <v>14</v>
      </c>
      <c r="I567" t="s">
        <v>24</v>
      </c>
      <c r="J567" s="2">
        <f>Table1[[#This Row],[Profit]]/Table1[[#This Row],[Sales]]*100</f>
        <v>89.347675225537827</v>
      </c>
      <c r="K567" t="str">
        <f>IF(Table1[[#This Row],[Sales]]&gt;=30000,"High", IF(Table1[[#This Row],[Sales]]&gt;=15000,"Medium","Low"))</f>
        <v>Low</v>
      </c>
      <c r="L567" t="str">
        <f>TEXT(Table1[[#This Row],[Order_Date]],"MMM")</f>
        <v>Nov</v>
      </c>
      <c r="M567" t="str">
        <f>IF(Table1[[#This Row],[Profit]]&gt;=10000,"Excellent",IF(Table1[[#This Row],[Profit]]&gt;5000,"Good","Low"))</f>
        <v>Good</v>
      </c>
      <c r="N567" t="str">
        <f>TEXT(Table1[[#This Row],[Order_Date]],"YYYY")</f>
        <v>2023</v>
      </c>
    </row>
    <row r="568" spans="1:14" x14ac:dyDescent="0.25">
      <c r="A568" s="1">
        <v>46104</v>
      </c>
      <c r="B568" t="s">
        <v>44</v>
      </c>
      <c r="C568" t="s">
        <v>12</v>
      </c>
      <c r="D568">
        <v>22200</v>
      </c>
      <c r="E568">
        <v>3177</v>
      </c>
      <c r="F568">
        <v>19023</v>
      </c>
      <c r="G568" t="s">
        <v>38</v>
      </c>
      <c r="H568" t="s">
        <v>78</v>
      </c>
      <c r="I568" t="s">
        <v>53</v>
      </c>
      <c r="J568" s="2">
        <f>Table1[[#This Row],[Profit]]/Table1[[#This Row],[Sales]]*100</f>
        <v>85.689189189189179</v>
      </c>
      <c r="K568" t="str">
        <f>IF(Table1[[#This Row],[Sales]]&gt;=30000,"High", IF(Table1[[#This Row],[Sales]]&gt;=15000,"Medium","Low"))</f>
        <v>Medium</v>
      </c>
      <c r="L568" t="str">
        <f>TEXT(Table1[[#This Row],[Order_Date]],"MMM")</f>
        <v>Mar</v>
      </c>
      <c r="M568" t="str">
        <f>IF(Table1[[#This Row],[Profit]]&gt;=10000,"Excellent",IF(Table1[[#This Row],[Profit]]&gt;5000,"Good","Low"))</f>
        <v>Excellent</v>
      </c>
      <c r="N568" t="str">
        <f>TEXT(Table1[[#This Row],[Order_Date]],"YYYY")</f>
        <v>2026</v>
      </c>
    </row>
    <row r="569" spans="1:14" x14ac:dyDescent="0.25">
      <c r="A569" s="1">
        <v>46023</v>
      </c>
      <c r="B569" t="s">
        <v>26</v>
      </c>
      <c r="C569" t="s">
        <v>41</v>
      </c>
      <c r="D569">
        <v>45482</v>
      </c>
      <c r="E569">
        <v>44267</v>
      </c>
      <c r="F569">
        <v>1215</v>
      </c>
      <c r="G569" t="s">
        <v>13</v>
      </c>
      <c r="H569" t="s">
        <v>63</v>
      </c>
      <c r="I569" t="s">
        <v>29</v>
      </c>
      <c r="J569" s="2">
        <f>Table1[[#This Row],[Profit]]/Table1[[#This Row],[Sales]]*100</f>
        <v>2.671386482564531</v>
      </c>
      <c r="K569" t="str">
        <f>IF(Table1[[#This Row],[Sales]]&gt;=30000,"High", IF(Table1[[#This Row],[Sales]]&gt;=15000,"Medium","Low"))</f>
        <v>High</v>
      </c>
      <c r="L569" t="str">
        <f>TEXT(Table1[[#This Row],[Order_Date]],"MMM")</f>
        <v>Jan</v>
      </c>
      <c r="M569" t="str">
        <f>IF(Table1[[#This Row],[Profit]]&gt;=10000,"Excellent",IF(Table1[[#This Row],[Profit]]&gt;5000,"Good","Low"))</f>
        <v>Low</v>
      </c>
      <c r="N569" t="str">
        <f>TEXT(Table1[[#This Row],[Order_Date]],"YYYY")</f>
        <v>2026</v>
      </c>
    </row>
    <row r="570" spans="1:14" x14ac:dyDescent="0.25">
      <c r="A570" s="1">
        <v>45251</v>
      </c>
      <c r="B570" t="s">
        <v>44</v>
      </c>
      <c r="C570" t="s">
        <v>12</v>
      </c>
      <c r="D570">
        <v>35555</v>
      </c>
      <c r="E570">
        <v>17150</v>
      </c>
      <c r="F570">
        <v>18405</v>
      </c>
      <c r="G570" t="s">
        <v>38</v>
      </c>
      <c r="H570" t="s">
        <v>28</v>
      </c>
      <c r="I570" t="s">
        <v>15</v>
      </c>
      <c r="J570" s="2">
        <f>Table1[[#This Row],[Profit]]/Table1[[#This Row],[Sales]]*100</f>
        <v>51.764871326114474</v>
      </c>
      <c r="K570" t="str">
        <f>IF(Table1[[#This Row],[Sales]]&gt;=30000,"High", IF(Table1[[#This Row],[Sales]]&gt;=15000,"Medium","Low"))</f>
        <v>High</v>
      </c>
      <c r="L570" t="str">
        <f>TEXT(Table1[[#This Row],[Order_Date]],"MMM")</f>
        <v>Nov</v>
      </c>
      <c r="M570" t="str">
        <f>IF(Table1[[#This Row],[Profit]]&gt;=10000,"Excellent",IF(Table1[[#This Row],[Profit]]&gt;5000,"Good","Low"))</f>
        <v>Excellent</v>
      </c>
      <c r="N570" t="str">
        <f>TEXT(Table1[[#This Row],[Order_Date]],"YYYY")</f>
        <v>2023</v>
      </c>
    </row>
    <row r="571" spans="1:14" x14ac:dyDescent="0.25">
      <c r="A571" s="1">
        <v>45225</v>
      </c>
      <c r="B571" t="s">
        <v>26</v>
      </c>
      <c r="C571" t="s">
        <v>41</v>
      </c>
      <c r="D571">
        <v>30668</v>
      </c>
      <c r="E571">
        <v>18614</v>
      </c>
      <c r="F571">
        <v>12054</v>
      </c>
      <c r="G571" t="s">
        <v>38</v>
      </c>
      <c r="H571" t="s">
        <v>60</v>
      </c>
      <c r="I571" t="s">
        <v>53</v>
      </c>
      <c r="J571" s="2">
        <f>Table1[[#This Row],[Profit]]/Table1[[#This Row],[Sales]]*100</f>
        <v>39.304812834224599</v>
      </c>
      <c r="K571" t="str">
        <f>IF(Table1[[#This Row],[Sales]]&gt;=30000,"High", IF(Table1[[#This Row],[Sales]]&gt;=15000,"Medium","Low"))</f>
        <v>High</v>
      </c>
      <c r="L571" t="str">
        <f>TEXT(Table1[[#This Row],[Order_Date]],"MMM")</f>
        <v>Oct</v>
      </c>
      <c r="M571" t="str">
        <f>IF(Table1[[#This Row],[Profit]]&gt;=10000,"Excellent",IF(Table1[[#This Row],[Profit]]&gt;5000,"Good","Low"))</f>
        <v>Excellent</v>
      </c>
      <c r="N571" t="str">
        <f>TEXT(Table1[[#This Row],[Order_Date]],"YYYY")</f>
        <v>2023</v>
      </c>
    </row>
    <row r="572" spans="1:14" x14ac:dyDescent="0.25">
      <c r="A572" s="1">
        <v>45539</v>
      </c>
      <c r="B572" t="s">
        <v>17</v>
      </c>
      <c r="C572" t="s">
        <v>12</v>
      </c>
      <c r="D572">
        <v>32105</v>
      </c>
      <c r="E572">
        <v>30324</v>
      </c>
      <c r="F572">
        <v>1781</v>
      </c>
      <c r="G572" t="s">
        <v>13</v>
      </c>
      <c r="H572" t="s">
        <v>31</v>
      </c>
      <c r="I572" t="s">
        <v>29</v>
      </c>
      <c r="J572" s="2">
        <f>Table1[[#This Row],[Profit]]/Table1[[#This Row],[Sales]]*100</f>
        <v>5.5474225198567195</v>
      </c>
      <c r="K572" t="str">
        <f>IF(Table1[[#This Row],[Sales]]&gt;=30000,"High", IF(Table1[[#This Row],[Sales]]&gt;=15000,"Medium","Low"))</f>
        <v>High</v>
      </c>
      <c r="L572" t="str">
        <f>TEXT(Table1[[#This Row],[Order_Date]],"MMM")</f>
        <v>Sep</v>
      </c>
      <c r="M572" t="str">
        <f>IF(Table1[[#This Row],[Profit]]&gt;=10000,"Excellent",IF(Table1[[#This Row],[Profit]]&gt;5000,"Good","Low"))</f>
        <v>Low</v>
      </c>
      <c r="N572" t="str">
        <f>TEXT(Table1[[#This Row],[Order_Date]],"YYYY")</f>
        <v>2024</v>
      </c>
    </row>
    <row r="573" spans="1:14" x14ac:dyDescent="0.25">
      <c r="A573" s="1">
        <v>45359</v>
      </c>
      <c r="B573" t="s">
        <v>44</v>
      </c>
      <c r="C573" t="s">
        <v>33</v>
      </c>
      <c r="D573">
        <v>29271</v>
      </c>
      <c r="E573">
        <v>9944</v>
      </c>
      <c r="F573">
        <v>19327</v>
      </c>
      <c r="G573" t="s">
        <v>19</v>
      </c>
      <c r="H573" t="s">
        <v>63</v>
      </c>
      <c r="I573" t="s">
        <v>42</v>
      </c>
      <c r="J573" s="2">
        <f>Table1[[#This Row],[Profit]]/Table1[[#This Row],[Sales]]*100</f>
        <v>66.027809094325434</v>
      </c>
      <c r="K573" t="str">
        <f>IF(Table1[[#This Row],[Sales]]&gt;=30000,"High", IF(Table1[[#This Row],[Sales]]&gt;=15000,"Medium","Low"))</f>
        <v>Medium</v>
      </c>
      <c r="L573" t="str">
        <f>TEXT(Table1[[#This Row],[Order_Date]],"MMM")</f>
        <v>Mar</v>
      </c>
      <c r="M573" t="str">
        <f>IF(Table1[[#This Row],[Profit]]&gt;=10000,"Excellent",IF(Table1[[#This Row],[Profit]]&gt;5000,"Good","Low"))</f>
        <v>Excellent</v>
      </c>
      <c r="N573" t="str">
        <f>TEXT(Table1[[#This Row],[Order_Date]],"YYYY")</f>
        <v>2024</v>
      </c>
    </row>
    <row r="574" spans="1:14" x14ac:dyDescent="0.25">
      <c r="A574" s="1">
        <v>45489</v>
      </c>
      <c r="B574" t="s">
        <v>26</v>
      </c>
      <c r="C574" t="s">
        <v>18</v>
      </c>
      <c r="D574">
        <v>18474</v>
      </c>
      <c r="E574">
        <v>9135</v>
      </c>
      <c r="F574">
        <v>9339</v>
      </c>
      <c r="G574" t="s">
        <v>13</v>
      </c>
      <c r="H574" t="s">
        <v>28</v>
      </c>
      <c r="I574" t="s">
        <v>15</v>
      </c>
      <c r="J574" s="2">
        <f>Table1[[#This Row],[Profit]]/Table1[[#This Row],[Sales]]*100</f>
        <v>50.552127314063014</v>
      </c>
      <c r="K574" t="str">
        <f>IF(Table1[[#This Row],[Sales]]&gt;=30000,"High", IF(Table1[[#This Row],[Sales]]&gt;=15000,"Medium","Low"))</f>
        <v>Medium</v>
      </c>
      <c r="L574" t="str">
        <f>TEXT(Table1[[#This Row],[Order_Date]],"MMM")</f>
        <v>Jul</v>
      </c>
      <c r="M574" t="str">
        <f>IF(Table1[[#This Row],[Profit]]&gt;=10000,"Excellent",IF(Table1[[#This Row],[Profit]]&gt;5000,"Good","Low"))</f>
        <v>Good</v>
      </c>
      <c r="N574" t="str">
        <f>TEXT(Table1[[#This Row],[Order_Date]],"YYYY")</f>
        <v>2024</v>
      </c>
    </row>
    <row r="575" spans="1:14" x14ac:dyDescent="0.25">
      <c r="A575" s="1">
        <v>45904</v>
      </c>
      <c r="B575" t="s">
        <v>26</v>
      </c>
      <c r="C575" t="s">
        <v>12</v>
      </c>
      <c r="D575">
        <v>44475</v>
      </c>
      <c r="E575">
        <v>33914</v>
      </c>
      <c r="F575">
        <v>10561</v>
      </c>
      <c r="G575" t="s">
        <v>27</v>
      </c>
      <c r="H575" t="s">
        <v>34</v>
      </c>
      <c r="I575" t="s">
        <v>42</v>
      </c>
      <c r="J575" s="2">
        <f>Table1[[#This Row],[Profit]]/Table1[[#This Row],[Sales]]*100</f>
        <v>23.745924676784711</v>
      </c>
      <c r="K575" t="str">
        <f>IF(Table1[[#This Row],[Sales]]&gt;=30000,"High", IF(Table1[[#This Row],[Sales]]&gt;=15000,"Medium","Low"))</f>
        <v>High</v>
      </c>
      <c r="L575" t="str">
        <f>TEXT(Table1[[#This Row],[Order_Date]],"MMM")</f>
        <v>Sep</v>
      </c>
      <c r="M575" t="str">
        <f>IF(Table1[[#This Row],[Profit]]&gt;=10000,"Excellent",IF(Table1[[#This Row],[Profit]]&gt;5000,"Good","Low"))</f>
        <v>Excellent</v>
      </c>
      <c r="N575" t="str">
        <f>TEXT(Table1[[#This Row],[Order_Date]],"YYYY")</f>
        <v>2025</v>
      </c>
    </row>
    <row r="576" spans="1:14" x14ac:dyDescent="0.25">
      <c r="A576" s="1">
        <v>45953</v>
      </c>
      <c r="B576" t="s">
        <v>44</v>
      </c>
      <c r="C576" t="s">
        <v>41</v>
      </c>
      <c r="D576">
        <v>39831</v>
      </c>
      <c r="E576">
        <v>34709</v>
      </c>
      <c r="F576">
        <v>5122</v>
      </c>
      <c r="G576" t="s">
        <v>38</v>
      </c>
      <c r="H576" t="s">
        <v>20</v>
      </c>
      <c r="I576" t="s">
        <v>24</v>
      </c>
      <c r="J576" s="2">
        <f>Table1[[#This Row],[Profit]]/Table1[[#This Row],[Sales]]*100</f>
        <v>12.859330672089579</v>
      </c>
      <c r="K576" t="str">
        <f>IF(Table1[[#This Row],[Sales]]&gt;=30000,"High", IF(Table1[[#This Row],[Sales]]&gt;=15000,"Medium","Low"))</f>
        <v>High</v>
      </c>
      <c r="L576" t="str">
        <f>TEXT(Table1[[#This Row],[Order_Date]],"MMM")</f>
        <v>Oct</v>
      </c>
      <c r="M576" t="str">
        <f>IF(Table1[[#This Row],[Profit]]&gt;=10000,"Excellent",IF(Table1[[#This Row],[Profit]]&gt;5000,"Good","Low"))</f>
        <v>Good</v>
      </c>
      <c r="N576" t="str">
        <f>TEXT(Table1[[#This Row],[Order_Date]],"YYYY")</f>
        <v>2025</v>
      </c>
    </row>
    <row r="577" spans="1:14" x14ac:dyDescent="0.25">
      <c r="A577" s="1">
        <v>45142</v>
      </c>
      <c r="B577" t="s">
        <v>22</v>
      </c>
      <c r="C577" t="s">
        <v>36</v>
      </c>
      <c r="D577">
        <v>43776</v>
      </c>
      <c r="E577">
        <v>28406</v>
      </c>
      <c r="F577">
        <v>15370</v>
      </c>
      <c r="G577" t="s">
        <v>13</v>
      </c>
      <c r="H577" t="s">
        <v>45</v>
      </c>
      <c r="I577" t="s">
        <v>29</v>
      </c>
      <c r="J577" s="2">
        <f>Table1[[#This Row],[Profit]]/Table1[[#This Row],[Sales]]*100</f>
        <v>35.110562865497073</v>
      </c>
      <c r="K577" t="str">
        <f>IF(Table1[[#This Row],[Sales]]&gt;=30000,"High", IF(Table1[[#This Row],[Sales]]&gt;=15000,"Medium","Low"))</f>
        <v>High</v>
      </c>
      <c r="L577" t="str">
        <f>TEXT(Table1[[#This Row],[Order_Date]],"MMM")</f>
        <v>Aug</v>
      </c>
      <c r="M577" t="str">
        <f>IF(Table1[[#This Row],[Profit]]&gt;=10000,"Excellent",IF(Table1[[#This Row],[Profit]]&gt;5000,"Good","Low"))</f>
        <v>Excellent</v>
      </c>
      <c r="N577" t="str">
        <f>TEXT(Table1[[#This Row],[Order_Date]],"YYYY")</f>
        <v>2023</v>
      </c>
    </row>
    <row r="578" spans="1:14" x14ac:dyDescent="0.25">
      <c r="A578" s="1">
        <v>45602</v>
      </c>
      <c r="B578" t="s">
        <v>44</v>
      </c>
      <c r="C578" t="s">
        <v>12</v>
      </c>
      <c r="D578">
        <v>25751</v>
      </c>
      <c r="E578">
        <v>6174</v>
      </c>
      <c r="F578">
        <v>19577</v>
      </c>
      <c r="G578" t="s">
        <v>38</v>
      </c>
      <c r="H578" t="s">
        <v>45</v>
      </c>
      <c r="I578" t="s">
        <v>42</v>
      </c>
      <c r="J578" s="2">
        <f>Table1[[#This Row],[Profit]]/Table1[[#This Row],[Sales]]*100</f>
        <v>76.024232068657525</v>
      </c>
      <c r="K578" t="str">
        <f>IF(Table1[[#This Row],[Sales]]&gt;=30000,"High", IF(Table1[[#This Row],[Sales]]&gt;=15000,"Medium","Low"))</f>
        <v>Medium</v>
      </c>
      <c r="L578" t="str">
        <f>TEXT(Table1[[#This Row],[Order_Date]],"MMM")</f>
        <v>Nov</v>
      </c>
      <c r="M578" t="str">
        <f>IF(Table1[[#This Row],[Profit]]&gt;=10000,"Excellent",IF(Table1[[#This Row],[Profit]]&gt;5000,"Good","Low"))</f>
        <v>Excellent</v>
      </c>
      <c r="N578" t="str">
        <f>TEXT(Table1[[#This Row],[Order_Date]],"YYYY")</f>
        <v>2024</v>
      </c>
    </row>
    <row r="579" spans="1:14" x14ac:dyDescent="0.25">
      <c r="A579" s="1">
        <v>45156</v>
      </c>
      <c r="B579" t="s">
        <v>17</v>
      </c>
      <c r="C579" t="s">
        <v>36</v>
      </c>
      <c r="D579">
        <v>28609</v>
      </c>
      <c r="E579">
        <v>25530</v>
      </c>
      <c r="F579">
        <v>3079</v>
      </c>
      <c r="G579" t="s">
        <v>13</v>
      </c>
      <c r="H579" t="s">
        <v>63</v>
      </c>
      <c r="I579" t="s">
        <v>53</v>
      </c>
      <c r="J579" s="2">
        <f>Table1[[#This Row],[Profit]]/Table1[[#This Row],[Sales]]*100</f>
        <v>10.762347513020378</v>
      </c>
      <c r="K579" t="str">
        <f>IF(Table1[[#This Row],[Sales]]&gt;=30000,"High", IF(Table1[[#This Row],[Sales]]&gt;=15000,"Medium","Low"))</f>
        <v>Medium</v>
      </c>
      <c r="L579" t="str">
        <f>TEXT(Table1[[#This Row],[Order_Date]],"MMM")</f>
        <v>Aug</v>
      </c>
      <c r="M579" t="str">
        <f>IF(Table1[[#This Row],[Profit]]&gt;=10000,"Excellent",IF(Table1[[#This Row],[Profit]]&gt;5000,"Good","Low"))</f>
        <v>Low</v>
      </c>
      <c r="N579" t="str">
        <f>TEXT(Table1[[#This Row],[Order_Date]],"YYYY")</f>
        <v>2023</v>
      </c>
    </row>
    <row r="580" spans="1:14" x14ac:dyDescent="0.25">
      <c r="A580" s="1">
        <v>45694</v>
      </c>
      <c r="B580" t="s">
        <v>22</v>
      </c>
      <c r="C580" t="s">
        <v>33</v>
      </c>
      <c r="D580">
        <v>24947</v>
      </c>
      <c r="E580">
        <v>14030</v>
      </c>
      <c r="F580">
        <v>10917</v>
      </c>
      <c r="G580" t="s">
        <v>13</v>
      </c>
      <c r="H580" t="s">
        <v>78</v>
      </c>
      <c r="I580" t="s">
        <v>15</v>
      </c>
      <c r="J580" s="2">
        <f>Table1[[#This Row],[Profit]]/Table1[[#This Row],[Sales]]*100</f>
        <v>43.760772838417445</v>
      </c>
      <c r="K580" t="str">
        <f>IF(Table1[[#This Row],[Sales]]&gt;=30000,"High", IF(Table1[[#This Row],[Sales]]&gt;=15000,"Medium","Low"))</f>
        <v>Medium</v>
      </c>
      <c r="L580" t="str">
        <f>TEXT(Table1[[#This Row],[Order_Date]],"MMM")</f>
        <v>Feb</v>
      </c>
      <c r="M580" t="str">
        <f>IF(Table1[[#This Row],[Profit]]&gt;=10000,"Excellent",IF(Table1[[#This Row],[Profit]]&gt;5000,"Good","Low"))</f>
        <v>Excellent</v>
      </c>
      <c r="N580" t="str">
        <f>TEXT(Table1[[#This Row],[Order_Date]],"YYYY")</f>
        <v>2025</v>
      </c>
    </row>
    <row r="581" spans="1:14" x14ac:dyDescent="0.25">
      <c r="A581" s="1">
        <v>46124</v>
      </c>
      <c r="B581" t="s">
        <v>17</v>
      </c>
      <c r="C581" t="s">
        <v>41</v>
      </c>
      <c r="D581">
        <v>30797</v>
      </c>
      <c r="E581">
        <v>29533</v>
      </c>
      <c r="F581">
        <v>1264</v>
      </c>
      <c r="G581" t="s">
        <v>38</v>
      </c>
      <c r="H581" t="s">
        <v>60</v>
      </c>
      <c r="I581" t="s">
        <v>42</v>
      </c>
      <c r="J581" s="2">
        <f>Table1[[#This Row],[Profit]]/Table1[[#This Row],[Sales]]*100</f>
        <v>4.1042958729746406</v>
      </c>
      <c r="K581" t="str">
        <f>IF(Table1[[#This Row],[Sales]]&gt;=30000,"High", IF(Table1[[#This Row],[Sales]]&gt;=15000,"Medium","Low"))</f>
        <v>High</v>
      </c>
      <c r="L581" t="str">
        <f>TEXT(Table1[[#This Row],[Order_Date]],"MMM")</f>
        <v>Apr</v>
      </c>
      <c r="M581" t="str">
        <f>IF(Table1[[#This Row],[Profit]]&gt;=10000,"Excellent",IF(Table1[[#This Row],[Profit]]&gt;5000,"Good","Low"))</f>
        <v>Low</v>
      </c>
      <c r="N581" t="str">
        <f>TEXT(Table1[[#This Row],[Order_Date]],"YYYY")</f>
        <v>2026</v>
      </c>
    </row>
    <row r="582" spans="1:14" x14ac:dyDescent="0.25">
      <c r="A582" s="1">
        <v>45183</v>
      </c>
      <c r="B582" t="s">
        <v>26</v>
      </c>
      <c r="C582" t="s">
        <v>12</v>
      </c>
      <c r="D582">
        <v>5364</v>
      </c>
      <c r="E582">
        <v>2444</v>
      </c>
      <c r="F582">
        <v>2920</v>
      </c>
      <c r="G582" t="s">
        <v>38</v>
      </c>
      <c r="H582" t="s">
        <v>23</v>
      </c>
      <c r="I582" t="s">
        <v>53</v>
      </c>
      <c r="J582" s="2">
        <f>Table1[[#This Row],[Profit]]/Table1[[#This Row],[Sales]]*100</f>
        <v>54.436987322893359</v>
      </c>
      <c r="K582" t="str">
        <f>IF(Table1[[#This Row],[Sales]]&gt;=30000,"High", IF(Table1[[#This Row],[Sales]]&gt;=15000,"Medium","Low"))</f>
        <v>Low</v>
      </c>
      <c r="L582" t="str">
        <f>TEXT(Table1[[#This Row],[Order_Date]],"MMM")</f>
        <v>Sep</v>
      </c>
      <c r="M582" t="str">
        <f>IF(Table1[[#This Row],[Profit]]&gt;=10000,"Excellent",IF(Table1[[#This Row],[Profit]]&gt;5000,"Good","Low"))</f>
        <v>Low</v>
      </c>
      <c r="N582" t="str">
        <f>TEXT(Table1[[#This Row],[Order_Date]],"YYYY")</f>
        <v>2023</v>
      </c>
    </row>
    <row r="583" spans="1:14" x14ac:dyDescent="0.25">
      <c r="A583" s="1">
        <v>45553</v>
      </c>
      <c r="B583" t="s">
        <v>44</v>
      </c>
      <c r="C583" t="s">
        <v>18</v>
      </c>
      <c r="D583">
        <v>39580</v>
      </c>
      <c r="E583">
        <v>28216</v>
      </c>
      <c r="F583">
        <v>11364</v>
      </c>
      <c r="G583" t="s">
        <v>38</v>
      </c>
      <c r="H583" t="s">
        <v>34</v>
      </c>
      <c r="I583" t="s">
        <v>29</v>
      </c>
      <c r="J583" s="2">
        <f>Table1[[#This Row],[Profit]]/Table1[[#This Row],[Sales]]*100</f>
        <v>28.711470439615965</v>
      </c>
      <c r="K583" t="str">
        <f>IF(Table1[[#This Row],[Sales]]&gt;=30000,"High", IF(Table1[[#This Row],[Sales]]&gt;=15000,"Medium","Low"))</f>
        <v>High</v>
      </c>
      <c r="L583" t="str">
        <f>TEXT(Table1[[#This Row],[Order_Date]],"MMM")</f>
        <v>Sep</v>
      </c>
      <c r="M583" t="str">
        <f>IF(Table1[[#This Row],[Profit]]&gt;=10000,"Excellent",IF(Table1[[#This Row],[Profit]]&gt;5000,"Good","Low"))</f>
        <v>Excellent</v>
      </c>
      <c r="N583" t="str">
        <f>TEXT(Table1[[#This Row],[Order_Date]],"YYYY")</f>
        <v>2024</v>
      </c>
    </row>
    <row r="584" spans="1:14" x14ac:dyDescent="0.25">
      <c r="A584" s="1">
        <v>45396</v>
      </c>
      <c r="B584" t="s">
        <v>11</v>
      </c>
      <c r="C584" t="s">
        <v>33</v>
      </c>
      <c r="D584">
        <v>37235</v>
      </c>
      <c r="E584">
        <v>33022</v>
      </c>
      <c r="F584">
        <v>4213</v>
      </c>
      <c r="G584" t="s">
        <v>13</v>
      </c>
      <c r="H584" t="s">
        <v>31</v>
      </c>
      <c r="I584" t="s">
        <v>53</v>
      </c>
      <c r="J584" s="2">
        <f>Table1[[#This Row],[Profit]]/Table1[[#This Row],[Sales]]*100</f>
        <v>11.314623338257016</v>
      </c>
      <c r="K584" t="str">
        <f>IF(Table1[[#This Row],[Sales]]&gt;=30000,"High", IF(Table1[[#This Row],[Sales]]&gt;=15000,"Medium","Low"))</f>
        <v>High</v>
      </c>
      <c r="L584" t="str">
        <f>TEXT(Table1[[#This Row],[Order_Date]],"MMM")</f>
        <v>Apr</v>
      </c>
      <c r="M584" t="str">
        <f>IF(Table1[[#This Row],[Profit]]&gt;=10000,"Excellent",IF(Table1[[#This Row],[Profit]]&gt;5000,"Good","Low"))</f>
        <v>Low</v>
      </c>
      <c r="N584" t="str">
        <f>TEXT(Table1[[#This Row],[Order_Date]],"YYYY")</f>
        <v>2024</v>
      </c>
    </row>
    <row r="585" spans="1:14" x14ac:dyDescent="0.25">
      <c r="A585" s="1">
        <v>45477</v>
      </c>
      <c r="B585" t="s">
        <v>11</v>
      </c>
      <c r="C585" t="s">
        <v>36</v>
      </c>
      <c r="D585">
        <v>17289</v>
      </c>
      <c r="E585">
        <v>3305</v>
      </c>
      <c r="F585">
        <v>13984</v>
      </c>
      <c r="G585" t="s">
        <v>19</v>
      </c>
      <c r="H585" t="s">
        <v>78</v>
      </c>
      <c r="I585" t="s">
        <v>15</v>
      </c>
      <c r="J585" s="2">
        <f>Table1[[#This Row],[Profit]]/Table1[[#This Row],[Sales]]*100</f>
        <v>80.88379894730754</v>
      </c>
      <c r="K585" t="str">
        <f>IF(Table1[[#This Row],[Sales]]&gt;=30000,"High", IF(Table1[[#This Row],[Sales]]&gt;=15000,"Medium","Low"))</f>
        <v>Medium</v>
      </c>
      <c r="L585" t="str">
        <f>TEXT(Table1[[#This Row],[Order_Date]],"MMM")</f>
        <v>Jul</v>
      </c>
      <c r="M585" t="str">
        <f>IF(Table1[[#This Row],[Profit]]&gt;=10000,"Excellent",IF(Table1[[#This Row],[Profit]]&gt;5000,"Good","Low"))</f>
        <v>Excellent</v>
      </c>
      <c r="N585" t="str">
        <f>TEXT(Table1[[#This Row],[Order_Date]],"YYYY")</f>
        <v>2024</v>
      </c>
    </row>
    <row r="586" spans="1:14" x14ac:dyDescent="0.25">
      <c r="A586" s="1">
        <v>45234</v>
      </c>
      <c r="B586" t="s">
        <v>44</v>
      </c>
      <c r="C586" t="s">
        <v>33</v>
      </c>
      <c r="D586">
        <v>8628</v>
      </c>
      <c r="E586">
        <v>730</v>
      </c>
      <c r="F586">
        <v>7898</v>
      </c>
      <c r="G586" t="s">
        <v>27</v>
      </c>
      <c r="H586" t="s">
        <v>23</v>
      </c>
      <c r="I586" t="s">
        <v>15</v>
      </c>
      <c r="J586" s="2">
        <f>Table1[[#This Row],[Profit]]/Table1[[#This Row],[Sales]]*100</f>
        <v>91.539174779786734</v>
      </c>
      <c r="K586" t="str">
        <f>IF(Table1[[#This Row],[Sales]]&gt;=30000,"High", IF(Table1[[#This Row],[Sales]]&gt;=15000,"Medium","Low"))</f>
        <v>Low</v>
      </c>
      <c r="L586" t="str">
        <f>TEXT(Table1[[#This Row],[Order_Date]],"MMM")</f>
        <v>Nov</v>
      </c>
      <c r="M586" t="str">
        <f>IF(Table1[[#This Row],[Profit]]&gt;=10000,"Excellent",IF(Table1[[#This Row],[Profit]]&gt;5000,"Good","Low"))</f>
        <v>Good</v>
      </c>
      <c r="N586" t="str">
        <f>TEXT(Table1[[#This Row],[Order_Date]],"YYYY")</f>
        <v>2023</v>
      </c>
    </row>
    <row r="587" spans="1:14" x14ac:dyDescent="0.25">
      <c r="A587" s="1">
        <v>45430</v>
      </c>
      <c r="B587" t="s">
        <v>22</v>
      </c>
      <c r="C587" t="s">
        <v>18</v>
      </c>
      <c r="D587">
        <v>17687</v>
      </c>
      <c r="E587">
        <v>9560</v>
      </c>
      <c r="F587">
        <v>8127</v>
      </c>
      <c r="G587" t="s">
        <v>38</v>
      </c>
      <c r="H587" t="s">
        <v>78</v>
      </c>
      <c r="I587" t="s">
        <v>42</v>
      </c>
      <c r="J587" s="2">
        <f>Table1[[#This Row],[Profit]]/Table1[[#This Row],[Sales]]*100</f>
        <v>45.949002091931931</v>
      </c>
      <c r="K587" t="str">
        <f>IF(Table1[[#This Row],[Sales]]&gt;=30000,"High", IF(Table1[[#This Row],[Sales]]&gt;=15000,"Medium","Low"))</f>
        <v>Medium</v>
      </c>
      <c r="L587" t="str">
        <f>TEXT(Table1[[#This Row],[Order_Date]],"MMM")</f>
        <v>May</v>
      </c>
      <c r="M587" t="str">
        <f>IF(Table1[[#This Row],[Profit]]&gt;=10000,"Excellent",IF(Table1[[#This Row],[Profit]]&gt;5000,"Good","Low"))</f>
        <v>Good</v>
      </c>
      <c r="N587" t="str">
        <f>TEXT(Table1[[#This Row],[Order_Date]],"YYYY")</f>
        <v>2024</v>
      </c>
    </row>
    <row r="588" spans="1:14" x14ac:dyDescent="0.25">
      <c r="A588" s="1">
        <v>45444</v>
      </c>
      <c r="B588" t="s">
        <v>44</v>
      </c>
      <c r="C588" t="s">
        <v>36</v>
      </c>
      <c r="D588">
        <v>28086</v>
      </c>
      <c r="E588">
        <v>12804</v>
      </c>
      <c r="F588">
        <v>15282</v>
      </c>
      <c r="G588" t="s">
        <v>38</v>
      </c>
      <c r="H588" t="s">
        <v>34</v>
      </c>
      <c r="I588" t="s">
        <v>15</v>
      </c>
      <c r="J588" s="2">
        <f>Table1[[#This Row],[Profit]]/Table1[[#This Row],[Sales]]*100</f>
        <v>54.41145054475539</v>
      </c>
      <c r="K588" t="str">
        <f>IF(Table1[[#This Row],[Sales]]&gt;=30000,"High", IF(Table1[[#This Row],[Sales]]&gt;=15000,"Medium","Low"))</f>
        <v>Medium</v>
      </c>
      <c r="L588" t="str">
        <f>TEXT(Table1[[#This Row],[Order_Date]],"MMM")</f>
        <v>Jun</v>
      </c>
      <c r="M588" t="str">
        <f>IF(Table1[[#This Row],[Profit]]&gt;=10000,"Excellent",IF(Table1[[#This Row],[Profit]]&gt;5000,"Good","Low"))</f>
        <v>Excellent</v>
      </c>
      <c r="N588" t="str">
        <f>TEXT(Table1[[#This Row],[Order_Date]],"YYYY")</f>
        <v>2024</v>
      </c>
    </row>
    <row r="589" spans="1:14" x14ac:dyDescent="0.25">
      <c r="A589" s="1">
        <v>45168</v>
      </c>
      <c r="B589" t="s">
        <v>22</v>
      </c>
      <c r="C589" t="s">
        <v>36</v>
      </c>
      <c r="D589">
        <v>37973</v>
      </c>
      <c r="E589">
        <v>27726</v>
      </c>
      <c r="F589">
        <v>10247</v>
      </c>
      <c r="G589" t="s">
        <v>27</v>
      </c>
      <c r="H589" t="s">
        <v>20</v>
      </c>
      <c r="I589" t="s">
        <v>53</v>
      </c>
      <c r="J589" s="2">
        <f>Table1[[#This Row],[Profit]]/Table1[[#This Row],[Sales]]*100</f>
        <v>26.984963000026337</v>
      </c>
      <c r="K589" t="str">
        <f>IF(Table1[[#This Row],[Sales]]&gt;=30000,"High", IF(Table1[[#This Row],[Sales]]&gt;=15000,"Medium","Low"))</f>
        <v>High</v>
      </c>
      <c r="L589" t="str">
        <f>TEXT(Table1[[#This Row],[Order_Date]],"MMM")</f>
        <v>Aug</v>
      </c>
      <c r="M589" t="str">
        <f>IF(Table1[[#This Row],[Profit]]&gt;=10000,"Excellent",IF(Table1[[#This Row],[Profit]]&gt;5000,"Good","Low"))</f>
        <v>Excellent</v>
      </c>
      <c r="N589" t="str">
        <f>TEXT(Table1[[#This Row],[Order_Date]],"YYYY")</f>
        <v>2023</v>
      </c>
    </row>
    <row r="590" spans="1:14" x14ac:dyDescent="0.25">
      <c r="A590" s="1">
        <v>46001</v>
      </c>
      <c r="B590" t="s">
        <v>44</v>
      </c>
      <c r="C590" t="s">
        <v>41</v>
      </c>
      <c r="D590">
        <v>11104</v>
      </c>
      <c r="E590">
        <v>5465</v>
      </c>
      <c r="F590">
        <v>5639</v>
      </c>
      <c r="G590" t="s">
        <v>27</v>
      </c>
      <c r="H590" t="s">
        <v>78</v>
      </c>
      <c r="I590" t="s">
        <v>53</v>
      </c>
      <c r="J590" s="2">
        <f>Table1[[#This Row],[Profit]]/Table1[[#This Row],[Sales]]*100</f>
        <v>50.783501440922187</v>
      </c>
      <c r="K590" t="str">
        <f>IF(Table1[[#This Row],[Sales]]&gt;=30000,"High", IF(Table1[[#This Row],[Sales]]&gt;=15000,"Medium","Low"))</f>
        <v>Low</v>
      </c>
      <c r="L590" t="str">
        <f>TEXT(Table1[[#This Row],[Order_Date]],"MMM")</f>
        <v>Dec</v>
      </c>
      <c r="M590" t="str">
        <f>IF(Table1[[#This Row],[Profit]]&gt;=10000,"Excellent",IF(Table1[[#This Row],[Profit]]&gt;5000,"Good","Low"))</f>
        <v>Good</v>
      </c>
      <c r="N590" t="str">
        <f>TEXT(Table1[[#This Row],[Order_Date]],"YYYY")</f>
        <v>2025</v>
      </c>
    </row>
    <row r="591" spans="1:14" x14ac:dyDescent="0.25">
      <c r="A591" s="1">
        <v>46112</v>
      </c>
      <c r="B591" t="s">
        <v>11</v>
      </c>
      <c r="C591" t="s">
        <v>36</v>
      </c>
      <c r="D591">
        <v>9929</v>
      </c>
      <c r="E591">
        <v>4682</v>
      </c>
      <c r="F591">
        <v>5247</v>
      </c>
      <c r="G591" t="s">
        <v>38</v>
      </c>
      <c r="H591" t="s">
        <v>31</v>
      </c>
      <c r="I591" t="s">
        <v>53</v>
      </c>
      <c r="J591" s="2">
        <f>Table1[[#This Row],[Profit]]/Table1[[#This Row],[Sales]]*100</f>
        <v>52.845200926578705</v>
      </c>
      <c r="K591" t="str">
        <f>IF(Table1[[#This Row],[Sales]]&gt;=30000,"High", IF(Table1[[#This Row],[Sales]]&gt;=15000,"Medium","Low"))</f>
        <v>Low</v>
      </c>
      <c r="L591" t="str">
        <f>TEXT(Table1[[#This Row],[Order_Date]],"MMM")</f>
        <v>Mar</v>
      </c>
      <c r="M591" t="str">
        <f>IF(Table1[[#This Row],[Profit]]&gt;=10000,"Excellent",IF(Table1[[#This Row],[Profit]]&gt;5000,"Good","Low"))</f>
        <v>Good</v>
      </c>
      <c r="N591" t="str">
        <f>TEXT(Table1[[#This Row],[Order_Date]],"YYYY")</f>
        <v>2026</v>
      </c>
    </row>
    <row r="592" spans="1:14" x14ac:dyDescent="0.25">
      <c r="A592" s="1">
        <v>45699</v>
      </c>
      <c r="B592" t="s">
        <v>26</v>
      </c>
      <c r="C592" t="s">
        <v>12</v>
      </c>
      <c r="D592">
        <v>20934</v>
      </c>
      <c r="E592">
        <v>2147</v>
      </c>
      <c r="F592">
        <v>18787</v>
      </c>
      <c r="G592" t="s">
        <v>19</v>
      </c>
      <c r="H592" t="s">
        <v>14</v>
      </c>
      <c r="I592" t="s">
        <v>42</v>
      </c>
      <c r="J592" s="2">
        <f>Table1[[#This Row],[Profit]]/Table1[[#This Row],[Sales]]*100</f>
        <v>89.743957198815323</v>
      </c>
      <c r="K592" t="str">
        <f>IF(Table1[[#This Row],[Sales]]&gt;=30000,"High", IF(Table1[[#This Row],[Sales]]&gt;=15000,"Medium","Low"))</f>
        <v>Medium</v>
      </c>
      <c r="L592" t="str">
        <f>TEXT(Table1[[#This Row],[Order_Date]],"MMM")</f>
        <v>Feb</v>
      </c>
      <c r="M592" t="str">
        <f>IF(Table1[[#This Row],[Profit]]&gt;=10000,"Excellent",IF(Table1[[#This Row],[Profit]]&gt;5000,"Good","Low"))</f>
        <v>Excellent</v>
      </c>
      <c r="N592" t="str">
        <f>TEXT(Table1[[#This Row],[Order_Date]],"YYYY")</f>
        <v>2025</v>
      </c>
    </row>
    <row r="593" spans="1:14" x14ac:dyDescent="0.25">
      <c r="A593" s="1">
        <v>46137</v>
      </c>
      <c r="B593" t="s">
        <v>22</v>
      </c>
      <c r="C593" t="s">
        <v>41</v>
      </c>
      <c r="D593">
        <v>16049</v>
      </c>
      <c r="E593">
        <v>11556</v>
      </c>
      <c r="F593">
        <v>4493</v>
      </c>
      <c r="G593" t="s">
        <v>13</v>
      </c>
      <c r="H593" t="s">
        <v>14</v>
      </c>
      <c r="I593" t="s">
        <v>53</v>
      </c>
      <c r="J593" s="2">
        <f>Table1[[#This Row],[Profit]]/Table1[[#This Row],[Sales]]*100</f>
        <v>27.995513739173784</v>
      </c>
      <c r="K593" t="str">
        <f>IF(Table1[[#This Row],[Sales]]&gt;=30000,"High", IF(Table1[[#This Row],[Sales]]&gt;=15000,"Medium","Low"))</f>
        <v>Medium</v>
      </c>
      <c r="L593" t="str">
        <f>TEXT(Table1[[#This Row],[Order_Date]],"MMM")</f>
        <v>Apr</v>
      </c>
      <c r="M593" t="str">
        <f>IF(Table1[[#This Row],[Profit]]&gt;=10000,"Excellent",IF(Table1[[#This Row],[Profit]]&gt;5000,"Good","Low"))</f>
        <v>Low</v>
      </c>
      <c r="N593" t="str">
        <f>TEXT(Table1[[#This Row],[Order_Date]],"YYYY")</f>
        <v>2026</v>
      </c>
    </row>
    <row r="594" spans="1:14" x14ac:dyDescent="0.25">
      <c r="A594" s="1">
        <v>46039</v>
      </c>
      <c r="B594" t="s">
        <v>44</v>
      </c>
      <c r="C594" t="s">
        <v>33</v>
      </c>
      <c r="D594">
        <v>13816</v>
      </c>
      <c r="E594">
        <v>12725</v>
      </c>
      <c r="F594">
        <v>1091</v>
      </c>
      <c r="G594" t="s">
        <v>19</v>
      </c>
      <c r="H594" t="s">
        <v>28</v>
      </c>
      <c r="I594" t="s">
        <v>53</v>
      </c>
      <c r="J594" s="2">
        <f>Table1[[#This Row],[Profit]]/Table1[[#This Row],[Sales]]*100</f>
        <v>7.8966415749855248</v>
      </c>
      <c r="K594" t="str">
        <f>IF(Table1[[#This Row],[Sales]]&gt;=30000,"High", IF(Table1[[#This Row],[Sales]]&gt;=15000,"Medium","Low"))</f>
        <v>Low</v>
      </c>
      <c r="L594" t="str">
        <f>TEXT(Table1[[#This Row],[Order_Date]],"MMM")</f>
        <v>Jan</v>
      </c>
      <c r="M594" t="str">
        <f>IF(Table1[[#This Row],[Profit]]&gt;=10000,"Excellent",IF(Table1[[#This Row],[Profit]]&gt;5000,"Good","Low"))</f>
        <v>Low</v>
      </c>
      <c r="N594" t="str">
        <f>TEXT(Table1[[#This Row],[Order_Date]],"YYYY")</f>
        <v>2026</v>
      </c>
    </row>
    <row r="595" spans="1:14" x14ac:dyDescent="0.25">
      <c r="A595" s="1">
        <v>46024</v>
      </c>
      <c r="B595" t="s">
        <v>11</v>
      </c>
      <c r="C595" t="s">
        <v>12</v>
      </c>
      <c r="D595">
        <v>37700</v>
      </c>
      <c r="E595">
        <v>19179</v>
      </c>
      <c r="F595">
        <v>18521</v>
      </c>
      <c r="G595" t="s">
        <v>13</v>
      </c>
      <c r="H595" t="s">
        <v>28</v>
      </c>
      <c r="I595" t="s">
        <v>53</v>
      </c>
      <c r="J595" s="2">
        <f>Table1[[#This Row],[Profit]]/Table1[[#This Row],[Sales]]*100</f>
        <v>49.127320954907162</v>
      </c>
      <c r="K595" t="str">
        <f>IF(Table1[[#This Row],[Sales]]&gt;=30000,"High", IF(Table1[[#This Row],[Sales]]&gt;=15000,"Medium","Low"))</f>
        <v>High</v>
      </c>
      <c r="L595" t="str">
        <f>TEXT(Table1[[#This Row],[Order_Date]],"MMM")</f>
        <v>Jan</v>
      </c>
      <c r="M595" t="str">
        <f>IF(Table1[[#This Row],[Profit]]&gt;=10000,"Excellent",IF(Table1[[#This Row],[Profit]]&gt;5000,"Good","Low"))</f>
        <v>Excellent</v>
      </c>
      <c r="N595" t="str">
        <f>TEXT(Table1[[#This Row],[Order_Date]],"YYYY")</f>
        <v>2026</v>
      </c>
    </row>
    <row r="596" spans="1:14" x14ac:dyDescent="0.25">
      <c r="A596" s="1">
        <v>45883</v>
      </c>
      <c r="B596" t="s">
        <v>44</v>
      </c>
      <c r="C596" t="s">
        <v>41</v>
      </c>
      <c r="D596">
        <v>11382</v>
      </c>
      <c r="E596">
        <v>876</v>
      </c>
      <c r="F596">
        <v>10506</v>
      </c>
      <c r="G596" t="s">
        <v>13</v>
      </c>
      <c r="H596" t="s">
        <v>63</v>
      </c>
      <c r="I596" t="s">
        <v>29</v>
      </c>
      <c r="J596" s="2">
        <f>Table1[[#This Row],[Profit]]/Table1[[#This Row],[Sales]]*100</f>
        <v>92.303637322087511</v>
      </c>
      <c r="K596" t="str">
        <f>IF(Table1[[#This Row],[Sales]]&gt;=30000,"High", IF(Table1[[#This Row],[Sales]]&gt;=15000,"Medium","Low"))</f>
        <v>Low</v>
      </c>
      <c r="L596" t="str">
        <f>TEXT(Table1[[#This Row],[Order_Date]],"MMM")</f>
        <v>Aug</v>
      </c>
      <c r="M596" t="str">
        <f>IF(Table1[[#This Row],[Profit]]&gt;=10000,"Excellent",IF(Table1[[#This Row],[Profit]]&gt;5000,"Good","Low"))</f>
        <v>Excellent</v>
      </c>
      <c r="N596" t="str">
        <f>TEXT(Table1[[#This Row],[Order_Date]],"YYYY")</f>
        <v>2025</v>
      </c>
    </row>
    <row r="597" spans="1:14" x14ac:dyDescent="0.25">
      <c r="A597" s="1">
        <v>45304</v>
      </c>
      <c r="B597" t="s">
        <v>44</v>
      </c>
      <c r="C597" t="s">
        <v>33</v>
      </c>
      <c r="D597">
        <v>31163</v>
      </c>
      <c r="E597">
        <v>26666</v>
      </c>
      <c r="F597">
        <v>4497</v>
      </c>
      <c r="G597" t="s">
        <v>27</v>
      </c>
      <c r="H597" t="s">
        <v>60</v>
      </c>
      <c r="I597" t="s">
        <v>15</v>
      </c>
      <c r="J597" s="2">
        <f>Table1[[#This Row],[Profit]]/Table1[[#This Row],[Sales]]*100</f>
        <v>14.430574720020536</v>
      </c>
      <c r="K597" t="str">
        <f>IF(Table1[[#This Row],[Sales]]&gt;=30000,"High", IF(Table1[[#This Row],[Sales]]&gt;=15000,"Medium","Low"))</f>
        <v>High</v>
      </c>
      <c r="L597" t="str">
        <f>TEXT(Table1[[#This Row],[Order_Date]],"MMM")</f>
        <v>Jan</v>
      </c>
      <c r="M597" t="str">
        <f>IF(Table1[[#This Row],[Profit]]&gt;=10000,"Excellent",IF(Table1[[#This Row],[Profit]]&gt;5000,"Good","Low"))</f>
        <v>Low</v>
      </c>
      <c r="N597" t="str">
        <f>TEXT(Table1[[#This Row],[Order_Date]],"YYYY")</f>
        <v>2024</v>
      </c>
    </row>
    <row r="598" spans="1:14" x14ac:dyDescent="0.25">
      <c r="A598" s="1">
        <v>46039</v>
      </c>
      <c r="B598" t="s">
        <v>22</v>
      </c>
      <c r="C598" t="s">
        <v>18</v>
      </c>
      <c r="D598">
        <v>47165</v>
      </c>
      <c r="E598">
        <v>27529</v>
      </c>
      <c r="F598">
        <v>19636</v>
      </c>
      <c r="G598" t="s">
        <v>27</v>
      </c>
      <c r="H598" t="s">
        <v>63</v>
      </c>
      <c r="I598" t="s">
        <v>53</v>
      </c>
      <c r="J598" s="2">
        <f>Table1[[#This Row],[Profit]]/Table1[[#This Row],[Sales]]*100</f>
        <v>41.632566521785222</v>
      </c>
      <c r="K598" t="str">
        <f>IF(Table1[[#This Row],[Sales]]&gt;=30000,"High", IF(Table1[[#This Row],[Sales]]&gt;=15000,"Medium","Low"))</f>
        <v>High</v>
      </c>
      <c r="L598" t="str">
        <f>TEXT(Table1[[#This Row],[Order_Date]],"MMM")</f>
        <v>Jan</v>
      </c>
      <c r="M598" t="str">
        <f>IF(Table1[[#This Row],[Profit]]&gt;=10000,"Excellent",IF(Table1[[#This Row],[Profit]]&gt;5000,"Good","Low"))</f>
        <v>Excellent</v>
      </c>
      <c r="N598" t="str">
        <f>TEXT(Table1[[#This Row],[Order_Date]],"YYYY")</f>
        <v>2026</v>
      </c>
    </row>
    <row r="599" spans="1:14" x14ac:dyDescent="0.25">
      <c r="A599" s="1">
        <v>45496</v>
      </c>
      <c r="B599" t="s">
        <v>17</v>
      </c>
      <c r="C599" t="s">
        <v>12</v>
      </c>
      <c r="D599">
        <v>18260</v>
      </c>
      <c r="E599">
        <v>1785</v>
      </c>
      <c r="F599">
        <v>16475</v>
      </c>
      <c r="G599" t="s">
        <v>19</v>
      </c>
      <c r="H599" t="s">
        <v>63</v>
      </c>
      <c r="I599" t="s">
        <v>29</v>
      </c>
      <c r="J599" s="2">
        <f>Table1[[#This Row],[Profit]]/Table1[[#This Row],[Sales]]*100</f>
        <v>90.224534501642935</v>
      </c>
      <c r="K599" t="str">
        <f>IF(Table1[[#This Row],[Sales]]&gt;=30000,"High", IF(Table1[[#This Row],[Sales]]&gt;=15000,"Medium","Low"))</f>
        <v>Medium</v>
      </c>
      <c r="L599" t="str">
        <f>TEXT(Table1[[#This Row],[Order_Date]],"MMM")</f>
        <v>Jul</v>
      </c>
      <c r="M599" t="str">
        <f>IF(Table1[[#This Row],[Profit]]&gt;=10000,"Excellent",IF(Table1[[#This Row],[Profit]]&gt;5000,"Good","Low"))</f>
        <v>Excellent</v>
      </c>
      <c r="N599" t="str">
        <f>TEXT(Table1[[#This Row],[Order_Date]],"YYYY")</f>
        <v>2024</v>
      </c>
    </row>
    <row r="600" spans="1:14" x14ac:dyDescent="0.25">
      <c r="A600" s="1">
        <v>45713</v>
      </c>
      <c r="B600" t="s">
        <v>11</v>
      </c>
      <c r="C600" t="s">
        <v>41</v>
      </c>
      <c r="D600">
        <v>47759</v>
      </c>
      <c r="E600">
        <v>36997</v>
      </c>
      <c r="F600">
        <v>10762</v>
      </c>
      <c r="G600" t="s">
        <v>13</v>
      </c>
      <c r="H600" t="s">
        <v>23</v>
      </c>
      <c r="I600" t="s">
        <v>15</v>
      </c>
      <c r="J600" s="2">
        <f>Table1[[#This Row],[Profit]]/Table1[[#This Row],[Sales]]*100</f>
        <v>22.53397265436881</v>
      </c>
      <c r="K600" t="str">
        <f>IF(Table1[[#This Row],[Sales]]&gt;=30000,"High", IF(Table1[[#This Row],[Sales]]&gt;=15000,"Medium","Low"))</f>
        <v>High</v>
      </c>
      <c r="L600" t="str">
        <f>TEXT(Table1[[#This Row],[Order_Date]],"MMM")</f>
        <v>Feb</v>
      </c>
      <c r="M600" t="str">
        <f>IF(Table1[[#This Row],[Profit]]&gt;=10000,"Excellent",IF(Table1[[#This Row],[Profit]]&gt;5000,"Good","Low"))</f>
        <v>Excellent</v>
      </c>
      <c r="N600" t="str">
        <f>TEXT(Table1[[#This Row],[Order_Date]],"YYYY")</f>
        <v>2025</v>
      </c>
    </row>
    <row r="601" spans="1:14" x14ac:dyDescent="0.25">
      <c r="A601" s="1">
        <v>46047</v>
      </c>
      <c r="B601" t="s">
        <v>26</v>
      </c>
      <c r="C601" t="s">
        <v>18</v>
      </c>
      <c r="D601">
        <v>41828</v>
      </c>
      <c r="E601">
        <v>31115</v>
      </c>
      <c r="F601">
        <v>10713</v>
      </c>
      <c r="G601" t="s">
        <v>38</v>
      </c>
      <c r="H601" t="s">
        <v>60</v>
      </c>
      <c r="I601" t="s">
        <v>15</v>
      </c>
      <c r="J601" s="2">
        <f>Table1[[#This Row],[Profit]]/Table1[[#This Row],[Sales]]*100</f>
        <v>25.612030218992061</v>
      </c>
      <c r="K601" t="str">
        <f>IF(Table1[[#This Row],[Sales]]&gt;=30000,"High", IF(Table1[[#This Row],[Sales]]&gt;=15000,"Medium","Low"))</f>
        <v>High</v>
      </c>
      <c r="L601" t="str">
        <f>TEXT(Table1[[#This Row],[Order_Date]],"MMM")</f>
        <v>Jan</v>
      </c>
      <c r="M601" t="str">
        <f>IF(Table1[[#This Row],[Profit]]&gt;=10000,"Excellent",IF(Table1[[#This Row],[Profit]]&gt;5000,"Good","Low"))</f>
        <v>Excellent</v>
      </c>
      <c r="N601" t="str">
        <f>TEXT(Table1[[#This Row],[Order_Date]],"YYYY")</f>
        <v>2026</v>
      </c>
    </row>
    <row r="602" spans="1:14" x14ac:dyDescent="0.25">
      <c r="A602" s="1">
        <v>45616</v>
      </c>
      <c r="B602" t="s">
        <v>26</v>
      </c>
      <c r="C602" t="s">
        <v>33</v>
      </c>
      <c r="D602">
        <v>45379</v>
      </c>
      <c r="E602">
        <v>42586</v>
      </c>
      <c r="F602">
        <v>2793</v>
      </c>
      <c r="G602" t="s">
        <v>38</v>
      </c>
      <c r="H602" t="s">
        <v>14</v>
      </c>
      <c r="I602" t="s">
        <v>53</v>
      </c>
      <c r="J602" s="2">
        <f>Table1[[#This Row],[Profit]]/Table1[[#This Row],[Sales]]*100</f>
        <v>6.1548293263403773</v>
      </c>
      <c r="K602" t="str">
        <f>IF(Table1[[#This Row],[Sales]]&gt;=30000,"High", IF(Table1[[#This Row],[Sales]]&gt;=15000,"Medium","Low"))</f>
        <v>High</v>
      </c>
      <c r="L602" t="str">
        <f>TEXT(Table1[[#This Row],[Order_Date]],"MMM")</f>
        <v>Nov</v>
      </c>
      <c r="M602" t="str">
        <f>IF(Table1[[#This Row],[Profit]]&gt;=10000,"Excellent",IF(Table1[[#This Row],[Profit]]&gt;5000,"Good","Low"))</f>
        <v>Low</v>
      </c>
      <c r="N602" t="str">
        <f>TEXT(Table1[[#This Row],[Order_Date]],"YYYY")</f>
        <v>2024</v>
      </c>
    </row>
    <row r="603" spans="1:14" x14ac:dyDescent="0.25">
      <c r="A603" s="1">
        <v>45288</v>
      </c>
      <c r="B603" t="s">
        <v>17</v>
      </c>
      <c r="C603" t="s">
        <v>12</v>
      </c>
      <c r="D603">
        <v>13692</v>
      </c>
      <c r="E603">
        <v>8272</v>
      </c>
      <c r="F603">
        <v>5420</v>
      </c>
      <c r="G603" t="s">
        <v>13</v>
      </c>
      <c r="H603" t="s">
        <v>78</v>
      </c>
      <c r="I603" t="s">
        <v>24</v>
      </c>
      <c r="J603" s="2">
        <f>Table1[[#This Row],[Profit]]/Table1[[#This Row],[Sales]]*100</f>
        <v>39.585159217061054</v>
      </c>
      <c r="K603" t="str">
        <f>IF(Table1[[#This Row],[Sales]]&gt;=30000,"High", IF(Table1[[#This Row],[Sales]]&gt;=15000,"Medium","Low"))</f>
        <v>Low</v>
      </c>
      <c r="L603" t="str">
        <f>TEXT(Table1[[#This Row],[Order_Date]],"MMM")</f>
        <v>Dec</v>
      </c>
      <c r="M603" t="str">
        <f>IF(Table1[[#This Row],[Profit]]&gt;=10000,"Excellent",IF(Table1[[#This Row],[Profit]]&gt;5000,"Good","Low"))</f>
        <v>Good</v>
      </c>
      <c r="N603" t="str">
        <f>TEXT(Table1[[#This Row],[Order_Date]],"YYYY")</f>
        <v>2023</v>
      </c>
    </row>
    <row r="604" spans="1:14" x14ac:dyDescent="0.25">
      <c r="A604" s="1">
        <v>45968</v>
      </c>
      <c r="B604" t="s">
        <v>11</v>
      </c>
      <c r="C604" t="s">
        <v>12</v>
      </c>
      <c r="D604">
        <v>34545</v>
      </c>
      <c r="E604">
        <v>21724</v>
      </c>
      <c r="F604">
        <v>12821</v>
      </c>
      <c r="G604" t="s">
        <v>13</v>
      </c>
      <c r="H604" t="s">
        <v>14</v>
      </c>
      <c r="I604" t="s">
        <v>15</v>
      </c>
      <c r="J604" s="2">
        <f>Table1[[#This Row],[Profit]]/Table1[[#This Row],[Sales]]*100</f>
        <v>37.113909393544652</v>
      </c>
      <c r="K604" t="str">
        <f>IF(Table1[[#This Row],[Sales]]&gt;=30000,"High", IF(Table1[[#This Row],[Sales]]&gt;=15000,"Medium","Low"))</f>
        <v>High</v>
      </c>
      <c r="L604" t="str">
        <f>TEXT(Table1[[#This Row],[Order_Date]],"MMM")</f>
        <v>Nov</v>
      </c>
      <c r="M604" t="str">
        <f>IF(Table1[[#This Row],[Profit]]&gt;=10000,"Excellent",IF(Table1[[#This Row],[Profit]]&gt;5000,"Good","Low"))</f>
        <v>Excellent</v>
      </c>
      <c r="N604" t="str">
        <f>TEXT(Table1[[#This Row],[Order_Date]],"YYYY")</f>
        <v>2025</v>
      </c>
    </row>
    <row r="605" spans="1:14" x14ac:dyDescent="0.25">
      <c r="A605" s="1">
        <v>46183</v>
      </c>
      <c r="B605" t="s">
        <v>26</v>
      </c>
      <c r="C605" t="s">
        <v>36</v>
      </c>
      <c r="D605">
        <v>47274</v>
      </c>
      <c r="E605">
        <v>39612</v>
      </c>
      <c r="F605">
        <v>7662</v>
      </c>
      <c r="G605" t="s">
        <v>13</v>
      </c>
      <c r="H605" t="s">
        <v>14</v>
      </c>
      <c r="I605" t="s">
        <v>15</v>
      </c>
      <c r="J605" s="2">
        <f>Table1[[#This Row],[Profit]]/Table1[[#This Row],[Sales]]*100</f>
        <v>16.207640563523292</v>
      </c>
      <c r="K605" t="str">
        <f>IF(Table1[[#This Row],[Sales]]&gt;=30000,"High", IF(Table1[[#This Row],[Sales]]&gt;=15000,"Medium","Low"))</f>
        <v>High</v>
      </c>
      <c r="L605" t="str">
        <f>TEXT(Table1[[#This Row],[Order_Date]],"MMM")</f>
        <v>Jun</v>
      </c>
      <c r="M605" t="str">
        <f>IF(Table1[[#This Row],[Profit]]&gt;=10000,"Excellent",IF(Table1[[#This Row],[Profit]]&gt;5000,"Good","Low"))</f>
        <v>Good</v>
      </c>
      <c r="N605" t="str">
        <f>TEXT(Table1[[#This Row],[Order_Date]],"YYYY")</f>
        <v>2026</v>
      </c>
    </row>
    <row r="606" spans="1:14" x14ac:dyDescent="0.25">
      <c r="A606" s="1">
        <v>45714</v>
      </c>
      <c r="B606" t="s">
        <v>11</v>
      </c>
      <c r="C606" t="s">
        <v>41</v>
      </c>
      <c r="D606">
        <v>11850</v>
      </c>
      <c r="E606">
        <v>9791</v>
      </c>
      <c r="F606">
        <v>2059</v>
      </c>
      <c r="G606" t="s">
        <v>38</v>
      </c>
      <c r="H606" t="s">
        <v>60</v>
      </c>
      <c r="I606" t="s">
        <v>29</v>
      </c>
      <c r="J606" s="2">
        <f>Table1[[#This Row],[Profit]]/Table1[[#This Row],[Sales]]*100</f>
        <v>17.375527426160335</v>
      </c>
      <c r="K606" t="str">
        <f>IF(Table1[[#This Row],[Sales]]&gt;=30000,"High", IF(Table1[[#This Row],[Sales]]&gt;=15000,"Medium","Low"))</f>
        <v>Low</v>
      </c>
      <c r="L606" t="str">
        <f>TEXT(Table1[[#This Row],[Order_Date]],"MMM")</f>
        <v>Feb</v>
      </c>
      <c r="M606" t="str">
        <f>IF(Table1[[#This Row],[Profit]]&gt;=10000,"Excellent",IF(Table1[[#This Row],[Profit]]&gt;5000,"Good","Low"))</f>
        <v>Low</v>
      </c>
      <c r="N606" t="str">
        <f>TEXT(Table1[[#This Row],[Order_Date]],"YYYY")</f>
        <v>2025</v>
      </c>
    </row>
    <row r="607" spans="1:14" x14ac:dyDescent="0.25">
      <c r="A607" s="1">
        <v>46088</v>
      </c>
      <c r="B607" t="s">
        <v>44</v>
      </c>
      <c r="C607" t="s">
        <v>36</v>
      </c>
      <c r="D607">
        <v>44390</v>
      </c>
      <c r="E607">
        <v>43337</v>
      </c>
      <c r="F607">
        <v>1053</v>
      </c>
      <c r="G607" t="s">
        <v>38</v>
      </c>
      <c r="H607" t="s">
        <v>60</v>
      </c>
      <c r="I607" t="s">
        <v>24</v>
      </c>
      <c r="J607" s="2">
        <f>Table1[[#This Row],[Profit]]/Table1[[#This Row],[Sales]]*100</f>
        <v>2.3721558909664338</v>
      </c>
      <c r="K607" t="str">
        <f>IF(Table1[[#This Row],[Sales]]&gt;=30000,"High", IF(Table1[[#This Row],[Sales]]&gt;=15000,"Medium","Low"))</f>
        <v>High</v>
      </c>
      <c r="L607" t="str">
        <f>TEXT(Table1[[#This Row],[Order_Date]],"MMM")</f>
        <v>Mar</v>
      </c>
      <c r="M607" t="str">
        <f>IF(Table1[[#This Row],[Profit]]&gt;=10000,"Excellent",IF(Table1[[#This Row],[Profit]]&gt;5000,"Good","Low"))</f>
        <v>Low</v>
      </c>
      <c r="N607" t="str">
        <f>TEXT(Table1[[#This Row],[Order_Date]],"YYYY")</f>
        <v>2026</v>
      </c>
    </row>
    <row r="608" spans="1:14" x14ac:dyDescent="0.25">
      <c r="A608" s="1">
        <v>46070</v>
      </c>
      <c r="B608" t="s">
        <v>44</v>
      </c>
      <c r="C608" t="s">
        <v>33</v>
      </c>
      <c r="D608">
        <v>21699</v>
      </c>
      <c r="E608">
        <v>20040</v>
      </c>
      <c r="F608">
        <v>1659</v>
      </c>
      <c r="G608" t="s">
        <v>27</v>
      </c>
      <c r="H608" t="s">
        <v>31</v>
      </c>
      <c r="I608" t="s">
        <v>42</v>
      </c>
      <c r="J608" s="2">
        <f>Table1[[#This Row],[Profit]]/Table1[[#This Row],[Sales]]*100</f>
        <v>7.645513618139085</v>
      </c>
      <c r="K608" t="str">
        <f>IF(Table1[[#This Row],[Sales]]&gt;=30000,"High", IF(Table1[[#This Row],[Sales]]&gt;=15000,"Medium","Low"))</f>
        <v>Medium</v>
      </c>
      <c r="L608" t="str">
        <f>TEXT(Table1[[#This Row],[Order_Date]],"MMM")</f>
        <v>Feb</v>
      </c>
      <c r="M608" t="str">
        <f>IF(Table1[[#This Row],[Profit]]&gt;=10000,"Excellent",IF(Table1[[#This Row],[Profit]]&gt;5000,"Good","Low"))</f>
        <v>Low</v>
      </c>
      <c r="N608" t="str">
        <f>TEXT(Table1[[#This Row],[Order_Date]],"YYYY")</f>
        <v>2026</v>
      </c>
    </row>
    <row r="609" spans="1:14" x14ac:dyDescent="0.25">
      <c r="A609" s="1">
        <v>45374</v>
      </c>
      <c r="B609" t="s">
        <v>26</v>
      </c>
      <c r="C609" t="s">
        <v>12</v>
      </c>
      <c r="D609">
        <v>11209</v>
      </c>
      <c r="E609">
        <v>3465</v>
      </c>
      <c r="F609">
        <v>7744</v>
      </c>
      <c r="G609" t="s">
        <v>19</v>
      </c>
      <c r="H609" t="s">
        <v>60</v>
      </c>
      <c r="I609" t="s">
        <v>24</v>
      </c>
      <c r="J609" s="2">
        <f>Table1[[#This Row],[Profit]]/Table1[[#This Row],[Sales]]*100</f>
        <v>69.087340529931311</v>
      </c>
      <c r="K609" t="str">
        <f>IF(Table1[[#This Row],[Sales]]&gt;=30000,"High", IF(Table1[[#This Row],[Sales]]&gt;=15000,"Medium","Low"))</f>
        <v>Low</v>
      </c>
      <c r="L609" t="str">
        <f>TEXT(Table1[[#This Row],[Order_Date]],"MMM")</f>
        <v>Mar</v>
      </c>
      <c r="M609" t="str">
        <f>IF(Table1[[#This Row],[Profit]]&gt;=10000,"Excellent",IF(Table1[[#This Row],[Profit]]&gt;5000,"Good","Low"))</f>
        <v>Good</v>
      </c>
      <c r="N609" t="str">
        <f>TEXT(Table1[[#This Row],[Order_Date]],"YYYY")</f>
        <v>2024</v>
      </c>
    </row>
    <row r="610" spans="1:14" x14ac:dyDescent="0.25">
      <c r="A610" s="1">
        <v>45796</v>
      </c>
      <c r="B610" t="s">
        <v>26</v>
      </c>
      <c r="C610" t="s">
        <v>41</v>
      </c>
      <c r="D610">
        <v>30364</v>
      </c>
      <c r="E610">
        <v>24712</v>
      </c>
      <c r="F610">
        <v>5652</v>
      </c>
      <c r="G610" t="s">
        <v>13</v>
      </c>
      <c r="H610" t="s">
        <v>78</v>
      </c>
      <c r="I610" t="s">
        <v>53</v>
      </c>
      <c r="J610" s="2">
        <f>Table1[[#This Row],[Profit]]/Table1[[#This Row],[Sales]]*100</f>
        <v>18.61414833355289</v>
      </c>
      <c r="K610" t="str">
        <f>IF(Table1[[#This Row],[Sales]]&gt;=30000,"High", IF(Table1[[#This Row],[Sales]]&gt;=15000,"Medium","Low"))</f>
        <v>High</v>
      </c>
      <c r="L610" t="str">
        <f>TEXT(Table1[[#This Row],[Order_Date]],"MMM")</f>
        <v>May</v>
      </c>
      <c r="M610" t="str">
        <f>IF(Table1[[#This Row],[Profit]]&gt;=10000,"Excellent",IF(Table1[[#This Row],[Profit]]&gt;5000,"Good","Low"))</f>
        <v>Good</v>
      </c>
      <c r="N610" t="str">
        <f>TEXT(Table1[[#This Row],[Order_Date]],"YYYY")</f>
        <v>2025</v>
      </c>
    </row>
    <row r="611" spans="1:14" x14ac:dyDescent="0.25">
      <c r="A611" s="1">
        <v>45359</v>
      </c>
      <c r="B611" t="s">
        <v>17</v>
      </c>
      <c r="C611" t="s">
        <v>33</v>
      </c>
      <c r="D611">
        <v>24665</v>
      </c>
      <c r="E611">
        <v>14998</v>
      </c>
      <c r="F611">
        <v>9667</v>
      </c>
      <c r="G611" t="s">
        <v>19</v>
      </c>
      <c r="H611" t="s">
        <v>20</v>
      </c>
      <c r="I611" t="s">
        <v>42</v>
      </c>
      <c r="J611" s="2">
        <f>Table1[[#This Row],[Profit]]/Table1[[#This Row],[Sales]]*100</f>
        <v>39.193188728968174</v>
      </c>
      <c r="K611" t="str">
        <f>IF(Table1[[#This Row],[Sales]]&gt;=30000,"High", IF(Table1[[#This Row],[Sales]]&gt;=15000,"Medium","Low"))</f>
        <v>Medium</v>
      </c>
      <c r="L611" t="str">
        <f>TEXT(Table1[[#This Row],[Order_Date]],"MMM")</f>
        <v>Mar</v>
      </c>
      <c r="M611" t="str">
        <f>IF(Table1[[#This Row],[Profit]]&gt;=10000,"Excellent",IF(Table1[[#This Row],[Profit]]&gt;5000,"Good","Low"))</f>
        <v>Good</v>
      </c>
      <c r="N611" t="str">
        <f>TEXT(Table1[[#This Row],[Order_Date]],"YYYY")</f>
        <v>2024</v>
      </c>
    </row>
    <row r="612" spans="1:14" x14ac:dyDescent="0.25">
      <c r="A612" s="1">
        <v>45169</v>
      </c>
      <c r="B612" t="s">
        <v>11</v>
      </c>
      <c r="C612" t="s">
        <v>12</v>
      </c>
      <c r="D612">
        <v>20807</v>
      </c>
      <c r="E612">
        <v>12362</v>
      </c>
      <c r="F612">
        <v>8445</v>
      </c>
      <c r="G612" t="s">
        <v>38</v>
      </c>
      <c r="H612" t="s">
        <v>28</v>
      </c>
      <c r="I612" t="s">
        <v>42</v>
      </c>
      <c r="J612" s="2">
        <f>Table1[[#This Row],[Profit]]/Table1[[#This Row],[Sales]]*100</f>
        <v>40.587302350170617</v>
      </c>
      <c r="K612" t="str">
        <f>IF(Table1[[#This Row],[Sales]]&gt;=30000,"High", IF(Table1[[#This Row],[Sales]]&gt;=15000,"Medium","Low"))</f>
        <v>Medium</v>
      </c>
      <c r="L612" t="str">
        <f>TEXT(Table1[[#This Row],[Order_Date]],"MMM")</f>
        <v>Aug</v>
      </c>
      <c r="M612" t="str">
        <f>IF(Table1[[#This Row],[Profit]]&gt;=10000,"Excellent",IF(Table1[[#This Row],[Profit]]&gt;5000,"Good","Low"))</f>
        <v>Good</v>
      </c>
      <c r="N612" t="str">
        <f>TEXT(Table1[[#This Row],[Order_Date]],"YYYY")</f>
        <v>2023</v>
      </c>
    </row>
    <row r="613" spans="1:14" x14ac:dyDescent="0.25">
      <c r="A613" s="1">
        <v>45312</v>
      </c>
      <c r="B613" t="s">
        <v>44</v>
      </c>
      <c r="C613" t="s">
        <v>33</v>
      </c>
      <c r="D613">
        <v>7542</v>
      </c>
      <c r="E613">
        <v>6547</v>
      </c>
      <c r="F613">
        <v>995</v>
      </c>
      <c r="G613" t="s">
        <v>19</v>
      </c>
      <c r="H613" t="s">
        <v>20</v>
      </c>
      <c r="I613" t="s">
        <v>15</v>
      </c>
      <c r="J613" s="2">
        <f>Table1[[#This Row],[Profit]]/Table1[[#This Row],[Sales]]*100</f>
        <v>13.192787059135508</v>
      </c>
      <c r="K613" t="str">
        <f>IF(Table1[[#This Row],[Sales]]&gt;=30000,"High", IF(Table1[[#This Row],[Sales]]&gt;=15000,"Medium","Low"))</f>
        <v>Low</v>
      </c>
      <c r="L613" t="str">
        <f>TEXT(Table1[[#This Row],[Order_Date]],"MMM")</f>
        <v>Jan</v>
      </c>
      <c r="M613" t="str">
        <f>IF(Table1[[#This Row],[Profit]]&gt;=10000,"Excellent",IF(Table1[[#This Row],[Profit]]&gt;5000,"Good","Low"))</f>
        <v>Low</v>
      </c>
      <c r="N613" t="str">
        <f>TEXT(Table1[[#This Row],[Order_Date]],"YYYY")</f>
        <v>2024</v>
      </c>
    </row>
    <row r="614" spans="1:14" x14ac:dyDescent="0.25">
      <c r="A614" s="1">
        <v>46056</v>
      </c>
      <c r="B614" t="s">
        <v>26</v>
      </c>
      <c r="C614" t="s">
        <v>41</v>
      </c>
      <c r="D614">
        <v>24815</v>
      </c>
      <c r="E614">
        <v>7826</v>
      </c>
      <c r="F614">
        <v>16989</v>
      </c>
      <c r="G614" t="s">
        <v>27</v>
      </c>
      <c r="H614" t="s">
        <v>45</v>
      </c>
      <c r="I614" t="s">
        <v>15</v>
      </c>
      <c r="J614" s="2">
        <f>Table1[[#This Row],[Profit]]/Table1[[#This Row],[Sales]]*100</f>
        <v>68.4626234132581</v>
      </c>
      <c r="K614" t="str">
        <f>IF(Table1[[#This Row],[Sales]]&gt;=30000,"High", IF(Table1[[#This Row],[Sales]]&gt;=15000,"Medium","Low"))</f>
        <v>Medium</v>
      </c>
      <c r="L614" t="str">
        <f>TEXT(Table1[[#This Row],[Order_Date]],"MMM")</f>
        <v>Feb</v>
      </c>
      <c r="M614" t="str">
        <f>IF(Table1[[#This Row],[Profit]]&gt;=10000,"Excellent",IF(Table1[[#This Row],[Profit]]&gt;5000,"Good","Low"))</f>
        <v>Excellent</v>
      </c>
      <c r="N614" t="str">
        <f>TEXT(Table1[[#This Row],[Order_Date]],"YYYY")</f>
        <v>2026</v>
      </c>
    </row>
    <row r="615" spans="1:14" x14ac:dyDescent="0.25">
      <c r="A615" s="1">
        <v>45918</v>
      </c>
      <c r="B615" t="s">
        <v>44</v>
      </c>
      <c r="C615" t="s">
        <v>36</v>
      </c>
      <c r="D615">
        <v>14738</v>
      </c>
      <c r="E615">
        <v>7196</v>
      </c>
      <c r="F615">
        <v>7542</v>
      </c>
      <c r="G615" t="s">
        <v>27</v>
      </c>
      <c r="H615" t="s">
        <v>60</v>
      </c>
      <c r="I615" t="s">
        <v>24</v>
      </c>
      <c r="J615" s="2">
        <f>Table1[[#This Row],[Profit]]/Table1[[#This Row],[Sales]]*100</f>
        <v>51.173836341430309</v>
      </c>
      <c r="K615" t="str">
        <f>IF(Table1[[#This Row],[Sales]]&gt;=30000,"High", IF(Table1[[#This Row],[Sales]]&gt;=15000,"Medium","Low"))</f>
        <v>Low</v>
      </c>
      <c r="L615" t="str">
        <f>TEXT(Table1[[#This Row],[Order_Date]],"MMM")</f>
        <v>Sep</v>
      </c>
      <c r="M615" t="str">
        <f>IF(Table1[[#This Row],[Profit]]&gt;=10000,"Excellent",IF(Table1[[#This Row],[Profit]]&gt;5000,"Good","Low"))</f>
        <v>Good</v>
      </c>
      <c r="N615" t="str">
        <f>TEXT(Table1[[#This Row],[Order_Date]],"YYYY")</f>
        <v>2025</v>
      </c>
    </row>
    <row r="616" spans="1:14" x14ac:dyDescent="0.25">
      <c r="A616" s="1">
        <v>46070</v>
      </c>
      <c r="B616" t="s">
        <v>11</v>
      </c>
      <c r="C616" t="s">
        <v>36</v>
      </c>
      <c r="D616">
        <v>46630</v>
      </c>
      <c r="E616">
        <v>29081</v>
      </c>
      <c r="F616">
        <v>17549</v>
      </c>
      <c r="G616" t="s">
        <v>38</v>
      </c>
      <c r="H616" t="s">
        <v>31</v>
      </c>
      <c r="I616" t="s">
        <v>53</v>
      </c>
      <c r="J616" s="2">
        <f>Table1[[#This Row],[Profit]]/Table1[[#This Row],[Sales]]*100</f>
        <v>37.634570019300881</v>
      </c>
      <c r="K616" t="str">
        <f>IF(Table1[[#This Row],[Sales]]&gt;=30000,"High", IF(Table1[[#This Row],[Sales]]&gt;=15000,"Medium","Low"))</f>
        <v>High</v>
      </c>
      <c r="L616" t="str">
        <f>TEXT(Table1[[#This Row],[Order_Date]],"MMM")</f>
        <v>Feb</v>
      </c>
      <c r="M616" t="str">
        <f>IF(Table1[[#This Row],[Profit]]&gt;=10000,"Excellent",IF(Table1[[#This Row],[Profit]]&gt;5000,"Good","Low"))</f>
        <v>Excellent</v>
      </c>
      <c r="N616" t="str">
        <f>TEXT(Table1[[#This Row],[Order_Date]],"YYYY")</f>
        <v>2026</v>
      </c>
    </row>
    <row r="617" spans="1:14" x14ac:dyDescent="0.25">
      <c r="A617" s="1">
        <v>45315</v>
      </c>
      <c r="B617" t="s">
        <v>11</v>
      </c>
      <c r="C617" t="s">
        <v>36</v>
      </c>
      <c r="D617">
        <v>42148</v>
      </c>
      <c r="E617">
        <v>31993</v>
      </c>
      <c r="F617">
        <v>10155</v>
      </c>
      <c r="G617" t="s">
        <v>19</v>
      </c>
      <c r="H617" t="s">
        <v>78</v>
      </c>
      <c r="I617" t="s">
        <v>29</v>
      </c>
      <c r="J617" s="2">
        <f>Table1[[#This Row],[Profit]]/Table1[[#This Row],[Sales]]*100</f>
        <v>24.093669925026099</v>
      </c>
      <c r="K617" t="str">
        <f>IF(Table1[[#This Row],[Sales]]&gt;=30000,"High", IF(Table1[[#This Row],[Sales]]&gt;=15000,"Medium","Low"))</f>
        <v>High</v>
      </c>
      <c r="L617" t="str">
        <f>TEXT(Table1[[#This Row],[Order_Date]],"MMM")</f>
        <v>Jan</v>
      </c>
      <c r="M617" t="str">
        <f>IF(Table1[[#This Row],[Profit]]&gt;=10000,"Excellent",IF(Table1[[#This Row],[Profit]]&gt;5000,"Good","Low"))</f>
        <v>Excellent</v>
      </c>
      <c r="N617" t="str">
        <f>TEXT(Table1[[#This Row],[Order_Date]],"YYYY")</f>
        <v>2024</v>
      </c>
    </row>
    <row r="618" spans="1:14" x14ac:dyDescent="0.25">
      <c r="A618" s="1">
        <v>45709</v>
      </c>
      <c r="B618" t="s">
        <v>11</v>
      </c>
      <c r="C618" t="s">
        <v>36</v>
      </c>
      <c r="D618">
        <v>26081</v>
      </c>
      <c r="E618">
        <v>24076</v>
      </c>
      <c r="F618">
        <v>2005</v>
      </c>
      <c r="G618" t="s">
        <v>19</v>
      </c>
      <c r="H618" t="s">
        <v>28</v>
      </c>
      <c r="I618" t="s">
        <v>42</v>
      </c>
      <c r="J618" s="2">
        <f>Table1[[#This Row],[Profit]]/Table1[[#This Row],[Sales]]*100</f>
        <v>7.6875886660787538</v>
      </c>
      <c r="K618" t="str">
        <f>IF(Table1[[#This Row],[Sales]]&gt;=30000,"High", IF(Table1[[#This Row],[Sales]]&gt;=15000,"Medium","Low"))</f>
        <v>Medium</v>
      </c>
      <c r="L618" t="str">
        <f>TEXT(Table1[[#This Row],[Order_Date]],"MMM")</f>
        <v>Feb</v>
      </c>
      <c r="M618" t="str">
        <f>IF(Table1[[#This Row],[Profit]]&gt;=10000,"Excellent",IF(Table1[[#This Row],[Profit]]&gt;5000,"Good","Low"))</f>
        <v>Low</v>
      </c>
      <c r="N618" t="str">
        <f>TEXT(Table1[[#This Row],[Order_Date]],"YYYY")</f>
        <v>2025</v>
      </c>
    </row>
    <row r="619" spans="1:14" x14ac:dyDescent="0.25">
      <c r="A619" s="1">
        <v>45433</v>
      </c>
      <c r="B619" t="s">
        <v>17</v>
      </c>
      <c r="C619" t="s">
        <v>41</v>
      </c>
      <c r="D619">
        <v>11080</v>
      </c>
      <c r="E619">
        <v>2901</v>
      </c>
      <c r="F619">
        <v>8179</v>
      </c>
      <c r="G619" t="s">
        <v>19</v>
      </c>
      <c r="H619" t="s">
        <v>28</v>
      </c>
      <c r="I619" t="s">
        <v>53</v>
      </c>
      <c r="J619" s="2">
        <f>Table1[[#This Row],[Profit]]/Table1[[#This Row],[Sales]]*100</f>
        <v>73.817689530685925</v>
      </c>
      <c r="K619" t="str">
        <f>IF(Table1[[#This Row],[Sales]]&gt;=30000,"High", IF(Table1[[#This Row],[Sales]]&gt;=15000,"Medium","Low"))</f>
        <v>Low</v>
      </c>
      <c r="L619" t="str">
        <f>TEXT(Table1[[#This Row],[Order_Date]],"MMM")</f>
        <v>May</v>
      </c>
      <c r="M619" t="str">
        <f>IF(Table1[[#This Row],[Profit]]&gt;=10000,"Excellent",IF(Table1[[#This Row],[Profit]]&gt;5000,"Good","Low"))</f>
        <v>Good</v>
      </c>
      <c r="N619" t="str">
        <f>TEXT(Table1[[#This Row],[Order_Date]],"YYYY")</f>
        <v>2024</v>
      </c>
    </row>
    <row r="620" spans="1:14" x14ac:dyDescent="0.25">
      <c r="A620" s="1">
        <v>45851</v>
      </c>
      <c r="B620" t="s">
        <v>26</v>
      </c>
      <c r="C620" t="s">
        <v>41</v>
      </c>
      <c r="D620">
        <v>18674</v>
      </c>
      <c r="E620">
        <v>480</v>
      </c>
      <c r="F620">
        <v>18194</v>
      </c>
      <c r="G620" t="s">
        <v>19</v>
      </c>
      <c r="H620" t="s">
        <v>78</v>
      </c>
      <c r="I620" t="s">
        <v>24</v>
      </c>
      <c r="J620" s="2">
        <f>Table1[[#This Row],[Profit]]/Table1[[#This Row],[Sales]]*100</f>
        <v>97.429581235943019</v>
      </c>
      <c r="K620" t="str">
        <f>IF(Table1[[#This Row],[Sales]]&gt;=30000,"High", IF(Table1[[#This Row],[Sales]]&gt;=15000,"Medium","Low"))</f>
        <v>Medium</v>
      </c>
      <c r="L620" t="str">
        <f>TEXT(Table1[[#This Row],[Order_Date]],"MMM")</f>
        <v>Jul</v>
      </c>
      <c r="M620" t="str">
        <f>IF(Table1[[#This Row],[Profit]]&gt;=10000,"Excellent",IF(Table1[[#This Row],[Profit]]&gt;5000,"Good","Low"))</f>
        <v>Excellent</v>
      </c>
      <c r="N620" t="str">
        <f>TEXT(Table1[[#This Row],[Order_Date]],"YYYY")</f>
        <v>2025</v>
      </c>
    </row>
    <row r="621" spans="1:14" x14ac:dyDescent="0.25">
      <c r="A621" s="1">
        <v>45381</v>
      </c>
      <c r="B621" t="s">
        <v>22</v>
      </c>
      <c r="C621" t="s">
        <v>18</v>
      </c>
      <c r="D621">
        <v>32173</v>
      </c>
      <c r="E621">
        <v>31642</v>
      </c>
      <c r="F621">
        <v>531</v>
      </c>
      <c r="G621" t="s">
        <v>38</v>
      </c>
      <c r="H621" t="s">
        <v>28</v>
      </c>
      <c r="I621" t="s">
        <v>53</v>
      </c>
      <c r="J621" s="2">
        <f>Table1[[#This Row],[Profit]]/Table1[[#This Row],[Sales]]*100</f>
        <v>1.6504522425636401</v>
      </c>
      <c r="K621" t="str">
        <f>IF(Table1[[#This Row],[Sales]]&gt;=30000,"High", IF(Table1[[#This Row],[Sales]]&gt;=15000,"Medium","Low"))</f>
        <v>High</v>
      </c>
      <c r="L621" t="str">
        <f>TEXT(Table1[[#This Row],[Order_Date]],"MMM")</f>
        <v>Mar</v>
      </c>
      <c r="M621" t="str">
        <f>IF(Table1[[#This Row],[Profit]]&gt;=10000,"Excellent",IF(Table1[[#This Row],[Profit]]&gt;5000,"Good","Low"))</f>
        <v>Low</v>
      </c>
      <c r="N621" t="str">
        <f>TEXT(Table1[[#This Row],[Order_Date]],"YYYY")</f>
        <v>2024</v>
      </c>
    </row>
    <row r="622" spans="1:14" x14ac:dyDescent="0.25">
      <c r="A622" s="1">
        <v>45274</v>
      </c>
      <c r="B622" t="s">
        <v>17</v>
      </c>
      <c r="C622" t="s">
        <v>18</v>
      </c>
      <c r="D622">
        <v>20570</v>
      </c>
      <c r="E622">
        <v>18414</v>
      </c>
      <c r="F622">
        <v>2156</v>
      </c>
      <c r="G622" t="s">
        <v>27</v>
      </c>
      <c r="H622" t="s">
        <v>45</v>
      </c>
      <c r="I622" t="s">
        <v>29</v>
      </c>
      <c r="J622" s="2">
        <f>Table1[[#This Row],[Profit]]/Table1[[#This Row],[Sales]]*100</f>
        <v>10.481283422459892</v>
      </c>
      <c r="K622" t="str">
        <f>IF(Table1[[#This Row],[Sales]]&gt;=30000,"High", IF(Table1[[#This Row],[Sales]]&gt;=15000,"Medium","Low"))</f>
        <v>Medium</v>
      </c>
      <c r="L622" t="str">
        <f>TEXT(Table1[[#This Row],[Order_Date]],"MMM")</f>
        <v>Dec</v>
      </c>
      <c r="M622" t="str">
        <f>IF(Table1[[#This Row],[Profit]]&gt;=10000,"Excellent",IF(Table1[[#This Row],[Profit]]&gt;5000,"Good","Low"))</f>
        <v>Low</v>
      </c>
      <c r="N622" t="str">
        <f>TEXT(Table1[[#This Row],[Order_Date]],"YYYY")</f>
        <v>2023</v>
      </c>
    </row>
    <row r="623" spans="1:14" x14ac:dyDescent="0.25">
      <c r="A623" s="1">
        <v>45714</v>
      </c>
      <c r="B623" t="s">
        <v>26</v>
      </c>
      <c r="C623" t="s">
        <v>33</v>
      </c>
      <c r="D623">
        <v>12793</v>
      </c>
      <c r="E623">
        <v>2796</v>
      </c>
      <c r="F623">
        <v>9997</v>
      </c>
      <c r="G623" t="s">
        <v>19</v>
      </c>
      <c r="H623" t="s">
        <v>20</v>
      </c>
      <c r="I623" t="s">
        <v>42</v>
      </c>
      <c r="J623" s="2">
        <f>Table1[[#This Row],[Profit]]/Table1[[#This Row],[Sales]]*100</f>
        <v>78.144297662784339</v>
      </c>
      <c r="K623" t="str">
        <f>IF(Table1[[#This Row],[Sales]]&gt;=30000,"High", IF(Table1[[#This Row],[Sales]]&gt;=15000,"Medium","Low"))</f>
        <v>Low</v>
      </c>
      <c r="L623" t="str">
        <f>TEXT(Table1[[#This Row],[Order_Date]],"MMM")</f>
        <v>Feb</v>
      </c>
      <c r="M623" t="str">
        <f>IF(Table1[[#This Row],[Profit]]&gt;=10000,"Excellent",IF(Table1[[#This Row],[Profit]]&gt;5000,"Good","Low"))</f>
        <v>Good</v>
      </c>
      <c r="N623" t="str">
        <f>TEXT(Table1[[#This Row],[Order_Date]],"YYYY")</f>
        <v>2025</v>
      </c>
    </row>
    <row r="624" spans="1:14" x14ac:dyDescent="0.25">
      <c r="A624" s="1">
        <v>45193</v>
      </c>
      <c r="B624" t="s">
        <v>44</v>
      </c>
      <c r="C624" t="s">
        <v>12</v>
      </c>
      <c r="D624">
        <v>32024</v>
      </c>
      <c r="E624">
        <v>17016</v>
      </c>
      <c r="F624">
        <v>15008</v>
      </c>
      <c r="G624" t="s">
        <v>38</v>
      </c>
      <c r="H624" t="s">
        <v>23</v>
      </c>
      <c r="I624" t="s">
        <v>42</v>
      </c>
      <c r="J624" s="2">
        <f>Table1[[#This Row],[Profit]]/Table1[[#This Row],[Sales]]*100</f>
        <v>46.864851361478891</v>
      </c>
      <c r="K624" t="str">
        <f>IF(Table1[[#This Row],[Sales]]&gt;=30000,"High", IF(Table1[[#This Row],[Sales]]&gt;=15000,"Medium","Low"))</f>
        <v>High</v>
      </c>
      <c r="L624" t="str">
        <f>TEXT(Table1[[#This Row],[Order_Date]],"MMM")</f>
        <v>Sep</v>
      </c>
      <c r="M624" t="str">
        <f>IF(Table1[[#This Row],[Profit]]&gt;=10000,"Excellent",IF(Table1[[#This Row],[Profit]]&gt;5000,"Good","Low"))</f>
        <v>Excellent</v>
      </c>
      <c r="N624" t="str">
        <f>TEXT(Table1[[#This Row],[Order_Date]],"YYYY")</f>
        <v>2023</v>
      </c>
    </row>
    <row r="625" spans="1:14" x14ac:dyDescent="0.25">
      <c r="A625" s="1">
        <v>45334</v>
      </c>
      <c r="B625" t="s">
        <v>17</v>
      </c>
      <c r="C625" t="s">
        <v>33</v>
      </c>
      <c r="D625">
        <v>39486</v>
      </c>
      <c r="E625">
        <v>37076</v>
      </c>
      <c r="F625">
        <v>2410</v>
      </c>
      <c r="G625" t="s">
        <v>27</v>
      </c>
      <c r="H625" t="s">
        <v>14</v>
      </c>
      <c r="I625" t="s">
        <v>53</v>
      </c>
      <c r="J625" s="2">
        <f>Table1[[#This Row],[Profit]]/Table1[[#This Row],[Sales]]*100</f>
        <v>6.1034290634655317</v>
      </c>
      <c r="K625" t="str">
        <f>IF(Table1[[#This Row],[Sales]]&gt;=30000,"High", IF(Table1[[#This Row],[Sales]]&gt;=15000,"Medium","Low"))</f>
        <v>High</v>
      </c>
      <c r="L625" t="str">
        <f>TEXT(Table1[[#This Row],[Order_Date]],"MMM")</f>
        <v>Feb</v>
      </c>
      <c r="M625" t="str">
        <f>IF(Table1[[#This Row],[Profit]]&gt;=10000,"Excellent",IF(Table1[[#This Row],[Profit]]&gt;5000,"Good","Low"))</f>
        <v>Low</v>
      </c>
      <c r="N625" t="str">
        <f>TEXT(Table1[[#This Row],[Order_Date]],"YYYY")</f>
        <v>2024</v>
      </c>
    </row>
    <row r="626" spans="1:14" x14ac:dyDescent="0.25">
      <c r="A626" s="1">
        <v>45678</v>
      </c>
      <c r="B626" t="s">
        <v>44</v>
      </c>
      <c r="C626" t="s">
        <v>12</v>
      </c>
      <c r="D626">
        <v>39483</v>
      </c>
      <c r="E626">
        <v>33872</v>
      </c>
      <c r="F626">
        <v>5611</v>
      </c>
      <c r="G626" t="s">
        <v>13</v>
      </c>
      <c r="H626" t="s">
        <v>34</v>
      </c>
      <c r="I626" t="s">
        <v>29</v>
      </c>
      <c r="J626" s="2">
        <f>Table1[[#This Row],[Profit]]/Table1[[#This Row],[Sales]]*100</f>
        <v>14.211179494972519</v>
      </c>
      <c r="K626" t="str">
        <f>IF(Table1[[#This Row],[Sales]]&gt;=30000,"High", IF(Table1[[#This Row],[Sales]]&gt;=15000,"Medium","Low"))</f>
        <v>High</v>
      </c>
      <c r="L626" t="str">
        <f>TEXT(Table1[[#This Row],[Order_Date]],"MMM")</f>
        <v>Jan</v>
      </c>
      <c r="M626" t="str">
        <f>IF(Table1[[#This Row],[Profit]]&gt;=10000,"Excellent",IF(Table1[[#This Row],[Profit]]&gt;5000,"Good","Low"))</f>
        <v>Good</v>
      </c>
      <c r="N626" t="str">
        <f>TEXT(Table1[[#This Row],[Order_Date]],"YYYY")</f>
        <v>2025</v>
      </c>
    </row>
    <row r="627" spans="1:14" x14ac:dyDescent="0.25">
      <c r="A627" s="1">
        <v>45996</v>
      </c>
      <c r="B627" t="s">
        <v>17</v>
      </c>
      <c r="C627" t="s">
        <v>41</v>
      </c>
      <c r="D627">
        <v>10220</v>
      </c>
      <c r="E627">
        <v>8889</v>
      </c>
      <c r="F627">
        <v>1331</v>
      </c>
      <c r="G627" t="s">
        <v>27</v>
      </c>
      <c r="H627" t="s">
        <v>31</v>
      </c>
      <c r="I627" t="s">
        <v>53</v>
      </c>
      <c r="J627" s="2">
        <f>Table1[[#This Row],[Profit]]/Table1[[#This Row],[Sales]]*100</f>
        <v>13.02348336594912</v>
      </c>
      <c r="K627" t="str">
        <f>IF(Table1[[#This Row],[Sales]]&gt;=30000,"High", IF(Table1[[#This Row],[Sales]]&gt;=15000,"Medium","Low"))</f>
        <v>Low</v>
      </c>
      <c r="L627" t="str">
        <f>TEXT(Table1[[#This Row],[Order_Date]],"MMM")</f>
        <v>Dec</v>
      </c>
      <c r="M627" t="str">
        <f>IF(Table1[[#This Row],[Profit]]&gt;=10000,"Excellent",IF(Table1[[#This Row],[Profit]]&gt;5000,"Good","Low"))</f>
        <v>Low</v>
      </c>
      <c r="N627" t="str">
        <f>TEXT(Table1[[#This Row],[Order_Date]],"YYYY")</f>
        <v>2025</v>
      </c>
    </row>
    <row r="628" spans="1:14" x14ac:dyDescent="0.25">
      <c r="A628" s="1">
        <v>45926</v>
      </c>
      <c r="B628" t="s">
        <v>11</v>
      </c>
      <c r="C628" t="s">
        <v>36</v>
      </c>
      <c r="D628">
        <v>28450</v>
      </c>
      <c r="E628">
        <v>11101</v>
      </c>
      <c r="F628">
        <v>17349</v>
      </c>
      <c r="G628" t="s">
        <v>27</v>
      </c>
      <c r="H628" t="s">
        <v>78</v>
      </c>
      <c r="I628" t="s">
        <v>29</v>
      </c>
      <c r="J628" s="2">
        <f>Table1[[#This Row],[Profit]]/Table1[[#This Row],[Sales]]*100</f>
        <v>60.980667838312833</v>
      </c>
      <c r="K628" t="str">
        <f>IF(Table1[[#This Row],[Sales]]&gt;=30000,"High", IF(Table1[[#This Row],[Sales]]&gt;=15000,"Medium","Low"))</f>
        <v>Medium</v>
      </c>
      <c r="L628" t="str">
        <f>TEXT(Table1[[#This Row],[Order_Date]],"MMM")</f>
        <v>Sep</v>
      </c>
      <c r="M628" t="str">
        <f>IF(Table1[[#This Row],[Profit]]&gt;=10000,"Excellent",IF(Table1[[#This Row],[Profit]]&gt;5000,"Good","Low"))</f>
        <v>Excellent</v>
      </c>
      <c r="N628" t="str">
        <f>TEXT(Table1[[#This Row],[Order_Date]],"YYYY")</f>
        <v>2025</v>
      </c>
    </row>
    <row r="629" spans="1:14" x14ac:dyDescent="0.25">
      <c r="A629" s="1">
        <v>45699</v>
      </c>
      <c r="B629" t="s">
        <v>11</v>
      </c>
      <c r="C629" t="s">
        <v>41</v>
      </c>
      <c r="D629">
        <v>6257</v>
      </c>
      <c r="E629">
        <v>2985</v>
      </c>
      <c r="F629">
        <v>3272</v>
      </c>
      <c r="G629" t="s">
        <v>38</v>
      </c>
      <c r="H629" t="s">
        <v>31</v>
      </c>
      <c r="I629" t="s">
        <v>42</v>
      </c>
      <c r="J629" s="2">
        <f>Table1[[#This Row],[Profit]]/Table1[[#This Row],[Sales]]*100</f>
        <v>52.293431356880291</v>
      </c>
      <c r="K629" t="str">
        <f>IF(Table1[[#This Row],[Sales]]&gt;=30000,"High", IF(Table1[[#This Row],[Sales]]&gt;=15000,"Medium","Low"))</f>
        <v>Low</v>
      </c>
      <c r="L629" t="str">
        <f>TEXT(Table1[[#This Row],[Order_Date]],"MMM")</f>
        <v>Feb</v>
      </c>
      <c r="M629" t="str">
        <f>IF(Table1[[#This Row],[Profit]]&gt;=10000,"Excellent",IF(Table1[[#This Row],[Profit]]&gt;5000,"Good","Low"))</f>
        <v>Low</v>
      </c>
      <c r="N629" t="str">
        <f>TEXT(Table1[[#This Row],[Order_Date]],"YYYY")</f>
        <v>2025</v>
      </c>
    </row>
    <row r="630" spans="1:14" x14ac:dyDescent="0.25">
      <c r="A630" s="1">
        <v>45305</v>
      </c>
      <c r="B630" t="s">
        <v>11</v>
      </c>
      <c r="C630" t="s">
        <v>41</v>
      </c>
      <c r="D630">
        <v>42711</v>
      </c>
      <c r="E630">
        <v>38254</v>
      </c>
      <c r="F630">
        <v>4457</v>
      </c>
      <c r="G630" t="s">
        <v>19</v>
      </c>
      <c r="H630" t="s">
        <v>78</v>
      </c>
      <c r="I630" t="s">
        <v>42</v>
      </c>
      <c r="J630" s="2">
        <f>Table1[[#This Row],[Profit]]/Table1[[#This Row],[Sales]]*100</f>
        <v>10.435250872140667</v>
      </c>
      <c r="K630" t="str">
        <f>IF(Table1[[#This Row],[Sales]]&gt;=30000,"High", IF(Table1[[#This Row],[Sales]]&gt;=15000,"Medium","Low"))</f>
        <v>High</v>
      </c>
      <c r="L630" t="str">
        <f>TEXT(Table1[[#This Row],[Order_Date]],"MMM")</f>
        <v>Jan</v>
      </c>
      <c r="M630" t="str">
        <f>IF(Table1[[#This Row],[Profit]]&gt;=10000,"Excellent",IF(Table1[[#This Row],[Profit]]&gt;5000,"Good","Low"))</f>
        <v>Low</v>
      </c>
      <c r="N630" t="str">
        <f>TEXT(Table1[[#This Row],[Order_Date]],"YYYY")</f>
        <v>2024</v>
      </c>
    </row>
    <row r="631" spans="1:14" x14ac:dyDescent="0.25">
      <c r="A631" s="1">
        <v>45500</v>
      </c>
      <c r="B631" t="s">
        <v>26</v>
      </c>
      <c r="C631" t="s">
        <v>18</v>
      </c>
      <c r="D631">
        <v>49424</v>
      </c>
      <c r="E631">
        <v>39456</v>
      </c>
      <c r="F631">
        <v>9968</v>
      </c>
      <c r="G631" t="s">
        <v>13</v>
      </c>
      <c r="H631" t="s">
        <v>45</v>
      </c>
      <c r="I631" t="s">
        <v>53</v>
      </c>
      <c r="J631" s="2">
        <f>Table1[[#This Row],[Profit]]/Table1[[#This Row],[Sales]]*100</f>
        <v>20.168339268371639</v>
      </c>
      <c r="K631" t="str">
        <f>IF(Table1[[#This Row],[Sales]]&gt;=30000,"High", IF(Table1[[#This Row],[Sales]]&gt;=15000,"Medium","Low"))</f>
        <v>High</v>
      </c>
      <c r="L631" t="str">
        <f>TEXT(Table1[[#This Row],[Order_Date]],"MMM")</f>
        <v>Jul</v>
      </c>
      <c r="M631" t="str">
        <f>IF(Table1[[#This Row],[Profit]]&gt;=10000,"Excellent",IF(Table1[[#This Row],[Profit]]&gt;5000,"Good","Low"))</f>
        <v>Good</v>
      </c>
      <c r="N631" t="str">
        <f>TEXT(Table1[[#This Row],[Order_Date]],"YYYY")</f>
        <v>2024</v>
      </c>
    </row>
    <row r="632" spans="1:14" x14ac:dyDescent="0.25">
      <c r="A632" s="1">
        <v>45484</v>
      </c>
      <c r="B632" t="s">
        <v>11</v>
      </c>
      <c r="C632" t="s">
        <v>41</v>
      </c>
      <c r="D632">
        <v>27217</v>
      </c>
      <c r="E632">
        <v>25568</v>
      </c>
      <c r="F632">
        <v>1649</v>
      </c>
      <c r="G632" t="s">
        <v>38</v>
      </c>
      <c r="H632" t="s">
        <v>23</v>
      </c>
      <c r="I632" t="s">
        <v>29</v>
      </c>
      <c r="J632" s="2">
        <f>Table1[[#This Row],[Profit]]/Table1[[#This Row],[Sales]]*100</f>
        <v>6.0587133041848844</v>
      </c>
      <c r="K632" t="str">
        <f>IF(Table1[[#This Row],[Sales]]&gt;=30000,"High", IF(Table1[[#This Row],[Sales]]&gt;=15000,"Medium","Low"))</f>
        <v>Medium</v>
      </c>
      <c r="L632" t="str">
        <f>TEXT(Table1[[#This Row],[Order_Date]],"MMM")</f>
        <v>Jul</v>
      </c>
      <c r="M632" t="str">
        <f>IF(Table1[[#This Row],[Profit]]&gt;=10000,"Excellent",IF(Table1[[#This Row],[Profit]]&gt;5000,"Good","Low"))</f>
        <v>Low</v>
      </c>
      <c r="N632" t="str">
        <f>TEXT(Table1[[#This Row],[Order_Date]],"YYYY")</f>
        <v>2024</v>
      </c>
    </row>
    <row r="633" spans="1:14" x14ac:dyDescent="0.25">
      <c r="A633" s="1">
        <v>45393</v>
      </c>
      <c r="B633" t="s">
        <v>17</v>
      </c>
      <c r="C633" t="s">
        <v>36</v>
      </c>
      <c r="D633">
        <v>15584</v>
      </c>
      <c r="E633">
        <v>10228</v>
      </c>
      <c r="F633">
        <v>5356</v>
      </c>
      <c r="G633" t="s">
        <v>38</v>
      </c>
      <c r="H633" t="s">
        <v>34</v>
      </c>
      <c r="I633" t="s">
        <v>53</v>
      </c>
      <c r="J633" s="2">
        <f>Table1[[#This Row],[Profit]]/Table1[[#This Row],[Sales]]*100</f>
        <v>34.368583162217661</v>
      </c>
      <c r="K633" t="str">
        <f>IF(Table1[[#This Row],[Sales]]&gt;=30000,"High", IF(Table1[[#This Row],[Sales]]&gt;=15000,"Medium","Low"))</f>
        <v>Medium</v>
      </c>
      <c r="L633" t="str">
        <f>TEXT(Table1[[#This Row],[Order_Date]],"MMM")</f>
        <v>Apr</v>
      </c>
      <c r="M633" t="str">
        <f>IF(Table1[[#This Row],[Profit]]&gt;=10000,"Excellent",IF(Table1[[#This Row],[Profit]]&gt;5000,"Good","Low"))</f>
        <v>Good</v>
      </c>
      <c r="N633" t="str">
        <f>TEXT(Table1[[#This Row],[Order_Date]],"YYYY")</f>
        <v>2024</v>
      </c>
    </row>
    <row r="634" spans="1:14" x14ac:dyDescent="0.25">
      <c r="A634" s="1">
        <v>45325</v>
      </c>
      <c r="B634" t="s">
        <v>26</v>
      </c>
      <c r="C634" t="s">
        <v>18</v>
      </c>
      <c r="D634">
        <v>44345</v>
      </c>
      <c r="E634">
        <v>38678</v>
      </c>
      <c r="F634">
        <v>5667</v>
      </c>
      <c r="G634" t="s">
        <v>19</v>
      </c>
      <c r="H634" t="s">
        <v>14</v>
      </c>
      <c r="I634" t="s">
        <v>42</v>
      </c>
      <c r="J634" s="2">
        <f>Table1[[#This Row],[Profit]]/Table1[[#This Row],[Sales]]*100</f>
        <v>12.77934378171158</v>
      </c>
      <c r="K634" t="str">
        <f>IF(Table1[[#This Row],[Sales]]&gt;=30000,"High", IF(Table1[[#This Row],[Sales]]&gt;=15000,"Medium","Low"))</f>
        <v>High</v>
      </c>
      <c r="L634" t="str">
        <f>TEXT(Table1[[#This Row],[Order_Date]],"MMM")</f>
        <v>Feb</v>
      </c>
      <c r="M634" t="str">
        <f>IF(Table1[[#This Row],[Profit]]&gt;=10000,"Excellent",IF(Table1[[#This Row],[Profit]]&gt;5000,"Good","Low"))</f>
        <v>Good</v>
      </c>
      <c r="N634" t="str">
        <f>TEXT(Table1[[#This Row],[Order_Date]],"YYYY")</f>
        <v>2024</v>
      </c>
    </row>
    <row r="635" spans="1:14" x14ac:dyDescent="0.25">
      <c r="A635" s="1">
        <v>45331</v>
      </c>
      <c r="B635" t="s">
        <v>26</v>
      </c>
      <c r="C635" t="s">
        <v>12</v>
      </c>
      <c r="D635">
        <v>22998</v>
      </c>
      <c r="E635">
        <v>15517</v>
      </c>
      <c r="F635">
        <v>7481</v>
      </c>
      <c r="G635" t="s">
        <v>19</v>
      </c>
      <c r="H635" t="s">
        <v>20</v>
      </c>
      <c r="I635" t="s">
        <v>29</v>
      </c>
      <c r="J635" s="2">
        <f>Table1[[#This Row],[Profit]]/Table1[[#This Row],[Sales]]*100</f>
        <v>32.528915557874598</v>
      </c>
      <c r="K635" t="str">
        <f>IF(Table1[[#This Row],[Sales]]&gt;=30000,"High", IF(Table1[[#This Row],[Sales]]&gt;=15000,"Medium","Low"))</f>
        <v>Medium</v>
      </c>
      <c r="L635" t="str">
        <f>TEXT(Table1[[#This Row],[Order_Date]],"MMM")</f>
        <v>Feb</v>
      </c>
      <c r="M635" t="str">
        <f>IF(Table1[[#This Row],[Profit]]&gt;=10000,"Excellent",IF(Table1[[#This Row],[Profit]]&gt;5000,"Good","Low"))</f>
        <v>Good</v>
      </c>
      <c r="N635" t="str">
        <f>TEXT(Table1[[#This Row],[Order_Date]],"YYYY")</f>
        <v>2024</v>
      </c>
    </row>
    <row r="636" spans="1:14" x14ac:dyDescent="0.25">
      <c r="A636" s="1">
        <v>45339</v>
      </c>
      <c r="B636" t="s">
        <v>17</v>
      </c>
      <c r="C636" t="s">
        <v>12</v>
      </c>
      <c r="D636">
        <v>21886</v>
      </c>
      <c r="E636">
        <v>19770</v>
      </c>
      <c r="F636">
        <v>2116</v>
      </c>
      <c r="G636" t="s">
        <v>19</v>
      </c>
      <c r="H636" t="s">
        <v>63</v>
      </c>
      <c r="I636" t="s">
        <v>29</v>
      </c>
      <c r="J636" s="2">
        <f>Table1[[#This Row],[Profit]]/Table1[[#This Row],[Sales]]*100</f>
        <v>9.6682810929361231</v>
      </c>
      <c r="K636" t="str">
        <f>IF(Table1[[#This Row],[Sales]]&gt;=30000,"High", IF(Table1[[#This Row],[Sales]]&gt;=15000,"Medium","Low"))</f>
        <v>Medium</v>
      </c>
      <c r="L636" t="str">
        <f>TEXT(Table1[[#This Row],[Order_Date]],"MMM")</f>
        <v>Feb</v>
      </c>
      <c r="M636" t="str">
        <f>IF(Table1[[#This Row],[Profit]]&gt;=10000,"Excellent",IF(Table1[[#This Row],[Profit]]&gt;5000,"Good","Low"))</f>
        <v>Low</v>
      </c>
      <c r="N636" t="str">
        <f>TEXT(Table1[[#This Row],[Order_Date]],"YYYY")</f>
        <v>2024</v>
      </c>
    </row>
    <row r="637" spans="1:14" x14ac:dyDescent="0.25">
      <c r="A637" s="1">
        <v>45767</v>
      </c>
      <c r="B637" t="s">
        <v>11</v>
      </c>
      <c r="C637" t="s">
        <v>12</v>
      </c>
      <c r="D637">
        <v>24335</v>
      </c>
      <c r="E637">
        <v>9151</v>
      </c>
      <c r="F637">
        <v>15184</v>
      </c>
      <c r="G637" t="s">
        <v>13</v>
      </c>
      <c r="H637" t="s">
        <v>23</v>
      </c>
      <c r="I637" t="s">
        <v>53</v>
      </c>
      <c r="J637" s="2">
        <f>Table1[[#This Row],[Profit]]/Table1[[#This Row],[Sales]]*100</f>
        <v>62.395726320115067</v>
      </c>
      <c r="K637" t="str">
        <f>IF(Table1[[#This Row],[Sales]]&gt;=30000,"High", IF(Table1[[#This Row],[Sales]]&gt;=15000,"Medium","Low"))</f>
        <v>Medium</v>
      </c>
      <c r="L637" t="str">
        <f>TEXT(Table1[[#This Row],[Order_Date]],"MMM")</f>
        <v>Apr</v>
      </c>
      <c r="M637" t="str">
        <f>IF(Table1[[#This Row],[Profit]]&gt;=10000,"Excellent",IF(Table1[[#This Row],[Profit]]&gt;5000,"Good","Low"))</f>
        <v>Excellent</v>
      </c>
      <c r="N637" t="str">
        <f>TEXT(Table1[[#This Row],[Order_Date]],"YYYY")</f>
        <v>2025</v>
      </c>
    </row>
    <row r="638" spans="1:14" x14ac:dyDescent="0.25">
      <c r="A638" s="1">
        <v>46185</v>
      </c>
      <c r="B638" t="s">
        <v>11</v>
      </c>
      <c r="C638" t="s">
        <v>41</v>
      </c>
      <c r="D638">
        <v>24708</v>
      </c>
      <c r="E638">
        <v>22376</v>
      </c>
      <c r="F638">
        <v>2332</v>
      </c>
      <c r="G638" t="s">
        <v>19</v>
      </c>
      <c r="H638" t="s">
        <v>63</v>
      </c>
      <c r="I638" t="s">
        <v>42</v>
      </c>
      <c r="J638" s="2">
        <f>Table1[[#This Row],[Profit]]/Table1[[#This Row],[Sales]]*100</f>
        <v>9.4382386271652905</v>
      </c>
      <c r="K638" t="str">
        <f>IF(Table1[[#This Row],[Sales]]&gt;=30000,"High", IF(Table1[[#This Row],[Sales]]&gt;=15000,"Medium","Low"))</f>
        <v>Medium</v>
      </c>
      <c r="L638" t="str">
        <f>TEXT(Table1[[#This Row],[Order_Date]],"MMM")</f>
        <v>Jun</v>
      </c>
      <c r="M638" t="str">
        <f>IF(Table1[[#This Row],[Profit]]&gt;=10000,"Excellent",IF(Table1[[#This Row],[Profit]]&gt;5000,"Good","Low"))</f>
        <v>Low</v>
      </c>
      <c r="N638" t="str">
        <f>TEXT(Table1[[#This Row],[Order_Date]],"YYYY")</f>
        <v>2026</v>
      </c>
    </row>
    <row r="639" spans="1:14" x14ac:dyDescent="0.25">
      <c r="A639" s="1">
        <v>45215</v>
      </c>
      <c r="B639" t="s">
        <v>22</v>
      </c>
      <c r="C639" t="s">
        <v>33</v>
      </c>
      <c r="D639">
        <v>5266</v>
      </c>
      <c r="E639">
        <v>4413</v>
      </c>
      <c r="F639">
        <v>853</v>
      </c>
      <c r="G639" t="s">
        <v>27</v>
      </c>
      <c r="H639" t="s">
        <v>60</v>
      </c>
      <c r="I639" t="s">
        <v>53</v>
      </c>
      <c r="J639" s="2">
        <f>Table1[[#This Row],[Profit]]/Table1[[#This Row],[Sales]]*100</f>
        <v>16.198252943410559</v>
      </c>
      <c r="K639" t="str">
        <f>IF(Table1[[#This Row],[Sales]]&gt;=30000,"High", IF(Table1[[#This Row],[Sales]]&gt;=15000,"Medium","Low"))</f>
        <v>Low</v>
      </c>
      <c r="L639" t="str">
        <f>TEXT(Table1[[#This Row],[Order_Date]],"MMM")</f>
        <v>Oct</v>
      </c>
      <c r="M639" t="str">
        <f>IF(Table1[[#This Row],[Profit]]&gt;=10000,"Excellent",IF(Table1[[#This Row],[Profit]]&gt;5000,"Good","Low"))</f>
        <v>Low</v>
      </c>
      <c r="N639" t="str">
        <f>TEXT(Table1[[#This Row],[Order_Date]],"YYYY")</f>
        <v>2023</v>
      </c>
    </row>
    <row r="640" spans="1:14" x14ac:dyDescent="0.25">
      <c r="A640" s="1">
        <v>45161</v>
      </c>
      <c r="B640" t="s">
        <v>17</v>
      </c>
      <c r="C640" t="s">
        <v>12</v>
      </c>
      <c r="D640">
        <v>20712</v>
      </c>
      <c r="E640">
        <v>16974</v>
      </c>
      <c r="F640">
        <v>3738</v>
      </c>
      <c r="G640" t="s">
        <v>13</v>
      </c>
      <c r="H640" t="s">
        <v>31</v>
      </c>
      <c r="I640" t="s">
        <v>42</v>
      </c>
      <c r="J640" s="2">
        <f>Table1[[#This Row],[Profit]]/Table1[[#This Row],[Sales]]*100</f>
        <v>18.047508690614137</v>
      </c>
      <c r="K640" t="str">
        <f>IF(Table1[[#This Row],[Sales]]&gt;=30000,"High", IF(Table1[[#This Row],[Sales]]&gt;=15000,"Medium","Low"))</f>
        <v>Medium</v>
      </c>
      <c r="L640" t="str">
        <f>TEXT(Table1[[#This Row],[Order_Date]],"MMM")</f>
        <v>Aug</v>
      </c>
      <c r="M640" t="str">
        <f>IF(Table1[[#This Row],[Profit]]&gt;=10000,"Excellent",IF(Table1[[#This Row],[Profit]]&gt;5000,"Good","Low"))</f>
        <v>Low</v>
      </c>
      <c r="N640" t="str">
        <f>TEXT(Table1[[#This Row],[Order_Date]],"YYYY")</f>
        <v>2023</v>
      </c>
    </row>
    <row r="641" spans="1:14" x14ac:dyDescent="0.25">
      <c r="A641" s="1">
        <v>45793</v>
      </c>
      <c r="B641" t="s">
        <v>17</v>
      </c>
      <c r="C641" t="s">
        <v>12</v>
      </c>
      <c r="D641">
        <v>24879</v>
      </c>
      <c r="E641">
        <v>11392</v>
      </c>
      <c r="F641">
        <v>13487</v>
      </c>
      <c r="G641" t="s">
        <v>27</v>
      </c>
      <c r="H641" t="s">
        <v>14</v>
      </c>
      <c r="I641" t="s">
        <v>15</v>
      </c>
      <c r="J641" s="2">
        <f>Table1[[#This Row],[Profit]]/Table1[[#This Row],[Sales]]*100</f>
        <v>54.21037823063628</v>
      </c>
      <c r="K641" t="str">
        <f>IF(Table1[[#This Row],[Sales]]&gt;=30000,"High", IF(Table1[[#This Row],[Sales]]&gt;=15000,"Medium","Low"))</f>
        <v>Medium</v>
      </c>
      <c r="L641" t="str">
        <f>TEXT(Table1[[#This Row],[Order_Date]],"MMM")</f>
        <v>May</v>
      </c>
      <c r="M641" t="str">
        <f>IF(Table1[[#This Row],[Profit]]&gt;=10000,"Excellent",IF(Table1[[#This Row],[Profit]]&gt;5000,"Good","Low"))</f>
        <v>Excellent</v>
      </c>
      <c r="N641" t="str">
        <f>TEXT(Table1[[#This Row],[Order_Date]],"YYYY")</f>
        <v>2025</v>
      </c>
    </row>
    <row r="642" spans="1:14" x14ac:dyDescent="0.25">
      <c r="A642" s="1">
        <v>45596</v>
      </c>
      <c r="B642" t="s">
        <v>44</v>
      </c>
      <c r="C642" t="s">
        <v>33</v>
      </c>
      <c r="D642">
        <v>19859</v>
      </c>
      <c r="E642">
        <v>796</v>
      </c>
      <c r="F642">
        <v>19063</v>
      </c>
      <c r="G642" t="s">
        <v>13</v>
      </c>
      <c r="H642" t="s">
        <v>14</v>
      </c>
      <c r="I642" t="s">
        <v>53</v>
      </c>
      <c r="J642" s="2">
        <f>Table1[[#This Row],[Profit]]/Table1[[#This Row],[Sales]]*100</f>
        <v>95.991741779545805</v>
      </c>
      <c r="K642" t="str">
        <f>IF(Table1[[#This Row],[Sales]]&gt;=30000,"High", IF(Table1[[#This Row],[Sales]]&gt;=15000,"Medium","Low"))</f>
        <v>Medium</v>
      </c>
      <c r="L642" t="str">
        <f>TEXT(Table1[[#This Row],[Order_Date]],"MMM")</f>
        <v>Oct</v>
      </c>
      <c r="M642" t="str">
        <f>IF(Table1[[#This Row],[Profit]]&gt;=10000,"Excellent",IF(Table1[[#This Row],[Profit]]&gt;5000,"Good","Low"))</f>
        <v>Excellent</v>
      </c>
      <c r="N642" t="str">
        <f>TEXT(Table1[[#This Row],[Order_Date]],"YYYY")</f>
        <v>2024</v>
      </c>
    </row>
    <row r="643" spans="1:14" x14ac:dyDescent="0.25">
      <c r="A643" s="1">
        <v>45323</v>
      </c>
      <c r="B643" t="s">
        <v>26</v>
      </c>
      <c r="C643" t="s">
        <v>33</v>
      </c>
      <c r="D643">
        <v>49706</v>
      </c>
      <c r="E643">
        <v>45231</v>
      </c>
      <c r="F643">
        <v>4475</v>
      </c>
      <c r="G643" t="s">
        <v>38</v>
      </c>
      <c r="H643" t="s">
        <v>31</v>
      </c>
      <c r="I643" t="s">
        <v>24</v>
      </c>
      <c r="J643" s="2">
        <f>Table1[[#This Row],[Profit]]/Table1[[#This Row],[Sales]]*100</f>
        <v>9.0029372711543871</v>
      </c>
      <c r="K643" t="str">
        <f>IF(Table1[[#This Row],[Sales]]&gt;=30000,"High", IF(Table1[[#This Row],[Sales]]&gt;=15000,"Medium","Low"))</f>
        <v>High</v>
      </c>
      <c r="L643" t="str">
        <f>TEXT(Table1[[#This Row],[Order_Date]],"MMM")</f>
        <v>Feb</v>
      </c>
      <c r="M643" t="str">
        <f>IF(Table1[[#This Row],[Profit]]&gt;=10000,"Excellent",IF(Table1[[#This Row],[Profit]]&gt;5000,"Good","Low"))</f>
        <v>Low</v>
      </c>
      <c r="N643" t="str">
        <f>TEXT(Table1[[#This Row],[Order_Date]],"YYYY")</f>
        <v>2024</v>
      </c>
    </row>
    <row r="644" spans="1:14" x14ac:dyDescent="0.25">
      <c r="A644" s="1">
        <v>45707</v>
      </c>
      <c r="B644" t="s">
        <v>44</v>
      </c>
      <c r="C644" t="s">
        <v>18</v>
      </c>
      <c r="D644">
        <v>31970</v>
      </c>
      <c r="E644">
        <v>20828</v>
      </c>
      <c r="F644">
        <v>11142</v>
      </c>
      <c r="G644" t="s">
        <v>27</v>
      </c>
      <c r="H644" t="s">
        <v>63</v>
      </c>
      <c r="I644" t="s">
        <v>24</v>
      </c>
      <c r="J644" s="2">
        <f>Table1[[#This Row],[Profit]]/Table1[[#This Row],[Sales]]*100</f>
        <v>34.851423209258684</v>
      </c>
      <c r="K644" t="str">
        <f>IF(Table1[[#This Row],[Sales]]&gt;=30000,"High", IF(Table1[[#This Row],[Sales]]&gt;=15000,"Medium","Low"))</f>
        <v>High</v>
      </c>
      <c r="L644" t="str">
        <f>TEXT(Table1[[#This Row],[Order_Date]],"MMM")</f>
        <v>Feb</v>
      </c>
      <c r="M644" t="str">
        <f>IF(Table1[[#This Row],[Profit]]&gt;=10000,"Excellent",IF(Table1[[#This Row],[Profit]]&gt;5000,"Good","Low"))</f>
        <v>Excellent</v>
      </c>
      <c r="N644" t="str">
        <f>TEXT(Table1[[#This Row],[Order_Date]],"YYYY")</f>
        <v>2025</v>
      </c>
    </row>
    <row r="645" spans="1:14" x14ac:dyDescent="0.25">
      <c r="A645" s="1">
        <v>45883</v>
      </c>
      <c r="B645" t="s">
        <v>26</v>
      </c>
      <c r="C645" t="s">
        <v>18</v>
      </c>
      <c r="D645">
        <v>10618</v>
      </c>
      <c r="E645">
        <v>9630</v>
      </c>
      <c r="F645">
        <v>988</v>
      </c>
      <c r="G645" t="s">
        <v>27</v>
      </c>
      <c r="H645" t="s">
        <v>45</v>
      </c>
      <c r="I645" t="s">
        <v>29</v>
      </c>
      <c r="J645" s="2">
        <f>Table1[[#This Row],[Profit]]/Table1[[#This Row],[Sales]]*100</f>
        <v>9.3049538519495201</v>
      </c>
      <c r="K645" t="str">
        <f>IF(Table1[[#This Row],[Sales]]&gt;=30000,"High", IF(Table1[[#This Row],[Sales]]&gt;=15000,"Medium","Low"))</f>
        <v>Low</v>
      </c>
      <c r="L645" t="str">
        <f>TEXT(Table1[[#This Row],[Order_Date]],"MMM")</f>
        <v>Aug</v>
      </c>
      <c r="M645" t="str">
        <f>IF(Table1[[#This Row],[Profit]]&gt;=10000,"Excellent",IF(Table1[[#This Row],[Profit]]&gt;5000,"Good","Low"))</f>
        <v>Low</v>
      </c>
      <c r="N645" t="str">
        <f>TEXT(Table1[[#This Row],[Order_Date]],"YYYY")</f>
        <v>2025</v>
      </c>
    </row>
    <row r="646" spans="1:14" x14ac:dyDescent="0.25">
      <c r="A646" s="1">
        <v>45622</v>
      </c>
      <c r="B646" t="s">
        <v>17</v>
      </c>
      <c r="C646" t="s">
        <v>12</v>
      </c>
      <c r="D646">
        <v>27771</v>
      </c>
      <c r="E646">
        <v>25612</v>
      </c>
      <c r="F646">
        <v>2159</v>
      </c>
      <c r="G646" t="s">
        <v>19</v>
      </c>
      <c r="H646" t="s">
        <v>34</v>
      </c>
      <c r="I646" t="s">
        <v>15</v>
      </c>
      <c r="J646" s="2">
        <f>Table1[[#This Row],[Profit]]/Table1[[#This Row],[Sales]]*100</f>
        <v>7.774296928450541</v>
      </c>
      <c r="K646" t="str">
        <f>IF(Table1[[#This Row],[Sales]]&gt;=30000,"High", IF(Table1[[#This Row],[Sales]]&gt;=15000,"Medium","Low"))</f>
        <v>Medium</v>
      </c>
      <c r="L646" t="str">
        <f>TEXT(Table1[[#This Row],[Order_Date]],"MMM")</f>
        <v>Nov</v>
      </c>
      <c r="M646" t="str">
        <f>IF(Table1[[#This Row],[Profit]]&gt;=10000,"Excellent",IF(Table1[[#This Row],[Profit]]&gt;5000,"Good","Low"))</f>
        <v>Low</v>
      </c>
      <c r="N646" t="str">
        <f>TEXT(Table1[[#This Row],[Order_Date]],"YYYY")</f>
        <v>2024</v>
      </c>
    </row>
    <row r="647" spans="1:14" x14ac:dyDescent="0.25">
      <c r="A647" s="1">
        <v>45566</v>
      </c>
      <c r="B647" t="s">
        <v>17</v>
      </c>
      <c r="C647" t="s">
        <v>41</v>
      </c>
      <c r="D647">
        <v>25769</v>
      </c>
      <c r="E647">
        <v>16384</v>
      </c>
      <c r="F647">
        <v>9385</v>
      </c>
      <c r="G647" t="s">
        <v>13</v>
      </c>
      <c r="H647" t="s">
        <v>78</v>
      </c>
      <c r="I647" t="s">
        <v>29</v>
      </c>
      <c r="J647" s="2">
        <f>Table1[[#This Row],[Profit]]/Table1[[#This Row],[Sales]]*100</f>
        <v>36.41972913190267</v>
      </c>
      <c r="K647" t="str">
        <f>IF(Table1[[#This Row],[Sales]]&gt;=30000,"High", IF(Table1[[#This Row],[Sales]]&gt;=15000,"Medium","Low"))</f>
        <v>Medium</v>
      </c>
      <c r="L647" t="str">
        <f>TEXT(Table1[[#This Row],[Order_Date]],"MMM")</f>
        <v>Oct</v>
      </c>
      <c r="M647" t="str">
        <f>IF(Table1[[#This Row],[Profit]]&gt;=10000,"Excellent",IF(Table1[[#This Row],[Profit]]&gt;5000,"Good","Low"))</f>
        <v>Good</v>
      </c>
      <c r="N647" t="str">
        <f>TEXT(Table1[[#This Row],[Order_Date]],"YYYY")</f>
        <v>2024</v>
      </c>
    </row>
    <row r="648" spans="1:14" x14ac:dyDescent="0.25">
      <c r="A648" s="1">
        <v>45994</v>
      </c>
      <c r="B648" t="s">
        <v>26</v>
      </c>
      <c r="C648" t="s">
        <v>36</v>
      </c>
      <c r="D648">
        <v>48453</v>
      </c>
      <c r="E648">
        <v>42344</v>
      </c>
      <c r="F648">
        <v>6109</v>
      </c>
      <c r="G648" t="s">
        <v>13</v>
      </c>
      <c r="H648" t="s">
        <v>28</v>
      </c>
      <c r="I648" t="s">
        <v>29</v>
      </c>
      <c r="J648" s="2">
        <f>Table1[[#This Row],[Profit]]/Table1[[#This Row],[Sales]]*100</f>
        <v>12.608094442036613</v>
      </c>
      <c r="K648" t="str">
        <f>IF(Table1[[#This Row],[Sales]]&gt;=30000,"High", IF(Table1[[#This Row],[Sales]]&gt;=15000,"Medium","Low"))</f>
        <v>High</v>
      </c>
      <c r="L648" t="str">
        <f>TEXT(Table1[[#This Row],[Order_Date]],"MMM")</f>
        <v>Dec</v>
      </c>
      <c r="M648" t="str">
        <f>IF(Table1[[#This Row],[Profit]]&gt;=10000,"Excellent",IF(Table1[[#This Row],[Profit]]&gt;5000,"Good","Low"))</f>
        <v>Good</v>
      </c>
      <c r="N648" t="str">
        <f>TEXT(Table1[[#This Row],[Order_Date]],"YYYY")</f>
        <v>2025</v>
      </c>
    </row>
    <row r="649" spans="1:14" x14ac:dyDescent="0.25">
      <c r="A649" s="1">
        <v>45811</v>
      </c>
      <c r="B649" t="s">
        <v>22</v>
      </c>
      <c r="C649" t="s">
        <v>12</v>
      </c>
      <c r="D649">
        <v>23847</v>
      </c>
      <c r="E649">
        <v>7246</v>
      </c>
      <c r="F649">
        <v>16601</v>
      </c>
      <c r="G649" t="s">
        <v>19</v>
      </c>
      <c r="H649" t="s">
        <v>31</v>
      </c>
      <c r="I649" t="s">
        <v>29</v>
      </c>
      <c r="J649" s="2">
        <f>Table1[[#This Row],[Profit]]/Table1[[#This Row],[Sales]]*100</f>
        <v>69.614626577766586</v>
      </c>
      <c r="K649" t="str">
        <f>IF(Table1[[#This Row],[Sales]]&gt;=30000,"High", IF(Table1[[#This Row],[Sales]]&gt;=15000,"Medium","Low"))</f>
        <v>Medium</v>
      </c>
      <c r="L649" t="str">
        <f>TEXT(Table1[[#This Row],[Order_Date]],"MMM")</f>
        <v>Jun</v>
      </c>
      <c r="M649" t="str">
        <f>IF(Table1[[#This Row],[Profit]]&gt;=10000,"Excellent",IF(Table1[[#This Row],[Profit]]&gt;5000,"Good","Low"))</f>
        <v>Excellent</v>
      </c>
      <c r="N649" t="str">
        <f>TEXT(Table1[[#This Row],[Order_Date]],"YYYY")</f>
        <v>2025</v>
      </c>
    </row>
    <row r="650" spans="1:14" x14ac:dyDescent="0.25">
      <c r="A650" s="1">
        <v>46110</v>
      </c>
      <c r="B650" t="s">
        <v>17</v>
      </c>
      <c r="C650" t="s">
        <v>41</v>
      </c>
      <c r="D650">
        <v>47636</v>
      </c>
      <c r="E650">
        <v>39876</v>
      </c>
      <c r="F650">
        <v>7760</v>
      </c>
      <c r="G650" t="s">
        <v>27</v>
      </c>
      <c r="H650" t="s">
        <v>28</v>
      </c>
      <c r="I650" t="s">
        <v>42</v>
      </c>
      <c r="J650" s="2">
        <f>Table1[[#This Row],[Profit]]/Table1[[#This Row],[Sales]]*100</f>
        <v>16.290200688554872</v>
      </c>
      <c r="K650" t="str">
        <f>IF(Table1[[#This Row],[Sales]]&gt;=30000,"High", IF(Table1[[#This Row],[Sales]]&gt;=15000,"Medium","Low"))</f>
        <v>High</v>
      </c>
      <c r="L650" t="str">
        <f>TEXT(Table1[[#This Row],[Order_Date]],"MMM")</f>
        <v>Mar</v>
      </c>
      <c r="M650" t="str">
        <f>IF(Table1[[#This Row],[Profit]]&gt;=10000,"Excellent",IF(Table1[[#This Row],[Profit]]&gt;5000,"Good","Low"))</f>
        <v>Good</v>
      </c>
      <c r="N650" t="str">
        <f>TEXT(Table1[[#This Row],[Order_Date]],"YYYY")</f>
        <v>2026</v>
      </c>
    </row>
    <row r="651" spans="1:14" x14ac:dyDescent="0.25">
      <c r="A651" s="1">
        <v>45902</v>
      </c>
      <c r="B651" t="s">
        <v>17</v>
      </c>
      <c r="C651" t="s">
        <v>12</v>
      </c>
      <c r="D651">
        <v>5886</v>
      </c>
      <c r="E651">
        <v>2387</v>
      </c>
      <c r="F651">
        <v>3499</v>
      </c>
      <c r="G651" t="s">
        <v>38</v>
      </c>
      <c r="H651" t="s">
        <v>45</v>
      </c>
      <c r="I651" t="s">
        <v>15</v>
      </c>
      <c r="J651" s="2">
        <f>Table1[[#This Row],[Profit]]/Table1[[#This Row],[Sales]]*100</f>
        <v>59.446143391097515</v>
      </c>
      <c r="K651" t="str">
        <f>IF(Table1[[#This Row],[Sales]]&gt;=30000,"High", IF(Table1[[#This Row],[Sales]]&gt;=15000,"Medium","Low"))</f>
        <v>Low</v>
      </c>
      <c r="L651" t="str">
        <f>TEXT(Table1[[#This Row],[Order_Date]],"MMM")</f>
        <v>Sep</v>
      </c>
      <c r="M651" t="str">
        <f>IF(Table1[[#This Row],[Profit]]&gt;=10000,"Excellent",IF(Table1[[#This Row],[Profit]]&gt;5000,"Good","Low"))</f>
        <v>Low</v>
      </c>
      <c r="N651" t="str">
        <f>TEXT(Table1[[#This Row],[Order_Date]],"YYYY")</f>
        <v>2025</v>
      </c>
    </row>
    <row r="652" spans="1:14" x14ac:dyDescent="0.25">
      <c r="A652" s="1">
        <v>46098</v>
      </c>
      <c r="B652" t="s">
        <v>44</v>
      </c>
      <c r="C652" t="s">
        <v>33</v>
      </c>
      <c r="D652">
        <v>41302</v>
      </c>
      <c r="E652">
        <v>37063</v>
      </c>
      <c r="F652">
        <v>4239</v>
      </c>
      <c r="G652" t="s">
        <v>19</v>
      </c>
      <c r="H652" t="s">
        <v>78</v>
      </c>
      <c r="I652" t="s">
        <v>24</v>
      </c>
      <c r="J652" s="2">
        <f>Table1[[#This Row],[Profit]]/Table1[[#This Row],[Sales]]*100</f>
        <v>10.263425499975789</v>
      </c>
      <c r="K652" t="str">
        <f>IF(Table1[[#This Row],[Sales]]&gt;=30000,"High", IF(Table1[[#This Row],[Sales]]&gt;=15000,"Medium","Low"))</f>
        <v>High</v>
      </c>
      <c r="L652" t="str">
        <f>TEXT(Table1[[#This Row],[Order_Date]],"MMM")</f>
        <v>Mar</v>
      </c>
      <c r="M652" t="str">
        <f>IF(Table1[[#This Row],[Profit]]&gt;=10000,"Excellent",IF(Table1[[#This Row],[Profit]]&gt;5000,"Good","Low"))</f>
        <v>Low</v>
      </c>
      <c r="N652" t="str">
        <f>TEXT(Table1[[#This Row],[Order_Date]],"YYYY")</f>
        <v>2026</v>
      </c>
    </row>
    <row r="653" spans="1:14" x14ac:dyDescent="0.25">
      <c r="A653" s="1">
        <v>45466</v>
      </c>
      <c r="B653" t="s">
        <v>44</v>
      </c>
      <c r="C653" t="s">
        <v>41</v>
      </c>
      <c r="D653">
        <v>26902</v>
      </c>
      <c r="E653">
        <v>25251</v>
      </c>
      <c r="F653">
        <v>1651</v>
      </c>
      <c r="G653" t="s">
        <v>13</v>
      </c>
      <c r="H653" t="s">
        <v>28</v>
      </c>
      <c r="I653" t="s">
        <v>29</v>
      </c>
      <c r="J653" s="2">
        <f>Table1[[#This Row],[Profit]]/Table1[[#This Row],[Sales]]*100</f>
        <v>6.137090179168835</v>
      </c>
      <c r="K653" t="str">
        <f>IF(Table1[[#This Row],[Sales]]&gt;=30000,"High", IF(Table1[[#This Row],[Sales]]&gt;=15000,"Medium","Low"))</f>
        <v>Medium</v>
      </c>
      <c r="L653" t="str">
        <f>TEXT(Table1[[#This Row],[Order_Date]],"MMM")</f>
        <v>Jun</v>
      </c>
      <c r="M653" t="str">
        <f>IF(Table1[[#This Row],[Profit]]&gt;=10000,"Excellent",IF(Table1[[#This Row],[Profit]]&gt;5000,"Good","Low"))</f>
        <v>Low</v>
      </c>
      <c r="N653" t="str">
        <f>TEXT(Table1[[#This Row],[Order_Date]],"YYYY")</f>
        <v>2024</v>
      </c>
    </row>
    <row r="654" spans="1:14" x14ac:dyDescent="0.25">
      <c r="A654" s="1">
        <v>46194</v>
      </c>
      <c r="B654" t="s">
        <v>17</v>
      </c>
      <c r="C654" t="s">
        <v>33</v>
      </c>
      <c r="D654">
        <v>32013</v>
      </c>
      <c r="E654">
        <v>18695</v>
      </c>
      <c r="F654">
        <v>13318</v>
      </c>
      <c r="G654" t="s">
        <v>38</v>
      </c>
      <c r="H654" t="s">
        <v>34</v>
      </c>
      <c r="I654" t="s">
        <v>29</v>
      </c>
      <c r="J654" s="2">
        <f>Table1[[#This Row],[Profit]]/Table1[[#This Row],[Sales]]*100</f>
        <v>41.601849248742703</v>
      </c>
      <c r="K654" t="str">
        <f>IF(Table1[[#This Row],[Sales]]&gt;=30000,"High", IF(Table1[[#This Row],[Sales]]&gt;=15000,"Medium","Low"))</f>
        <v>High</v>
      </c>
      <c r="L654" t="str">
        <f>TEXT(Table1[[#This Row],[Order_Date]],"MMM")</f>
        <v>Jun</v>
      </c>
      <c r="M654" t="str">
        <f>IF(Table1[[#This Row],[Profit]]&gt;=10000,"Excellent",IF(Table1[[#This Row],[Profit]]&gt;5000,"Good","Low"))</f>
        <v>Excellent</v>
      </c>
      <c r="N654" t="str">
        <f>TEXT(Table1[[#This Row],[Order_Date]],"YYYY")</f>
        <v>2026</v>
      </c>
    </row>
    <row r="655" spans="1:14" x14ac:dyDescent="0.25">
      <c r="A655" s="1">
        <v>46188</v>
      </c>
      <c r="B655" t="s">
        <v>44</v>
      </c>
      <c r="C655" t="s">
        <v>41</v>
      </c>
      <c r="D655">
        <v>40925</v>
      </c>
      <c r="E655">
        <v>23477</v>
      </c>
      <c r="F655">
        <v>17448</v>
      </c>
      <c r="G655" t="s">
        <v>13</v>
      </c>
      <c r="H655" t="s">
        <v>28</v>
      </c>
      <c r="I655" t="s">
        <v>42</v>
      </c>
      <c r="J655" s="2">
        <f>Table1[[#This Row],[Profit]]/Table1[[#This Row],[Sales]]*100</f>
        <v>42.634086744043984</v>
      </c>
      <c r="K655" t="str">
        <f>IF(Table1[[#This Row],[Sales]]&gt;=30000,"High", IF(Table1[[#This Row],[Sales]]&gt;=15000,"Medium","Low"))</f>
        <v>High</v>
      </c>
      <c r="L655" t="str">
        <f>TEXT(Table1[[#This Row],[Order_Date]],"MMM")</f>
        <v>Jun</v>
      </c>
      <c r="M655" t="str">
        <f>IF(Table1[[#This Row],[Profit]]&gt;=10000,"Excellent",IF(Table1[[#This Row],[Profit]]&gt;5000,"Good","Low"))</f>
        <v>Excellent</v>
      </c>
      <c r="N655" t="str">
        <f>TEXT(Table1[[#This Row],[Order_Date]],"YYYY")</f>
        <v>2026</v>
      </c>
    </row>
    <row r="656" spans="1:14" x14ac:dyDescent="0.25">
      <c r="A656" s="1">
        <v>46070</v>
      </c>
      <c r="B656" t="s">
        <v>11</v>
      </c>
      <c r="C656" t="s">
        <v>33</v>
      </c>
      <c r="D656">
        <v>16546</v>
      </c>
      <c r="E656">
        <v>2965</v>
      </c>
      <c r="F656">
        <v>13581</v>
      </c>
      <c r="G656" t="s">
        <v>19</v>
      </c>
      <c r="H656" t="s">
        <v>28</v>
      </c>
      <c r="I656" t="s">
        <v>42</v>
      </c>
      <c r="J656" s="2">
        <f>Table1[[#This Row],[Profit]]/Table1[[#This Row],[Sales]]*100</f>
        <v>82.080261090293732</v>
      </c>
      <c r="K656" t="str">
        <f>IF(Table1[[#This Row],[Sales]]&gt;=30000,"High", IF(Table1[[#This Row],[Sales]]&gt;=15000,"Medium","Low"))</f>
        <v>Medium</v>
      </c>
      <c r="L656" t="str">
        <f>TEXT(Table1[[#This Row],[Order_Date]],"MMM")</f>
        <v>Feb</v>
      </c>
      <c r="M656" t="str">
        <f>IF(Table1[[#This Row],[Profit]]&gt;=10000,"Excellent",IF(Table1[[#This Row],[Profit]]&gt;5000,"Good","Low"))</f>
        <v>Excellent</v>
      </c>
      <c r="N656" t="str">
        <f>TEXT(Table1[[#This Row],[Order_Date]],"YYYY")</f>
        <v>2026</v>
      </c>
    </row>
    <row r="657" spans="1:14" x14ac:dyDescent="0.25">
      <c r="A657" s="1">
        <v>46035</v>
      </c>
      <c r="B657" t="s">
        <v>22</v>
      </c>
      <c r="C657" t="s">
        <v>12</v>
      </c>
      <c r="D657">
        <v>25791</v>
      </c>
      <c r="E657">
        <v>22258</v>
      </c>
      <c r="F657">
        <v>3533</v>
      </c>
      <c r="G657" t="s">
        <v>19</v>
      </c>
      <c r="H657" t="s">
        <v>78</v>
      </c>
      <c r="I657" t="s">
        <v>24</v>
      </c>
      <c r="J657" s="2">
        <f>Table1[[#This Row],[Profit]]/Table1[[#This Row],[Sales]]*100</f>
        <v>13.698577022992517</v>
      </c>
      <c r="K657" t="str">
        <f>IF(Table1[[#This Row],[Sales]]&gt;=30000,"High", IF(Table1[[#This Row],[Sales]]&gt;=15000,"Medium","Low"))</f>
        <v>Medium</v>
      </c>
      <c r="L657" t="str">
        <f>TEXT(Table1[[#This Row],[Order_Date]],"MMM")</f>
        <v>Jan</v>
      </c>
      <c r="M657" t="str">
        <f>IF(Table1[[#This Row],[Profit]]&gt;=10000,"Excellent",IF(Table1[[#This Row],[Profit]]&gt;5000,"Good","Low"))</f>
        <v>Low</v>
      </c>
      <c r="N657" t="str">
        <f>TEXT(Table1[[#This Row],[Order_Date]],"YYYY")</f>
        <v>2026</v>
      </c>
    </row>
    <row r="658" spans="1:14" x14ac:dyDescent="0.25">
      <c r="A658" s="1">
        <v>45557</v>
      </c>
      <c r="B658" t="s">
        <v>11</v>
      </c>
      <c r="C658" t="s">
        <v>33</v>
      </c>
      <c r="D658">
        <v>42542</v>
      </c>
      <c r="E658">
        <v>23613</v>
      </c>
      <c r="F658">
        <v>18929</v>
      </c>
      <c r="G658" t="s">
        <v>38</v>
      </c>
      <c r="H658" t="s">
        <v>34</v>
      </c>
      <c r="I658" t="s">
        <v>53</v>
      </c>
      <c r="J658" s="2">
        <f>Table1[[#This Row],[Profit]]/Table1[[#This Row],[Sales]]*100</f>
        <v>44.494852146114425</v>
      </c>
      <c r="K658" t="str">
        <f>IF(Table1[[#This Row],[Sales]]&gt;=30000,"High", IF(Table1[[#This Row],[Sales]]&gt;=15000,"Medium","Low"))</f>
        <v>High</v>
      </c>
      <c r="L658" t="str">
        <f>TEXT(Table1[[#This Row],[Order_Date]],"MMM")</f>
        <v>Sep</v>
      </c>
      <c r="M658" t="str">
        <f>IF(Table1[[#This Row],[Profit]]&gt;=10000,"Excellent",IF(Table1[[#This Row],[Profit]]&gt;5000,"Good","Low"))</f>
        <v>Excellent</v>
      </c>
      <c r="N658" t="str">
        <f>TEXT(Table1[[#This Row],[Order_Date]],"YYYY")</f>
        <v>2024</v>
      </c>
    </row>
    <row r="659" spans="1:14" x14ac:dyDescent="0.25">
      <c r="A659" s="1">
        <v>45428</v>
      </c>
      <c r="B659" t="s">
        <v>22</v>
      </c>
      <c r="C659" t="s">
        <v>18</v>
      </c>
      <c r="D659">
        <v>10950</v>
      </c>
      <c r="E659">
        <v>130</v>
      </c>
      <c r="F659">
        <v>10820</v>
      </c>
      <c r="G659" t="s">
        <v>13</v>
      </c>
      <c r="H659" t="s">
        <v>63</v>
      </c>
      <c r="I659" t="s">
        <v>15</v>
      </c>
      <c r="J659" s="2">
        <f>Table1[[#This Row],[Profit]]/Table1[[#This Row],[Sales]]*100</f>
        <v>98.81278538812785</v>
      </c>
      <c r="K659" t="str">
        <f>IF(Table1[[#This Row],[Sales]]&gt;=30000,"High", IF(Table1[[#This Row],[Sales]]&gt;=15000,"Medium","Low"))</f>
        <v>Low</v>
      </c>
      <c r="L659" t="str">
        <f>TEXT(Table1[[#This Row],[Order_Date]],"MMM")</f>
        <v>May</v>
      </c>
      <c r="M659" t="str">
        <f>IF(Table1[[#This Row],[Profit]]&gt;=10000,"Excellent",IF(Table1[[#This Row],[Profit]]&gt;5000,"Good","Low"))</f>
        <v>Excellent</v>
      </c>
      <c r="N659" t="str">
        <f>TEXT(Table1[[#This Row],[Order_Date]],"YYYY")</f>
        <v>2024</v>
      </c>
    </row>
    <row r="660" spans="1:14" x14ac:dyDescent="0.25">
      <c r="A660" s="1">
        <v>45732</v>
      </c>
      <c r="B660" t="s">
        <v>44</v>
      </c>
      <c r="C660" t="s">
        <v>33</v>
      </c>
      <c r="D660">
        <v>25776</v>
      </c>
      <c r="E660">
        <v>25158</v>
      </c>
      <c r="F660">
        <v>618</v>
      </c>
      <c r="G660" t="s">
        <v>13</v>
      </c>
      <c r="H660" t="s">
        <v>63</v>
      </c>
      <c r="I660" t="s">
        <v>15</v>
      </c>
      <c r="J660" s="2">
        <f>Table1[[#This Row],[Profit]]/Table1[[#This Row],[Sales]]*100</f>
        <v>2.3975791433891991</v>
      </c>
      <c r="K660" t="str">
        <f>IF(Table1[[#This Row],[Sales]]&gt;=30000,"High", IF(Table1[[#This Row],[Sales]]&gt;=15000,"Medium","Low"))</f>
        <v>Medium</v>
      </c>
      <c r="L660" t="str">
        <f>TEXT(Table1[[#This Row],[Order_Date]],"MMM")</f>
        <v>Mar</v>
      </c>
      <c r="M660" t="str">
        <f>IF(Table1[[#This Row],[Profit]]&gt;=10000,"Excellent",IF(Table1[[#This Row],[Profit]]&gt;5000,"Good","Low"))</f>
        <v>Low</v>
      </c>
      <c r="N660" t="str">
        <f>TEXT(Table1[[#This Row],[Order_Date]],"YYYY")</f>
        <v>2025</v>
      </c>
    </row>
    <row r="661" spans="1:14" x14ac:dyDescent="0.25">
      <c r="A661" s="1">
        <v>45596</v>
      </c>
      <c r="B661" t="s">
        <v>11</v>
      </c>
      <c r="C661" t="s">
        <v>12</v>
      </c>
      <c r="D661">
        <v>46536</v>
      </c>
      <c r="E661">
        <v>43620</v>
      </c>
      <c r="F661">
        <v>2916</v>
      </c>
      <c r="G661" t="s">
        <v>27</v>
      </c>
      <c r="H661" t="s">
        <v>20</v>
      </c>
      <c r="I661" t="s">
        <v>53</v>
      </c>
      <c r="J661" s="2">
        <f>Table1[[#This Row],[Profit]]/Table1[[#This Row],[Sales]]*100</f>
        <v>6.2661165549252189</v>
      </c>
      <c r="K661" t="str">
        <f>IF(Table1[[#This Row],[Sales]]&gt;=30000,"High", IF(Table1[[#This Row],[Sales]]&gt;=15000,"Medium","Low"))</f>
        <v>High</v>
      </c>
      <c r="L661" t="str">
        <f>TEXT(Table1[[#This Row],[Order_Date]],"MMM")</f>
        <v>Oct</v>
      </c>
      <c r="M661" t="str">
        <f>IF(Table1[[#This Row],[Profit]]&gt;=10000,"Excellent",IF(Table1[[#This Row],[Profit]]&gt;5000,"Good","Low"))</f>
        <v>Low</v>
      </c>
      <c r="N661" t="str">
        <f>TEXT(Table1[[#This Row],[Order_Date]],"YYYY")</f>
        <v>2024</v>
      </c>
    </row>
    <row r="662" spans="1:14" x14ac:dyDescent="0.25">
      <c r="A662" s="1">
        <v>45574</v>
      </c>
      <c r="B662" t="s">
        <v>11</v>
      </c>
      <c r="C662" t="s">
        <v>12</v>
      </c>
      <c r="D662">
        <v>16986</v>
      </c>
      <c r="E662">
        <v>2945</v>
      </c>
      <c r="F662">
        <v>14041</v>
      </c>
      <c r="G662" t="s">
        <v>19</v>
      </c>
      <c r="H662" t="s">
        <v>14</v>
      </c>
      <c r="I662" t="s">
        <v>42</v>
      </c>
      <c r="J662" s="2">
        <f>Table1[[#This Row],[Profit]]/Table1[[#This Row],[Sales]]*100</f>
        <v>82.662192393736021</v>
      </c>
      <c r="K662" t="str">
        <f>IF(Table1[[#This Row],[Sales]]&gt;=30000,"High", IF(Table1[[#This Row],[Sales]]&gt;=15000,"Medium","Low"))</f>
        <v>Medium</v>
      </c>
      <c r="L662" t="str">
        <f>TEXT(Table1[[#This Row],[Order_Date]],"MMM")</f>
        <v>Oct</v>
      </c>
      <c r="M662" t="str">
        <f>IF(Table1[[#This Row],[Profit]]&gt;=10000,"Excellent",IF(Table1[[#This Row],[Profit]]&gt;5000,"Good","Low"))</f>
        <v>Excellent</v>
      </c>
      <c r="N662" t="str">
        <f>TEXT(Table1[[#This Row],[Order_Date]],"YYYY")</f>
        <v>2024</v>
      </c>
    </row>
    <row r="663" spans="1:14" x14ac:dyDescent="0.25">
      <c r="A663" s="1">
        <v>45242</v>
      </c>
      <c r="B663" t="s">
        <v>22</v>
      </c>
      <c r="C663" t="s">
        <v>36</v>
      </c>
      <c r="D663">
        <v>39459</v>
      </c>
      <c r="E663">
        <v>31013</v>
      </c>
      <c r="F663">
        <v>8446</v>
      </c>
      <c r="G663" t="s">
        <v>13</v>
      </c>
      <c r="H663" t="s">
        <v>45</v>
      </c>
      <c r="I663" t="s">
        <v>29</v>
      </c>
      <c r="J663" s="2">
        <f>Table1[[#This Row],[Profit]]/Table1[[#This Row],[Sales]]*100</f>
        <v>21.404495805773081</v>
      </c>
      <c r="K663" t="str">
        <f>IF(Table1[[#This Row],[Sales]]&gt;=30000,"High", IF(Table1[[#This Row],[Sales]]&gt;=15000,"Medium","Low"))</f>
        <v>High</v>
      </c>
      <c r="L663" t="str">
        <f>TEXT(Table1[[#This Row],[Order_Date]],"MMM")</f>
        <v>Nov</v>
      </c>
      <c r="M663" t="str">
        <f>IF(Table1[[#This Row],[Profit]]&gt;=10000,"Excellent",IF(Table1[[#This Row],[Profit]]&gt;5000,"Good","Low"))</f>
        <v>Good</v>
      </c>
      <c r="N663" t="str">
        <f>TEXT(Table1[[#This Row],[Order_Date]],"YYYY")</f>
        <v>2023</v>
      </c>
    </row>
    <row r="664" spans="1:14" x14ac:dyDescent="0.25">
      <c r="A664" s="1">
        <v>45498</v>
      </c>
      <c r="B664" t="s">
        <v>22</v>
      </c>
      <c r="C664" t="s">
        <v>12</v>
      </c>
      <c r="D664">
        <v>8415</v>
      </c>
      <c r="E664">
        <v>3175</v>
      </c>
      <c r="F664">
        <v>5240</v>
      </c>
      <c r="G664" t="s">
        <v>27</v>
      </c>
      <c r="H664" t="s">
        <v>78</v>
      </c>
      <c r="I664" t="s">
        <v>53</v>
      </c>
      <c r="J664" s="2">
        <f>Table1[[#This Row],[Profit]]/Table1[[#This Row],[Sales]]*100</f>
        <v>62.26975638740344</v>
      </c>
      <c r="K664" t="str">
        <f>IF(Table1[[#This Row],[Sales]]&gt;=30000,"High", IF(Table1[[#This Row],[Sales]]&gt;=15000,"Medium","Low"))</f>
        <v>Low</v>
      </c>
      <c r="L664" t="str">
        <f>TEXT(Table1[[#This Row],[Order_Date]],"MMM")</f>
        <v>Jul</v>
      </c>
      <c r="M664" t="str">
        <f>IF(Table1[[#This Row],[Profit]]&gt;=10000,"Excellent",IF(Table1[[#This Row],[Profit]]&gt;5000,"Good","Low"))</f>
        <v>Good</v>
      </c>
      <c r="N664" t="str">
        <f>TEXT(Table1[[#This Row],[Order_Date]],"YYYY")</f>
        <v>2024</v>
      </c>
    </row>
    <row r="665" spans="1:14" x14ac:dyDescent="0.25">
      <c r="A665" s="1">
        <v>45306</v>
      </c>
      <c r="B665" t="s">
        <v>44</v>
      </c>
      <c r="C665" t="s">
        <v>12</v>
      </c>
      <c r="D665">
        <v>21036</v>
      </c>
      <c r="E665">
        <v>9202</v>
      </c>
      <c r="F665">
        <v>11834</v>
      </c>
      <c r="G665" t="s">
        <v>38</v>
      </c>
      <c r="H665" t="s">
        <v>60</v>
      </c>
      <c r="I665" t="s">
        <v>24</v>
      </c>
      <c r="J665" s="2">
        <f>Table1[[#This Row],[Profit]]/Table1[[#This Row],[Sales]]*100</f>
        <v>56.255942194333521</v>
      </c>
      <c r="K665" t="str">
        <f>IF(Table1[[#This Row],[Sales]]&gt;=30000,"High", IF(Table1[[#This Row],[Sales]]&gt;=15000,"Medium","Low"))</f>
        <v>Medium</v>
      </c>
      <c r="L665" t="str">
        <f>TEXT(Table1[[#This Row],[Order_Date]],"MMM")</f>
        <v>Jan</v>
      </c>
      <c r="M665" t="str">
        <f>IF(Table1[[#This Row],[Profit]]&gt;=10000,"Excellent",IF(Table1[[#This Row],[Profit]]&gt;5000,"Good","Low"))</f>
        <v>Excellent</v>
      </c>
      <c r="N665" t="str">
        <f>TEXT(Table1[[#This Row],[Order_Date]],"YYYY")</f>
        <v>2024</v>
      </c>
    </row>
    <row r="666" spans="1:14" x14ac:dyDescent="0.25">
      <c r="A666" s="1">
        <v>45303</v>
      </c>
      <c r="B666" t="s">
        <v>44</v>
      </c>
      <c r="C666" t="s">
        <v>18</v>
      </c>
      <c r="D666">
        <v>17953</v>
      </c>
      <c r="E666">
        <v>1269</v>
      </c>
      <c r="F666">
        <v>16684</v>
      </c>
      <c r="G666" t="s">
        <v>38</v>
      </c>
      <c r="H666" t="s">
        <v>78</v>
      </c>
      <c r="I666" t="s">
        <v>15</v>
      </c>
      <c r="J666" s="2">
        <f>Table1[[#This Row],[Profit]]/Table1[[#This Row],[Sales]]*100</f>
        <v>92.931543474628199</v>
      </c>
      <c r="K666" t="str">
        <f>IF(Table1[[#This Row],[Sales]]&gt;=30000,"High", IF(Table1[[#This Row],[Sales]]&gt;=15000,"Medium","Low"))</f>
        <v>Medium</v>
      </c>
      <c r="L666" t="str">
        <f>TEXT(Table1[[#This Row],[Order_Date]],"MMM")</f>
        <v>Jan</v>
      </c>
      <c r="M666" t="str">
        <f>IF(Table1[[#This Row],[Profit]]&gt;=10000,"Excellent",IF(Table1[[#This Row],[Profit]]&gt;5000,"Good","Low"))</f>
        <v>Excellent</v>
      </c>
      <c r="N666" t="str">
        <f>TEXT(Table1[[#This Row],[Order_Date]],"YYYY")</f>
        <v>2024</v>
      </c>
    </row>
    <row r="667" spans="1:14" x14ac:dyDescent="0.25">
      <c r="A667" s="1">
        <v>45870</v>
      </c>
      <c r="B667" t="s">
        <v>22</v>
      </c>
      <c r="C667" t="s">
        <v>33</v>
      </c>
      <c r="D667">
        <v>49806</v>
      </c>
      <c r="E667">
        <v>31038</v>
      </c>
      <c r="F667">
        <v>18768</v>
      </c>
      <c r="G667" t="s">
        <v>27</v>
      </c>
      <c r="H667" t="s">
        <v>28</v>
      </c>
      <c r="I667" t="s">
        <v>42</v>
      </c>
      <c r="J667" s="2">
        <f>Table1[[#This Row],[Profit]]/Table1[[#This Row],[Sales]]*100</f>
        <v>37.682206963016505</v>
      </c>
      <c r="K667" t="str">
        <f>IF(Table1[[#This Row],[Sales]]&gt;=30000,"High", IF(Table1[[#This Row],[Sales]]&gt;=15000,"Medium","Low"))</f>
        <v>High</v>
      </c>
      <c r="L667" t="str">
        <f>TEXT(Table1[[#This Row],[Order_Date]],"MMM")</f>
        <v>Aug</v>
      </c>
      <c r="M667" t="str">
        <f>IF(Table1[[#This Row],[Profit]]&gt;=10000,"Excellent",IF(Table1[[#This Row],[Profit]]&gt;5000,"Good","Low"))</f>
        <v>Excellent</v>
      </c>
      <c r="N667" t="str">
        <f>TEXT(Table1[[#This Row],[Order_Date]],"YYYY")</f>
        <v>2025</v>
      </c>
    </row>
    <row r="668" spans="1:14" x14ac:dyDescent="0.25">
      <c r="A668" s="1">
        <v>45708</v>
      </c>
      <c r="B668" t="s">
        <v>11</v>
      </c>
      <c r="C668" t="s">
        <v>18</v>
      </c>
      <c r="D668">
        <v>37930</v>
      </c>
      <c r="E668">
        <v>19161</v>
      </c>
      <c r="F668">
        <v>18769</v>
      </c>
      <c r="G668" t="s">
        <v>27</v>
      </c>
      <c r="H668" t="s">
        <v>45</v>
      </c>
      <c r="I668" t="s">
        <v>29</v>
      </c>
      <c r="J668" s="2">
        <f>Table1[[#This Row],[Profit]]/Table1[[#This Row],[Sales]]*100</f>
        <v>49.48325863432639</v>
      </c>
      <c r="K668" t="str">
        <f>IF(Table1[[#This Row],[Sales]]&gt;=30000,"High", IF(Table1[[#This Row],[Sales]]&gt;=15000,"Medium","Low"))</f>
        <v>High</v>
      </c>
      <c r="L668" t="str">
        <f>TEXT(Table1[[#This Row],[Order_Date]],"MMM")</f>
        <v>Feb</v>
      </c>
      <c r="M668" t="str">
        <f>IF(Table1[[#This Row],[Profit]]&gt;=10000,"Excellent",IF(Table1[[#This Row],[Profit]]&gt;5000,"Good","Low"))</f>
        <v>Excellent</v>
      </c>
      <c r="N668" t="str">
        <f>TEXT(Table1[[#This Row],[Order_Date]],"YYYY")</f>
        <v>2025</v>
      </c>
    </row>
    <row r="669" spans="1:14" x14ac:dyDescent="0.25">
      <c r="A669" s="1">
        <v>45374</v>
      </c>
      <c r="B669" t="s">
        <v>17</v>
      </c>
      <c r="C669" t="s">
        <v>41</v>
      </c>
      <c r="D669">
        <v>20401</v>
      </c>
      <c r="E669">
        <v>15970</v>
      </c>
      <c r="F669">
        <v>4431</v>
      </c>
      <c r="G669" t="s">
        <v>19</v>
      </c>
      <c r="H669" t="s">
        <v>14</v>
      </c>
      <c r="I669" t="s">
        <v>24</v>
      </c>
      <c r="J669" s="2">
        <f>Table1[[#This Row],[Profit]]/Table1[[#This Row],[Sales]]*100</f>
        <v>21.719523552767019</v>
      </c>
      <c r="K669" t="str">
        <f>IF(Table1[[#This Row],[Sales]]&gt;=30000,"High", IF(Table1[[#This Row],[Sales]]&gt;=15000,"Medium","Low"))</f>
        <v>Medium</v>
      </c>
      <c r="L669" t="str">
        <f>TEXT(Table1[[#This Row],[Order_Date]],"MMM")</f>
        <v>Mar</v>
      </c>
      <c r="M669" t="str">
        <f>IF(Table1[[#This Row],[Profit]]&gt;=10000,"Excellent",IF(Table1[[#This Row],[Profit]]&gt;5000,"Good","Low"))</f>
        <v>Low</v>
      </c>
      <c r="N669" t="str">
        <f>TEXT(Table1[[#This Row],[Order_Date]],"YYYY")</f>
        <v>2024</v>
      </c>
    </row>
    <row r="670" spans="1:14" x14ac:dyDescent="0.25">
      <c r="A670" s="1">
        <v>45989</v>
      </c>
      <c r="B670" t="s">
        <v>11</v>
      </c>
      <c r="C670" t="s">
        <v>36</v>
      </c>
      <c r="D670">
        <v>9176</v>
      </c>
      <c r="E670">
        <v>7611</v>
      </c>
      <c r="F670">
        <v>1565</v>
      </c>
      <c r="G670" t="s">
        <v>27</v>
      </c>
      <c r="H670" t="s">
        <v>45</v>
      </c>
      <c r="I670" t="s">
        <v>53</v>
      </c>
      <c r="J670" s="2">
        <f>Table1[[#This Row],[Profit]]/Table1[[#This Row],[Sales]]*100</f>
        <v>17.05536181342633</v>
      </c>
      <c r="K670" t="str">
        <f>IF(Table1[[#This Row],[Sales]]&gt;=30000,"High", IF(Table1[[#This Row],[Sales]]&gt;=15000,"Medium","Low"))</f>
        <v>Low</v>
      </c>
      <c r="L670" t="str">
        <f>TEXT(Table1[[#This Row],[Order_Date]],"MMM")</f>
        <v>Nov</v>
      </c>
      <c r="M670" t="str">
        <f>IF(Table1[[#This Row],[Profit]]&gt;=10000,"Excellent",IF(Table1[[#This Row],[Profit]]&gt;5000,"Good","Low"))</f>
        <v>Low</v>
      </c>
      <c r="N670" t="str">
        <f>TEXT(Table1[[#This Row],[Order_Date]],"YYYY")</f>
        <v>2025</v>
      </c>
    </row>
    <row r="671" spans="1:14" x14ac:dyDescent="0.25">
      <c r="A671" s="1">
        <v>45594</v>
      </c>
      <c r="B671" t="s">
        <v>17</v>
      </c>
      <c r="C671" t="s">
        <v>18</v>
      </c>
      <c r="D671">
        <v>37398</v>
      </c>
      <c r="E671">
        <v>35193</v>
      </c>
      <c r="F671">
        <v>2205</v>
      </c>
      <c r="G671" t="s">
        <v>19</v>
      </c>
      <c r="H671" t="s">
        <v>78</v>
      </c>
      <c r="I671" t="s">
        <v>24</v>
      </c>
      <c r="J671" s="2">
        <f>Table1[[#This Row],[Profit]]/Table1[[#This Row],[Sales]]*100</f>
        <v>5.8960372212417775</v>
      </c>
      <c r="K671" t="str">
        <f>IF(Table1[[#This Row],[Sales]]&gt;=30000,"High", IF(Table1[[#This Row],[Sales]]&gt;=15000,"Medium","Low"))</f>
        <v>High</v>
      </c>
      <c r="L671" t="str">
        <f>TEXT(Table1[[#This Row],[Order_Date]],"MMM")</f>
        <v>Oct</v>
      </c>
      <c r="M671" t="str">
        <f>IF(Table1[[#This Row],[Profit]]&gt;=10000,"Excellent",IF(Table1[[#This Row],[Profit]]&gt;5000,"Good","Low"))</f>
        <v>Low</v>
      </c>
      <c r="N671" t="str">
        <f>TEXT(Table1[[#This Row],[Order_Date]],"YYYY")</f>
        <v>2024</v>
      </c>
    </row>
    <row r="672" spans="1:14" x14ac:dyDescent="0.25">
      <c r="A672" s="1">
        <v>45839</v>
      </c>
      <c r="B672" t="s">
        <v>44</v>
      </c>
      <c r="C672" t="s">
        <v>36</v>
      </c>
      <c r="D672">
        <v>32247</v>
      </c>
      <c r="E672">
        <v>17859</v>
      </c>
      <c r="F672">
        <v>14388</v>
      </c>
      <c r="G672" t="s">
        <v>27</v>
      </c>
      <c r="H672" t="s">
        <v>14</v>
      </c>
      <c r="I672" t="s">
        <v>53</v>
      </c>
      <c r="J672" s="2">
        <f>Table1[[#This Row],[Profit]]/Table1[[#This Row],[Sales]]*100</f>
        <v>44.618104009675321</v>
      </c>
      <c r="K672" t="str">
        <f>IF(Table1[[#This Row],[Sales]]&gt;=30000,"High", IF(Table1[[#This Row],[Sales]]&gt;=15000,"Medium","Low"))</f>
        <v>High</v>
      </c>
      <c r="L672" t="str">
        <f>TEXT(Table1[[#This Row],[Order_Date]],"MMM")</f>
        <v>Jul</v>
      </c>
      <c r="M672" t="str">
        <f>IF(Table1[[#This Row],[Profit]]&gt;=10000,"Excellent",IF(Table1[[#This Row],[Profit]]&gt;5000,"Good","Low"))</f>
        <v>Excellent</v>
      </c>
      <c r="N672" t="str">
        <f>TEXT(Table1[[#This Row],[Order_Date]],"YYYY")</f>
        <v>2025</v>
      </c>
    </row>
    <row r="673" spans="1:14" x14ac:dyDescent="0.25">
      <c r="A673" s="1">
        <v>45288</v>
      </c>
      <c r="B673" t="s">
        <v>44</v>
      </c>
      <c r="C673" t="s">
        <v>41</v>
      </c>
      <c r="D673">
        <v>45240</v>
      </c>
      <c r="E673">
        <v>28851</v>
      </c>
      <c r="F673">
        <v>16389</v>
      </c>
      <c r="G673" t="s">
        <v>13</v>
      </c>
      <c r="H673" t="s">
        <v>31</v>
      </c>
      <c r="I673" t="s">
        <v>53</v>
      </c>
      <c r="J673" s="2">
        <f>Table1[[#This Row],[Profit]]/Table1[[#This Row],[Sales]]*100</f>
        <v>36.226790450928384</v>
      </c>
      <c r="K673" t="str">
        <f>IF(Table1[[#This Row],[Sales]]&gt;=30000,"High", IF(Table1[[#This Row],[Sales]]&gt;=15000,"Medium","Low"))</f>
        <v>High</v>
      </c>
      <c r="L673" t="str">
        <f>TEXT(Table1[[#This Row],[Order_Date]],"MMM")</f>
        <v>Dec</v>
      </c>
      <c r="M673" t="str">
        <f>IF(Table1[[#This Row],[Profit]]&gt;=10000,"Excellent",IF(Table1[[#This Row],[Profit]]&gt;5000,"Good","Low"))</f>
        <v>Excellent</v>
      </c>
      <c r="N673" t="str">
        <f>TEXT(Table1[[#This Row],[Order_Date]],"YYYY")</f>
        <v>2023</v>
      </c>
    </row>
    <row r="674" spans="1:14" x14ac:dyDescent="0.25">
      <c r="A674" s="1">
        <v>45543</v>
      </c>
      <c r="B674" t="s">
        <v>44</v>
      </c>
      <c r="C674" t="s">
        <v>18</v>
      </c>
      <c r="D674">
        <v>25462</v>
      </c>
      <c r="E674">
        <v>6913</v>
      </c>
      <c r="F674">
        <v>18549</v>
      </c>
      <c r="G674" t="s">
        <v>19</v>
      </c>
      <c r="H674" t="s">
        <v>31</v>
      </c>
      <c r="I674" t="s">
        <v>42</v>
      </c>
      <c r="J674" s="2">
        <f>Table1[[#This Row],[Profit]]/Table1[[#This Row],[Sales]]*100</f>
        <v>72.849736862775899</v>
      </c>
      <c r="K674" t="str">
        <f>IF(Table1[[#This Row],[Sales]]&gt;=30000,"High", IF(Table1[[#This Row],[Sales]]&gt;=15000,"Medium","Low"))</f>
        <v>Medium</v>
      </c>
      <c r="L674" t="str">
        <f>TEXT(Table1[[#This Row],[Order_Date]],"MMM")</f>
        <v>Sep</v>
      </c>
      <c r="M674" t="str">
        <f>IF(Table1[[#This Row],[Profit]]&gt;=10000,"Excellent",IF(Table1[[#This Row],[Profit]]&gt;5000,"Good","Low"))</f>
        <v>Excellent</v>
      </c>
      <c r="N674" t="str">
        <f>TEXT(Table1[[#This Row],[Order_Date]],"YYYY")</f>
        <v>2024</v>
      </c>
    </row>
    <row r="675" spans="1:14" x14ac:dyDescent="0.25">
      <c r="A675" s="1">
        <v>45991</v>
      </c>
      <c r="B675" t="s">
        <v>22</v>
      </c>
      <c r="C675" t="s">
        <v>12</v>
      </c>
      <c r="D675">
        <v>16383</v>
      </c>
      <c r="E675">
        <v>6289</v>
      </c>
      <c r="F675">
        <v>10094</v>
      </c>
      <c r="G675" t="s">
        <v>13</v>
      </c>
      <c r="H675" t="s">
        <v>31</v>
      </c>
      <c r="I675" t="s">
        <v>24</v>
      </c>
      <c r="J675" s="2">
        <f>Table1[[#This Row],[Profit]]/Table1[[#This Row],[Sales]]*100</f>
        <v>61.612647256302267</v>
      </c>
      <c r="K675" t="str">
        <f>IF(Table1[[#This Row],[Sales]]&gt;=30000,"High", IF(Table1[[#This Row],[Sales]]&gt;=15000,"Medium","Low"))</f>
        <v>Medium</v>
      </c>
      <c r="L675" t="str">
        <f>TEXT(Table1[[#This Row],[Order_Date]],"MMM")</f>
        <v>Nov</v>
      </c>
      <c r="M675" t="str">
        <f>IF(Table1[[#This Row],[Profit]]&gt;=10000,"Excellent",IF(Table1[[#This Row],[Profit]]&gt;5000,"Good","Low"))</f>
        <v>Excellent</v>
      </c>
      <c r="N675" t="str">
        <f>TEXT(Table1[[#This Row],[Order_Date]],"YYYY")</f>
        <v>2025</v>
      </c>
    </row>
    <row r="676" spans="1:14" x14ac:dyDescent="0.25">
      <c r="A676" s="1">
        <v>45981</v>
      </c>
      <c r="B676" t="s">
        <v>17</v>
      </c>
      <c r="C676" t="s">
        <v>33</v>
      </c>
      <c r="D676">
        <v>14811</v>
      </c>
      <c r="E676">
        <v>3000</v>
      </c>
      <c r="F676">
        <v>11811</v>
      </c>
      <c r="G676" t="s">
        <v>19</v>
      </c>
      <c r="H676" t="s">
        <v>63</v>
      </c>
      <c r="I676" t="s">
        <v>15</v>
      </c>
      <c r="J676" s="2">
        <f>Table1[[#This Row],[Profit]]/Table1[[#This Row],[Sales]]*100</f>
        <v>79.744784281952604</v>
      </c>
      <c r="K676" t="str">
        <f>IF(Table1[[#This Row],[Sales]]&gt;=30000,"High", IF(Table1[[#This Row],[Sales]]&gt;=15000,"Medium","Low"))</f>
        <v>Low</v>
      </c>
      <c r="L676" t="str">
        <f>TEXT(Table1[[#This Row],[Order_Date]],"MMM")</f>
        <v>Nov</v>
      </c>
      <c r="M676" t="str">
        <f>IF(Table1[[#This Row],[Profit]]&gt;=10000,"Excellent",IF(Table1[[#This Row],[Profit]]&gt;5000,"Good","Low"))</f>
        <v>Excellent</v>
      </c>
      <c r="N676" t="str">
        <f>TEXT(Table1[[#This Row],[Order_Date]],"YYYY")</f>
        <v>2025</v>
      </c>
    </row>
    <row r="677" spans="1:14" x14ac:dyDescent="0.25">
      <c r="A677" s="1">
        <v>45597</v>
      </c>
      <c r="B677" t="s">
        <v>44</v>
      </c>
      <c r="C677" t="s">
        <v>18</v>
      </c>
      <c r="D677">
        <v>31660</v>
      </c>
      <c r="E677">
        <v>24857</v>
      </c>
      <c r="F677">
        <v>6803</v>
      </c>
      <c r="G677" t="s">
        <v>19</v>
      </c>
      <c r="H677" t="s">
        <v>20</v>
      </c>
      <c r="I677" t="s">
        <v>53</v>
      </c>
      <c r="J677" s="2">
        <f>Table1[[#This Row],[Profit]]/Table1[[#This Row],[Sales]]*100</f>
        <v>21.487681617182563</v>
      </c>
      <c r="K677" t="str">
        <f>IF(Table1[[#This Row],[Sales]]&gt;=30000,"High", IF(Table1[[#This Row],[Sales]]&gt;=15000,"Medium","Low"))</f>
        <v>High</v>
      </c>
      <c r="L677" t="str">
        <f>TEXT(Table1[[#This Row],[Order_Date]],"MMM")</f>
        <v>Nov</v>
      </c>
      <c r="M677" t="str">
        <f>IF(Table1[[#This Row],[Profit]]&gt;=10000,"Excellent",IF(Table1[[#This Row],[Profit]]&gt;5000,"Good","Low"))</f>
        <v>Good</v>
      </c>
      <c r="N677" t="str">
        <f>TEXT(Table1[[#This Row],[Order_Date]],"YYYY")</f>
        <v>2024</v>
      </c>
    </row>
    <row r="678" spans="1:14" x14ac:dyDescent="0.25">
      <c r="A678" s="1">
        <v>46173</v>
      </c>
      <c r="B678" t="s">
        <v>11</v>
      </c>
      <c r="C678" t="s">
        <v>36</v>
      </c>
      <c r="D678">
        <v>15800</v>
      </c>
      <c r="E678">
        <v>9103</v>
      </c>
      <c r="F678">
        <v>6697</v>
      </c>
      <c r="G678" t="s">
        <v>19</v>
      </c>
      <c r="H678" t="s">
        <v>31</v>
      </c>
      <c r="I678" t="s">
        <v>53</v>
      </c>
      <c r="J678" s="2">
        <f>Table1[[#This Row],[Profit]]/Table1[[#This Row],[Sales]]*100</f>
        <v>42.38607594936709</v>
      </c>
      <c r="K678" t="str">
        <f>IF(Table1[[#This Row],[Sales]]&gt;=30000,"High", IF(Table1[[#This Row],[Sales]]&gt;=15000,"Medium","Low"))</f>
        <v>Medium</v>
      </c>
      <c r="L678" t="str">
        <f>TEXT(Table1[[#This Row],[Order_Date]],"MMM")</f>
        <v>May</v>
      </c>
      <c r="M678" t="str">
        <f>IF(Table1[[#This Row],[Profit]]&gt;=10000,"Excellent",IF(Table1[[#This Row],[Profit]]&gt;5000,"Good","Low"))</f>
        <v>Good</v>
      </c>
      <c r="N678" t="str">
        <f>TEXT(Table1[[#This Row],[Order_Date]],"YYYY")</f>
        <v>2026</v>
      </c>
    </row>
    <row r="679" spans="1:14" x14ac:dyDescent="0.25">
      <c r="A679" s="1">
        <v>45966</v>
      </c>
      <c r="B679" t="s">
        <v>26</v>
      </c>
      <c r="C679" t="s">
        <v>33</v>
      </c>
      <c r="D679">
        <v>29949</v>
      </c>
      <c r="E679">
        <v>11906</v>
      </c>
      <c r="F679">
        <v>18043</v>
      </c>
      <c r="G679" t="s">
        <v>19</v>
      </c>
      <c r="H679" t="s">
        <v>45</v>
      </c>
      <c r="I679" t="s">
        <v>15</v>
      </c>
      <c r="J679" s="2">
        <f>Table1[[#This Row],[Profit]]/Table1[[#This Row],[Sales]]*100</f>
        <v>60.245751110220716</v>
      </c>
      <c r="K679" t="str">
        <f>IF(Table1[[#This Row],[Sales]]&gt;=30000,"High", IF(Table1[[#This Row],[Sales]]&gt;=15000,"Medium","Low"))</f>
        <v>Medium</v>
      </c>
      <c r="L679" t="str">
        <f>TEXT(Table1[[#This Row],[Order_Date]],"MMM")</f>
        <v>Nov</v>
      </c>
      <c r="M679" t="str">
        <f>IF(Table1[[#This Row],[Profit]]&gt;=10000,"Excellent",IF(Table1[[#This Row],[Profit]]&gt;5000,"Good","Low"))</f>
        <v>Excellent</v>
      </c>
      <c r="N679" t="str">
        <f>TEXT(Table1[[#This Row],[Order_Date]],"YYYY")</f>
        <v>2025</v>
      </c>
    </row>
    <row r="680" spans="1:14" x14ac:dyDescent="0.25">
      <c r="A680" s="1">
        <v>45330</v>
      </c>
      <c r="B680" t="s">
        <v>11</v>
      </c>
      <c r="C680" t="s">
        <v>12</v>
      </c>
      <c r="D680">
        <v>22030</v>
      </c>
      <c r="E680">
        <v>8825</v>
      </c>
      <c r="F680">
        <v>13205</v>
      </c>
      <c r="G680" t="s">
        <v>19</v>
      </c>
      <c r="H680" t="s">
        <v>34</v>
      </c>
      <c r="I680" t="s">
        <v>15</v>
      </c>
      <c r="J680" s="2">
        <f>Table1[[#This Row],[Profit]]/Table1[[#This Row],[Sales]]*100</f>
        <v>59.940989559691324</v>
      </c>
      <c r="K680" t="str">
        <f>IF(Table1[[#This Row],[Sales]]&gt;=30000,"High", IF(Table1[[#This Row],[Sales]]&gt;=15000,"Medium","Low"))</f>
        <v>Medium</v>
      </c>
      <c r="L680" t="str">
        <f>TEXT(Table1[[#This Row],[Order_Date]],"MMM")</f>
        <v>Feb</v>
      </c>
      <c r="M680" t="str">
        <f>IF(Table1[[#This Row],[Profit]]&gt;=10000,"Excellent",IF(Table1[[#This Row],[Profit]]&gt;5000,"Good","Low"))</f>
        <v>Excellent</v>
      </c>
      <c r="N680" t="str">
        <f>TEXT(Table1[[#This Row],[Order_Date]],"YYYY")</f>
        <v>2024</v>
      </c>
    </row>
    <row r="681" spans="1:14" x14ac:dyDescent="0.25">
      <c r="A681" s="1">
        <v>46166</v>
      </c>
      <c r="B681" t="s">
        <v>26</v>
      </c>
      <c r="C681" t="s">
        <v>33</v>
      </c>
      <c r="D681">
        <v>43921</v>
      </c>
      <c r="E681">
        <v>28050</v>
      </c>
      <c r="F681">
        <v>15871</v>
      </c>
      <c r="G681" t="s">
        <v>27</v>
      </c>
      <c r="H681" t="s">
        <v>23</v>
      </c>
      <c r="I681" t="s">
        <v>42</v>
      </c>
      <c r="J681" s="2">
        <f>Table1[[#This Row],[Profit]]/Table1[[#This Row],[Sales]]*100</f>
        <v>36.135333894947749</v>
      </c>
      <c r="K681" t="str">
        <f>IF(Table1[[#This Row],[Sales]]&gt;=30000,"High", IF(Table1[[#This Row],[Sales]]&gt;=15000,"Medium","Low"))</f>
        <v>High</v>
      </c>
      <c r="L681" t="str">
        <f>TEXT(Table1[[#This Row],[Order_Date]],"MMM")</f>
        <v>May</v>
      </c>
      <c r="M681" t="str">
        <f>IF(Table1[[#This Row],[Profit]]&gt;=10000,"Excellent",IF(Table1[[#This Row],[Profit]]&gt;5000,"Good","Low"))</f>
        <v>Excellent</v>
      </c>
      <c r="N681" t="str">
        <f>TEXT(Table1[[#This Row],[Order_Date]],"YYYY")</f>
        <v>2026</v>
      </c>
    </row>
    <row r="682" spans="1:14" x14ac:dyDescent="0.25">
      <c r="A682" s="1">
        <v>46045</v>
      </c>
      <c r="B682" t="s">
        <v>22</v>
      </c>
      <c r="C682" t="s">
        <v>33</v>
      </c>
      <c r="D682">
        <v>49153</v>
      </c>
      <c r="E682">
        <v>40300</v>
      </c>
      <c r="F682">
        <v>8853</v>
      </c>
      <c r="G682" t="s">
        <v>19</v>
      </c>
      <c r="H682" t="s">
        <v>63</v>
      </c>
      <c r="I682" t="s">
        <v>42</v>
      </c>
      <c r="J682" s="2">
        <f>Table1[[#This Row],[Profit]]/Table1[[#This Row],[Sales]]*100</f>
        <v>18.011108172441155</v>
      </c>
      <c r="K682" t="str">
        <f>IF(Table1[[#This Row],[Sales]]&gt;=30000,"High", IF(Table1[[#This Row],[Sales]]&gt;=15000,"Medium","Low"))</f>
        <v>High</v>
      </c>
      <c r="L682" t="str">
        <f>TEXT(Table1[[#This Row],[Order_Date]],"MMM")</f>
        <v>Jan</v>
      </c>
      <c r="M682" t="str">
        <f>IF(Table1[[#This Row],[Profit]]&gt;=10000,"Excellent",IF(Table1[[#This Row],[Profit]]&gt;5000,"Good","Low"))</f>
        <v>Good</v>
      </c>
      <c r="N682" t="str">
        <f>TEXT(Table1[[#This Row],[Order_Date]],"YYYY")</f>
        <v>2026</v>
      </c>
    </row>
    <row r="683" spans="1:14" x14ac:dyDescent="0.25">
      <c r="A683" s="1">
        <v>45409</v>
      </c>
      <c r="B683" t="s">
        <v>22</v>
      </c>
      <c r="C683" t="s">
        <v>12</v>
      </c>
      <c r="D683">
        <v>15453</v>
      </c>
      <c r="E683">
        <v>8606</v>
      </c>
      <c r="F683">
        <v>6847</v>
      </c>
      <c r="G683" t="s">
        <v>19</v>
      </c>
      <c r="H683" t="s">
        <v>28</v>
      </c>
      <c r="I683" t="s">
        <v>29</v>
      </c>
      <c r="J683" s="2">
        <f>Table1[[#This Row],[Profit]]/Table1[[#This Row],[Sales]]*100</f>
        <v>44.308548501909009</v>
      </c>
      <c r="K683" t="str">
        <f>IF(Table1[[#This Row],[Sales]]&gt;=30000,"High", IF(Table1[[#This Row],[Sales]]&gt;=15000,"Medium","Low"))</f>
        <v>Medium</v>
      </c>
      <c r="L683" t="str">
        <f>TEXT(Table1[[#This Row],[Order_Date]],"MMM")</f>
        <v>Apr</v>
      </c>
      <c r="M683" t="str">
        <f>IF(Table1[[#This Row],[Profit]]&gt;=10000,"Excellent",IF(Table1[[#This Row],[Profit]]&gt;5000,"Good","Low"))</f>
        <v>Good</v>
      </c>
      <c r="N683" t="str">
        <f>TEXT(Table1[[#This Row],[Order_Date]],"YYYY")</f>
        <v>2024</v>
      </c>
    </row>
    <row r="684" spans="1:14" x14ac:dyDescent="0.25">
      <c r="A684" s="1">
        <v>46170</v>
      </c>
      <c r="B684" t="s">
        <v>44</v>
      </c>
      <c r="C684" t="s">
        <v>18</v>
      </c>
      <c r="D684">
        <v>48871</v>
      </c>
      <c r="E684">
        <v>47548</v>
      </c>
      <c r="F684">
        <v>1323</v>
      </c>
      <c r="G684" t="s">
        <v>13</v>
      </c>
      <c r="H684" t="s">
        <v>31</v>
      </c>
      <c r="I684" t="s">
        <v>15</v>
      </c>
      <c r="J684" s="2">
        <f>Table1[[#This Row],[Profit]]/Table1[[#This Row],[Sales]]*100</f>
        <v>2.7071269259888275</v>
      </c>
      <c r="K684" t="str">
        <f>IF(Table1[[#This Row],[Sales]]&gt;=30000,"High", IF(Table1[[#This Row],[Sales]]&gt;=15000,"Medium","Low"))</f>
        <v>High</v>
      </c>
      <c r="L684" t="str">
        <f>TEXT(Table1[[#This Row],[Order_Date]],"MMM")</f>
        <v>May</v>
      </c>
      <c r="M684" t="str">
        <f>IF(Table1[[#This Row],[Profit]]&gt;=10000,"Excellent",IF(Table1[[#This Row],[Profit]]&gt;5000,"Good","Low"))</f>
        <v>Low</v>
      </c>
      <c r="N684" t="str">
        <f>TEXT(Table1[[#This Row],[Order_Date]],"YYYY")</f>
        <v>2026</v>
      </c>
    </row>
    <row r="685" spans="1:14" x14ac:dyDescent="0.25">
      <c r="A685" s="1">
        <v>45697</v>
      </c>
      <c r="B685" t="s">
        <v>11</v>
      </c>
      <c r="C685" t="s">
        <v>36</v>
      </c>
      <c r="D685">
        <v>28550</v>
      </c>
      <c r="E685">
        <v>9514</v>
      </c>
      <c r="F685">
        <v>19036</v>
      </c>
      <c r="G685" t="s">
        <v>38</v>
      </c>
      <c r="H685" t="s">
        <v>23</v>
      </c>
      <c r="I685" t="s">
        <v>24</v>
      </c>
      <c r="J685" s="2">
        <f>Table1[[#This Row],[Profit]]/Table1[[#This Row],[Sales]]*100</f>
        <v>66.67600700525395</v>
      </c>
      <c r="K685" t="str">
        <f>IF(Table1[[#This Row],[Sales]]&gt;=30000,"High", IF(Table1[[#This Row],[Sales]]&gt;=15000,"Medium","Low"))</f>
        <v>Medium</v>
      </c>
      <c r="L685" t="str">
        <f>TEXT(Table1[[#This Row],[Order_Date]],"MMM")</f>
        <v>Feb</v>
      </c>
      <c r="M685" t="str">
        <f>IF(Table1[[#This Row],[Profit]]&gt;=10000,"Excellent",IF(Table1[[#This Row],[Profit]]&gt;5000,"Good","Low"))</f>
        <v>Excellent</v>
      </c>
      <c r="N685" t="str">
        <f>TEXT(Table1[[#This Row],[Order_Date]],"YYYY")</f>
        <v>2025</v>
      </c>
    </row>
    <row r="686" spans="1:14" x14ac:dyDescent="0.25">
      <c r="A686" s="1">
        <v>46113</v>
      </c>
      <c r="B686" t="s">
        <v>26</v>
      </c>
      <c r="C686" t="s">
        <v>12</v>
      </c>
      <c r="D686">
        <v>31463</v>
      </c>
      <c r="E686">
        <v>20822</v>
      </c>
      <c r="F686">
        <v>10641</v>
      </c>
      <c r="G686" t="s">
        <v>13</v>
      </c>
      <c r="H686" t="s">
        <v>28</v>
      </c>
      <c r="I686" t="s">
        <v>42</v>
      </c>
      <c r="J686" s="2">
        <f>Table1[[#This Row],[Profit]]/Table1[[#This Row],[Sales]]*100</f>
        <v>33.820678257000289</v>
      </c>
      <c r="K686" t="str">
        <f>IF(Table1[[#This Row],[Sales]]&gt;=30000,"High", IF(Table1[[#This Row],[Sales]]&gt;=15000,"Medium","Low"))</f>
        <v>High</v>
      </c>
      <c r="L686" t="str">
        <f>TEXT(Table1[[#This Row],[Order_Date]],"MMM")</f>
        <v>Apr</v>
      </c>
      <c r="M686" t="str">
        <f>IF(Table1[[#This Row],[Profit]]&gt;=10000,"Excellent",IF(Table1[[#This Row],[Profit]]&gt;5000,"Good","Low"))</f>
        <v>Excellent</v>
      </c>
      <c r="N686" t="str">
        <f>TEXT(Table1[[#This Row],[Order_Date]],"YYYY")</f>
        <v>2026</v>
      </c>
    </row>
    <row r="687" spans="1:14" x14ac:dyDescent="0.25">
      <c r="A687" s="1">
        <v>45357</v>
      </c>
      <c r="B687" t="s">
        <v>11</v>
      </c>
      <c r="C687" t="s">
        <v>12</v>
      </c>
      <c r="D687">
        <v>29525</v>
      </c>
      <c r="E687">
        <v>10274</v>
      </c>
      <c r="F687">
        <v>19251</v>
      </c>
      <c r="G687" t="s">
        <v>38</v>
      </c>
      <c r="H687" t="s">
        <v>34</v>
      </c>
      <c r="I687" t="s">
        <v>53</v>
      </c>
      <c r="J687" s="2">
        <f>Table1[[#This Row],[Profit]]/Table1[[#This Row],[Sales]]*100</f>
        <v>65.202370872142254</v>
      </c>
      <c r="K687" t="str">
        <f>IF(Table1[[#This Row],[Sales]]&gt;=30000,"High", IF(Table1[[#This Row],[Sales]]&gt;=15000,"Medium","Low"))</f>
        <v>Medium</v>
      </c>
      <c r="L687" t="str">
        <f>TEXT(Table1[[#This Row],[Order_Date]],"MMM")</f>
        <v>Mar</v>
      </c>
      <c r="M687" t="str">
        <f>IF(Table1[[#This Row],[Profit]]&gt;=10000,"Excellent",IF(Table1[[#This Row],[Profit]]&gt;5000,"Good","Low"))</f>
        <v>Excellent</v>
      </c>
      <c r="N687" t="str">
        <f>TEXT(Table1[[#This Row],[Order_Date]],"YYYY")</f>
        <v>2024</v>
      </c>
    </row>
    <row r="688" spans="1:14" x14ac:dyDescent="0.25">
      <c r="A688" s="1">
        <v>45852</v>
      </c>
      <c r="B688" t="s">
        <v>26</v>
      </c>
      <c r="C688" t="s">
        <v>36</v>
      </c>
      <c r="D688">
        <v>7054</v>
      </c>
      <c r="E688">
        <v>3328</v>
      </c>
      <c r="F688">
        <v>3726</v>
      </c>
      <c r="G688" t="s">
        <v>27</v>
      </c>
      <c r="H688" t="s">
        <v>45</v>
      </c>
      <c r="I688" t="s">
        <v>42</v>
      </c>
      <c r="J688" s="2">
        <f>Table1[[#This Row],[Profit]]/Table1[[#This Row],[Sales]]*100</f>
        <v>52.821094414516587</v>
      </c>
      <c r="K688" t="str">
        <f>IF(Table1[[#This Row],[Sales]]&gt;=30000,"High", IF(Table1[[#This Row],[Sales]]&gt;=15000,"Medium","Low"))</f>
        <v>Low</v>
      </c>
      <c r="L688" t="str">
        <f>TEXT(Table1[[#This Row],[Order_Date]],"MMM")</f>
        <v>Jul</v>
      </c>
      <c r="M688" t="str">
        <f>IF(Table1[[#This Row],[Profit]]&gt;=10000,"Excellent",IF(Table1[[#This Row],[Profit]]&gt;5000,"Good","Low"))</f>
        <v>Low</v>
      </c>
      <c r="N688" t="str">
        <f>TEXT(Table1[[#This Row],[Order_Date]],"YYYY")</f>
        <v>2025</v>
      </c>
    </row>
    <row r="689" spans="1:14" x14ac:dyDescent="0.25">
      <c r="A689" s="1">
        <v>45705</v>
      </c>
      <c r="B689" t="s">
        <v>44</v>
      </c>
      <c r="C689" t="s">
        <v>41</v>
      </c>
      <c r="D689">
        <v>42696</v>
      </c>
      <c r="E689">
        <v>24412</v>
      </c>
      <c r="F689">
        <v>18284</v>
      </c>
      <c r="G689" t="s">
        <v>38</v>
      </c>
      <c r="H689" t="s">
        <v>63</v>
      </c>
      <c r="I689" t="s">
        <v>29</v>
      </c>
      <c r="J689" s="2">
        <f>Table1[[#This Row],[Profit]]/Table1[[#This Row],[Sales]]*100</f>
        <v>42.823683717444254</v>
      </c>
      <c r="K689" t="str">
        <f>IF(Table1[[#This Row],[Sales]]&gt;=30000,"High", IF(Table1[[#This Row],[Sales]]&gt;=15000,"Medium","Low"))</f>
        <v>High</v>
      </c>
      <c r="L689" t="str">
        <f>TEXT(Table1[[#This Row],[Order_Date]],"MMM")</f>
        <v>Feb</v>
      </c>
      <c r="M689" t="str">
        <f>IF(Table1[[#This Row],[Profit]]&gt;=10000,"Excellent",IF(Table1[[#This Row],[Profit]]&gt;5000,"Good","Low"))</f>
        <v>Excellent</v>
      </c>
      <c r="N689" t="str">
        <f>TEXT(Table1[[#This Row],[Order_Date]],"YYYY")</f>
        <v>2025</v>
      </c>
    </row>
    <row r="690" spans="1:14" x14ac:dyDescent="0.25">
      <c r="A690" s="1">
        <v>45739</v>
      </c>
      <c r="B690" t="s">
        <v>26</v>
      </c>
      <c r="C690" t="s">
        <v>36</v>
      </c>
      <c r="D690">
        <v>5684</v>
      </c>
      <c r="E690">
        <v>4005</v>
      </c>
      <c r="F690">
        <v>1679</v>
      </c>
      <c r="G690" t="s">
        <v>19</v>
      </c>
      <c r="H690" t="s">
        <v>34</v>
      </c>
      <c r="I690" t="s">
        <v>53</v>
      </c>
      <c r="J690" s="2">
        <f>Table1[[#This Row],[Profit]]/Table1[[#This Row],[Sales]]*100</f>
        <v>29.539057002111193</v>
      </c>
      <c r="K690" t="str">
        <f>IF(Table1[[#This Row],[Sales]]&gt;=30000,"High", IF(Table1[[#This Row],[Sales]]&gt;=15000,"Medium","Low"))</f>
        <v>Low</v>
      </c>
      <c r="L690" t="str">
        <f>TEXT(Table1[[#This Row],[Order_Date]],"MMM")</f>
        <v>Mar</v>
      </c>
      <c r="M690" t="str">
        <f>IF(Table1[[#This Row],[Profit]]&gt;=10000,"Excellent",IF(Table1[[#This Row],[Profit]]&gt;5000,"Good","Low"))</f>
        <v>Low</v>
      </c>
      <c r="N690" t="str">
        <f>TEXT(Table1[[#This Row],[Order_Date]],"YYYY")</f>
        <v>2025</v>
      </c>
    </row>
    <row r="691" spans="1:14" x14ac:dyDescent="0.25">
      <c r="A691" s="1">
        <v>45427</v>
      </c>
      <c r="B691" t="s">
        <v>22</v>
      </c>
      <c r="C691" t="s">
        <v>18</v>
      </c>
      <c r="D691">
        <v>7035</v>
      </c>
      <c r="E691">
        <v>5845</v>
      </c>
      <c r="F691">
        <v>1190</v>
      </c>
      <c r="G691" t="s">
        <v>38</v>
      </c>
      <c r="H691" t="s">
        <v>63</v>
      </c>
      <c r="I691" t="s">
        <v>29</v>
      </c>
      <c r="J691" s="2">
        <f>Table1[[#This Row],[Profit]]/Table1[[#This Row],[Sales]]*100</f>
        <v>16.915422885572141</v>
      </c>
      <c r="K691" t="str">
        <f>IF(Table1[[#This Row],[Sales]]&gt;=30000,"High", IF(Table1[[#This Row],[Sales]]&gt;=15000,"Medium","Low"))</f>
        <v>Low</v>
      </c>
      <c r="L691" t="str">
        <f>TEXT(Table1[[#This Row],[Order_Date]],"MMM")</f>
        <v>May</v>
      </c>
      <c r="M691" t="str">
        <f>IF(Table1[[#This Row],[Profit]]&gt;=10000,"Excellent",IF(Table1[[#This Row],[Profit]]&gt;5000,"Good","Low"))</f>
        <v>Low</v>
      </c>
      <c r="N691" t="str">
        <f>TEXT(Table1[[#This Row],[Order_Date]],"YYYY")</f>
        <v>2024</v>
      </c>
    </row>
    <row r="692" spans="1:14" x14ac:dyDescent="0.25">
      <c r="A692" s="1">
        <v>45750</v>
      </c>
      <c r="B692" t="s">
        <v>22</v>
      </c>
      <c r="C692" t="s">
        <v>18</v>
      </c>
      <c r="D692">
        <v>35688</v>
      </c>
      <c r="E692">
        <v>24532</v>
      </c>
      <c r="F692">
        <v>11156</v>
      </c>
      <c r="G692" t="s">
        <v>19</v>
      </c>
      <c r="H692" t="s">
        <v>34</v>
      </c>
      <c r="I692" t="s">
        <v>53</v>
      </c>
      <c r="J692" s="2">
        <f>Table1[[#This Row],[Profit]]/Table1[[#This Row],[Sales]]*100</f>
        <v>31.259807218112527</v>
      </c>
      <c r="K692" t="str">
        <f>IF(Table1[[#This Row],[Sales]]&gt;=30000,"High", IF(Table1[[#This Row],[Sales]]&gt;=15000,"Medium","Low"))</f>
        <v>High</v>
      </c>
      <c r="L692" t="str">
        <f>TEXT(Table1[[#This Row],[Order_Date]],"MMM")</f>
        <v>Apr</v>
      </c>
      <c r="M692" t="str">
        <f>IF(Table1[[#This Row],[Profit]]&gt;=10000,"Excellent",IF(Table1[[#This Row],[Profit]]&gt;5000,"Good","Low"))</f>
        <v>Excellent</v>
      </c>
      <c r="N692" t="str">
        <f>TEXT(Table1[[#This Row],[Order_Date]],"YYYY")</f>
        <v>2025</v>
      </c>
    </row>
    <row r="693" spans="1:14" x14ac:dyDescent="0.25">
      <c r="A693" s="1">
        <v>45326</v>
      </c>
      <c r="B693" t="s">
        <v>11</v>
      </c>
      <c r="C693" t="s">
        <v>12</v>
      </c>
      <c r="D693">
        <v>42198</v>
      </c>
      <c r="E693">
        <v>32625</v>
      </c>
      <c r="F693">
        <v>9573</v>
      </c>
      <c r="G693" t="s">
        <v>13</v>
      </c>
      <c r="H693" t="s">
        <v>28</v>
      </c>
      <c r="I693" t="s">
        <v>42</v>
      </c>
      <c r="J693" s="2">
        <f>Table1[[#This Row],[Profit]]/Table1[[#This Row],[Sales]]*100</f>
        <v>22.685909284800225</v>
      </c>
      <c r="K693" t="str">
        <f>IF(Table1[[#This Row],[Sales]]&gt;=30000,"High", IF(Table1[[#This Row],[Sales]]&gt;=15000,"Medium","Low"))</f>
        <v>High</v>
      </c>
      <c r="L693" t="str">
        <f>TEXT(Table1[[#This Row],[Order_Date]],"MMM")</f>
        <v>Feb</v>
      </c>
      <c r="M693" t="str">
        <f>IF(Table1[[#This Row],[Profit]]&gt;=10000,"Excellent",IF(Table1[[#This Row],[Profit]]&gt;5000,"Good","Low"))</f>
        <v>Good</v>
      </c>
      <c r="N693" t="str">
        <f>TEXT(Table1[[#This Row],[Order_Date]],"YYYY")</f>
        <v>2024</v>
      </c>
    </row>
    <row r="694" spans="1:14" x14ac:dyDescent="0.25">
      <c r="A694" s="1">
        <v>45852</v>
      </c>
      <c r="B694" t="s">
        <v>44</v>
      </c>
      <c r="C694" t="s">
        <v>41</v>
      </c>
      <c r="D694">
        <v>36717</v>
      </c>
      <c r="E694">
        <v>26208</v>
      </c>
      <c r="F694">
        <v>10509</v>
      </c>
      <c r="G694" t="s">
        <v>13</v>
      </c>
      <c r="H694" t="s">
        <v>63</v>
      </c>
      <c r="I694" t="s">
        <v>15</v>
      </c>
      <c r="J694" s="2">
        <f>Table1[[#This Row],[Profit]]/Table1[[#This Row],[Sales]]*100</f>
        <v>28.621619413350764</v>
      </c>
      <c r="K694" t="str">
        <f>IF(Table1[[#This Row],[Sales]]&gt;=30000,"High", IF(Table1[[#This Row],[Sales]]&gt;=15000,"Medium","Low"))</f>
        <v>High</v>
      </c>
      <c r="L694" t="str">
        <f>TEXT(Table1[[#This Row],[Order_Date]],"MMM")</f>
        <v>Jul</v>
      </c>
      <c r="M694" t="str">
        <f>IF(Table1[[#This Row],[Profit]]&gt;=10000,"Excellent",IF(Table1[[#This Row],[Profit]]&gt;5000,"Good","Low"))</f>
        <v>Excellent</v>
      </c>
      <c r="N694" t="str">
        <f>TEXT(Table1[[#This Row],[Order_Date]],"YYYY")</f>
        <v>2025</v>
      </c>
    </row>
    <row r="695" spans="1:14" x14ac:dyDescent="0.25">
      <c r="A695" s="1">
        <v>46035</v>
      </c>
      <c r="B695" t="s">
        <v>44</v>
      </c>
      <c r="C695" t="s">
        <v>36</v>
      </c>
      <c r="D695">
        <v>8882</v>
      </c>
      <c r="E695">
        <v>219</v>
      </c>
      <c r="F695">
        <v>8663</v>
      </c>
      <c r="G695" t="s">
        <v>13</v>
      </c>
      <c r="H695" t="s">
        <v>63</v>
      </c>
      <c r="I695" t="s">
        <v>29</v>
      </c>
      <c r="J695" s="2">
        <f>Table1[[#This Row],[Profit]]/Table1[[#This Row],[Sales]]*100</f>
        <v>97.534339112812432</v>
      </c>
      <c r="K695" t="str">
        <f>IF(Table1[[#This Row],[Sales]]&gt;=30000,"High", IF(Table1[[#This Row],[Sales]]&gt;=15000,"Medium","Low"))</f>
        <v>Low</v>
      </c>
      <c r="L695" t="str">
        <f>TEXT(Table1[[#This Row],[Order_Date]],"MMM")</f>
        <v>Jan</v>
      </c>
      <c r="M695" t="str">
        <f>IF(Table1[[#This Row],[Profit]]&gt;=10000,"Excellent",IF(Table1[[#This Row],[Profit]]&gt;5000,"Good","Low"))</f>
        <v>Good</v>
      </c>
      <c r="N695" t="str">
        <f>TEXT(Table1[[#This Row],[Order_Date]],"YYYY")</f>
        <v>2026</v>
      </c>
    </row>
    <row r="696" spans="1:14" x14ac:dyDescent="0.25">
      <c r="A696" s="1">
        <v>45992</v>
      </c>
      <c r="B696" t="s">
        <v>22</v>
      </c>
      <c r="C696" t="s">
        <v>18</v>
      </c>
      <c r="D696">
        <v>11790</v>
      </c>
      <c r="E696">
        <v>932</v>
      </c>
      <c r="F696">
        <v>10858</v>
      </c>
      <c r="G696" t="s">
        <v>13</v>
      </c>
      <c r="H696" t="s">
        <v>34</v>
      </c>
      <c r="I696" t="s">
        <v>42</v>
      </c>
      <c r="J696" s="2">
        <f>Table1[[#This Row],[Profit]]/Table1[[#This Row],[Sales]]*100</f>
        <v>92.094995759117893</v>
      </c>
      <c r="K696" t="str">
        <f>IF(Table1[[#This Row],[Sales]]&gt;=30000,"High", IF(Table1[[#This Row],[Sales]]&gt;=15000,"Medium","Low"))</f>
        <v>Low</v>
      </c>
      <c r="L696" t="str">
        <f>TEXT(Table1[[#This Row],[Order_Date]],"MMM")</f>
        <v>Dec</v>
      </c>
      <c r="M696" t="str">
        <f>IF(Table1[[#This Row],[Profit]]&gt;=10000,"Excellent",IF(Table1[[#This Row],[Profit]]&gt;5000,"Good","Low"))</f>
        <v>Excellent</v>
      </c>
      <c r="N696" t="str">
        <f>TEXT(Table1[[#This Row],[Order_Date]],"YYYY")</f>
        <v>2025</v>
      </c>
    </row>
    <row r="697" spans="1:14" x14ac:dyDescent="0.25">
      <c r="A697" s="1">
        <v>45492</v>
      </c>
      <c r="B697" t="s">
        <v>26</v>
      </c>
      <c r="C697" t="s">
        <v>33</v>
      </c>
      <c r="D697">
        <v>10077</v>
      </c>
      <c r="E697">
        <v>4077</v>
      </c>
      <c r="F697">
        <v>6000</v>
      </c>
      <c r="G697" t="s">
        <v>13</v>
      </c>
      <c r="H697" t="s">
        <v>31</v>
      </c>
      <c r="I697" t="s">
        <v>15</v>
      </c>
      <c r="J697" s="2">
        <f>Table1[[#This Row],[Profit]]/Table1[[#This Row],[Sales]]*100</f>
        <v>59.541530217326589</v>
      </c>
      <c r="K697" t="str">
        <f>IF(Table1[[#This Row],[Sales]]&gt;=30000,"High", IF(Table1[[#This Row],[Sales]]&gt;=15000,"Medium","Low"))</f>
        <v>Low</v>
      </c>
      <c r="L697" t="str">
        <f>TEXT(Table1[[#This Row],[Order_Date]],"MMM")</f>
        <v>Jul</v>
      </c>
      <c r="M697" t="str">
        <f>IF(Table1[[#This Row],[Profit]]&gt;=10000,"Excellent",IF(Table1[[#This Row],[Profit]]&gt;5000,"Good","Low"))</f>
        <v>Good</v>
      </c>
      <c r="N697" t="str">
        <f>TEXT(Table1[[#This Row],[Order_Date]],"YYYY")</f>
        <v>2024</v>
      </c>
    </row>
    <row r="698" spans="1:14" x14ac:dyDescent="0.25">
      <c r="A698" s="1">
        <v>45219</v>
      </c>
      <c r="B698" t="s">
        <v>44</v>
      </c>
      <c r="C698" t="s">
        <v>18</v>
      </c>
      <c r="D698">
        <v>49530</v>
      </c>
      <c r="E698">
        <v>42516</v>
      </c>
      <c r="F698">
        <v>7014</v>
      </c>
      <c r="G698" t="s">
        <v>38</v>
      </c>
      <c r="H698" t="s">
        <v>31</v>
      </c>
      <c r="I698" t="s">
        <v>15</v>
      </c>
      <c r="J698" s="2">
        <f>Table1[[#This Row],[Profit]]/Table1[[#This Row],[Sales]]*100</f>
        <v>14.161114476075106</v>
      </c>
      <c r="K698" t="str">
        <f>IF(Table1[[#This Row],[Sales]]&gt;=30000,"High", IF(Table1[[#This Row],[Sales]]&gt;=15000,"Medium","Low"))</f>
        <v>High</v>
      </c>
      <c r="L698" t="str">
        <f>TEXT(Table1[[#This Row],[Order_Date]],"MMM")</f>
        <v>Oct</v>
      </c>
      <c r="M698" t="str">
        <f>IF(Table1[[#This Row],[Profit]]&gt;=10000,"Excellent",IF(Table1[[#This Row],[Profit]]&gt;5000,"Good","Low"))</f>
        <v>Good</v>
      </c>
      <c r="N698" t="str">
        <f>TEXT(Table1[[#This Row],[Order_Date]],"YYYY")</f>
        <v>2023</v>
      </c>
    </row>
    <row r="699" spans="1:14" x14ac:dyDescent="0.25">
      <c r="A699" s="1">
        <v>46062</v>
      </c>
      <c r="B699" t="s">
        <v>17</v>
      </c>
      <c r="C699" t="s">
        <v>33</v>
      </c>
      <c r="D699">
        <v>17316</v>
      </c>
      <c r="E699">
        <v>1586</v>
      </c>
      <c r="F699">
        <v>15730</v>
      </c>
      <c r="G699" t="s">
        <v>13</v>
      </c>
      <c r="H699" t="s">
        <v>34</v>
      </c>
      <c r="I699" t="s">
        <v>29</v>
      </c>
      <c r="J699" s="2">
        <f>Table1[[#This Row],[Profit]]/Table1[[#This Row],[Sales]]*100</f>
        <v>90.840840840840841</v>
      </c>
      <c r="K699" t="str">
        <f>IF(Table1[[#This Row],[Sales]]&gt;=30000,"High", IF(Table1[[#This Row],[Sales]]&gt;=15000,"Medium","Low"))</f>
        <v>Medium</v>
      </c>
      <c r="L699" t="str">
        <f>TEXT(Table1[[#This Row],[Order_Date]],"MMM")</f>
        <v>Feb</v>
      </c>
      <c r="M699" t="str">
        <f>IF(Table1[[#This Row],[Profit]]&gt;=10000,"Excellent",IF(Table1[[#This Row],[Profit]]&gt;5000,"Good","Low"))</f>
        <v>Excellent</v>
      </c>
      <c r="N699" t="str">
        <f>TEXT(Table1[[#This Row],[Order_Date]],"YYYY")</f>
        <v>2026</v>
      </c>
    </row>
    <row r="700" spans="1:14" x14ac:dyDescent="0.25">
      <c r="A700" s="1">
        <v>45540</v>
      </c>
      <c r="B700" t="s">
        <v>26</v>
      </c>
      <c r="C700" t="s">
        <v>18</v>
      </c>
      <c r="D700">
        <v>22667</v>
      </c>
      <c r="E700">
        <v>4459</v>
      </c>
      <c r="F700">
        <v>18208</v>
      </c>
      <c r="G700" t="s">
        <v>13</v>
      </c>
      <c r="H700" t="s">
        <v>63</v>
      </c>
      <c r="I700" t="s">
        <v>15</v>
      </c>
      <c r="J700" s="2">
        <f>Table1[[#This Row],[Profit]]/Table1[[#This Row],[Sales]]*100</f>
        <v>80.328230467199006</v>
      </c>
      <c r="K700" t="str">
        <f>IF(Table1[[#This Row],[Sales]]&gt;=30000,"High", IF(Table1[[#This Row],[Sales]]&gt;=15000,"Medium","Low"))</f>
        <v>Medium</v>
      </c>
      <c r="L700" t="str">
        <f>TEXT(Table1[[#This Row],[Order_Date]],"MMM")</f>
        <v>Sep</v>
      </c>
      <c r="M700" t="str">
        <f>IF(Table1[[#This Row],[Profit]]&gt;=10000,"Excellent",IF(Table1[[#This Row],[Profit]]&gt;5000,"Good","Low"))</f>
        <v>Excellent</v>
      </c>
      <c r="N700" t="str">
        <f>TEXT(Table1[[#This Row],[Order_Date]],"YYYY")</f>
        <v>2024</v>
      </c>
    </row>
    <row r="701" spans="1:14" x14ac:dyDescent="0.25">
      <c r="A701" s="1">
        <v>45882</v>
      </c>
      <c r="B701" t="s">
        <v>17</v>
      </c>
      <c r="C701" t="s">
        <v>33</v>
      </c>
      <c r="D701">
        <v>37445</v>
      </c>
      <c r="E701">
        <v>26881</v>
      </c>
      <c r="F701">
        <v>10564</v>
      </c>
      <c r="G701" t="s">
        <v>13</v>
      </c>
      <c r="H701" t="s">
        <v>20</v>
      </c>
      <c r="I701" t="s">
        <v>53</v>
      </c>
      <c r="J701" s="2">
        <f>Table1[[#This Row],[Profit]]/Table1[[#This Row],[Sales]]*100</f>
        <v>28.212044331686474</v>
      </c>
      <c r="K701" t="str">
        <f>IF(Table1[[#This Row],[Sales]]&gt;=30000,"High", IF(Table1[[#This Row],[Sales]]&gt;=15000,"Medium","Low"))</f>
        <v>High</v>
      </c>
      <c r="L701" t="str">
        <f>TEXT(Table1[[#This Row],[Order_Date]],"MMM")</f>
        <v>Aug</v>
      </c>
      <c r="M701" t="str">
        <f>IF(Table1[[#This Row],[Profit]]&gt;=10000,"Excellent",IF(Table1[[#This Row],[Profit]]&gt;5000,"Good","Low"))</f>
        <v>Excellent</v>
      </c>
      <c r="N701" t="str">
        <f>TEXT(Table1[[#This Row],[Order_Date]],"YYYY")</f>
        <v>2025</v>
      </c>
    </row>
    <row r="702" spans="1:14" x14ac:dyDescent="0.25">
      <c r="A702" s="1">
        <v>46186</v>
      </c>
      <c r="B702" t="s">
        <v>44</v>
      </c>
      <c r="C702" t="s">
        <v>18</v>
      </c>
      <c r="D702">
        <v>45658</v>
      </c>
      <c r="E702">
        <v>36360</v>
      </c>
      <c r="F702">
        <v>9298</v>
      </c>
      <c r="G702" t="s">
        <v>38</v>
      </c>
      <c r="H702" t="s">
        <v>31</v>
      </c>
      <c r="I702" t="s">
        <v>15</v>
      </c>
      <c r="J702" s="2">
        <f>Table1[[#This Row],[Profit]]/Table1[[#This Row],[Sales]]*100</f>
        <v>20.364448727495731</v>
      </c>
      <c r="K702" t="str">
        <f>IF(Table1[[#This Row],[Sales]]&gt;=30000,"High", IF(Table1[[#This Row],[Sales]]&gt;=15000,"Medium","Low"))</f>
        <v>High</v>
      </c>
      <c r="L702" t="str">
        <f>TEXT(Table1[[#This Row],[Order_Date]],"MMM")</f>
        <v>Jun</v>
      </c>
      <c r="M702" t="str">
        <f>IF(Table1[[#This Row],[Profit]]&gt;=10000,"Excellent",IF(Table1[[#This Row],[Profit]]&gt;5000,"Good","Low"))</f>
        <v>Good</v>
      </c>
      <c r="N702" t="str">
        <f>TEXT(Table1[[#This Row],[Order_Date]],"YYYY")</f>
        <v>2026</v>
      </c>
    </row>
    <row r="703" spans="1:14" x14ac:dyDescent="0.25">
      <c r="A703" s="1">
        <v>45149</v>
      </c>
      <c r="B703" t="s">
        <v>44</v>
      </c>
      <c r="C703" t="s">
        <v>36</v>
      </c>
      <c r="D703">
        <v>10200</v>
      </c>
      <c r="E703">
        <v>8754</v>
      </c>
      <c r="F703">
        <v>1446</v>
      </c>
      <c r="G703" t="s">
        <v>38</v>
      </c>
      <c r="H703" t="s">
        <v>14</v>
      </c>
      <c r="I703" t="s">
        <v>24</v>
      </c>
      <c r="J703" s="2">
        <f>Table1[[#This Row],[Profit]]/Table1[[#This Row],[Sales]]*100</f>
        <v>14.176470588235293</v>
      </c>
      <c r="K703" t="str">
        <f>IF(Table1[[#This Row],[Sales]]&gt;=30000,"High", IF(Table1[[#This Row],[Sales]]&gt;=15000,"Medium","Low"))</f>
        <v>Low</v>
      </c>
      <c r="L703" t="str">
        <f>TEXT(Table1[[#This Row],[Order_Date]],"MMM")</f>
        <v>Aug</v>
      </c>
      <c r="M703" t="str">
        <f>IF(Table1[[#This Row],[Profit]]&gt;=10000,"Excellent",IF(Table1[[#This Row],[Profit]]&gt;5000,"Good","Low"))</f>
        <v>Low</v>
      </c>
      <c r="N703" t="str">
        <f>TEXT(Table1[[#This Row],[Order_Date]],"YYYY")</f>
        <v>2023</v>
      </c>
    </row>
    <row r="704" spans="1:14" x14ac:dyDescent="0.25">
      <c r="A704" s="1">
        <v>45669</v>
      </c>
      <c r="B704" t="s">
        <v>26</v>
      </c>
      <c r="C704" t="s">
        <v>33</v>
      </c>
      <c r="D704">
        <v>43767</v>
      </c>
      <c r="E704">
        <v>25563</v>
      </c>
      <c r="F704">
        <v>18204</v>
      </c>
      <c r="G704" t="s">
        <v>38</v>
      </c>
      <c r="H704" t="s">
        <v>34</v>
      </c>
      <c r="I704" t="s">
        <v>29</v>
      </c>
      <c r="J704" s="2">
        <f>Table1[[#This Row],[Profit]]/Table1[[#This Row],[Sales]]*100</f>
        <v>41.592981013092057</v>
      </c>
      <c r="K704" t="str">
        <f>IF(Table1[[#This Row],[Sales]]&gt;=30000,"High", IF(Table1[[#This Row],[Sales]]&gt;=15000,"Medium","Low"))</f>
        <v>High</v>
      </c>
      <c r="L704" t="str">
        <f>TEXT(Table1[[#This Row],[Order_Date]],"MMM")</f>
        <v>Jan</v>
      </c>
      <c r="M704" t="str">
        <f>IF(Table1[[#This Row],[Profit]]&gt;=10000,"Excellent",IF(Table1[[#This Row],[Profit]]&gt;5000,"Good","Low"))</f>
        <v>Excellent</v>
      </c>
      <c r="N704" t="str">
        <f>TEXT(Table1[[#This Row],[Order_Date]],"YYYY")</f>
        <v>2025</v>
      </c>
    </row>
    <row r="705" spans="1:14" x14ac:dyDescent="0.25">
      <c r="A705" s="1">
        <v>45608</v>
      </c>
      <c r="B705" t="s">
        <v>11</v>
      </c>
      <c r="C705" t="s">
        <v>12</v>
      </c>
      <c r="D705">
        <v>13331</v>
      </c>
      <c r="E705">
        <v>2575</v>
      </c>
      <c r="F705">
        <v>10756</v>
      </c>
      <c r="G705" t="s">
        <v>13</v>
      </c>
      <c r="H705" t="s">
        <v>14</v>
      </c>
      <c r="I705" t="s">
        <v>24</v>
      </c>
      <c r="J705" s="2">
        <f>Table1[[#This Row],[Profit]]/Table1[[#This Row],[Sales]]*100</f>
        <v>80.684119720951159</v>
      </c>
      <c r="K705" t="str">
        <f>IF(Table1[[#This Row],[Sales]]&gt;=30000,"High", IF(Table1[[#This Row],[Sales]]&gt;=15000,"Medium","Low"))</f>
        <v>Low</v>
      </c>
      <c r="L705" t="str">
        <f>TEXT(Table1[[#This Row],[Order_Date]],"MMM")</f>
        <v>Nov</v>
      </c>
      <c r="M705" t="str">
        <f>IF(Table1[[#This Row],[Profit]]&gt;=10000,"Excellent",IF(Table1[[#This Row],[Profit]]&gt;5000,"Good","Low"))</f>
        <v>Excellent</v>
      </c>
      <c r="N705" t="str">
        <f>TEXT(Table1[[#This Row],[Order_Date]],"YYYY")</f>
        <v>2024</v>
      </c>
    </row>
    <row r="706" spans="1:14" x14ac:dyDescent="0.25">
      <c r="A706" s="1">
        <v>45436</v>
      </c>
      <c r="B706" t="s">
        <v>44</v>
      </c>
      <c r="C706" t="s">
        <v>12</v>
      </c>
      <c r="D706">
        <v>30194</v>
      </c>
      <c r="E706">
        <v>13484</v>
      </c>
      <c r="F706">
        <v>16710</v>
      </c>
      <c r="G706" t="s">
        <v>27</v>
      </c>
      <c r="H706" t="s">
        <v>78</v>
      </c>
      <c r="I706" t="s">
        <v>42</v>
      </c>
      <c r="J706" s="2">
        <f>Table1[[#This Row],[Profit]]/Table1[[#This Row],[Sales]]*100</f>
        <v>55.342120951182352</v>
      </c>
      <c r="K706" t="str">
        <f>IF(Table1[[#This Row],[Sales]]&gt;=30000,"High", IF(Table1[[#This Row],[Sales]]&gt;=15000,"Medium","Low"))</f>
        <v>High</v>
      </c>
      <c r="L706" t="str">
        <f>TEXT(Table1[[#This Row],[Order_Date]],"MMM")</f>
        <v>May</v>
      </c>
      <c r="M706" t="str">
        <f>IF(Table1[[#This Row],[Profit]]&gt;=10000,"Excellent",IF(Table1[[#This Row],[Profit]]&gt;5000,"Good","Low"))</f>
        <v>Excellent</v>
      </c>
      <c r="N706" t="str">
        <f>TEXT(Table1[[#This Row],[Order_Date]],"YYYY")</f>
        <v>2024</v>
      </c>
    </row>
    <row r="707" spans="1:14" x14ac:dyDescent="0.25">
      <c r="A707" s="1">
        <v>46174</v>
      </c>
      <c r="B707" t="s">
        <v>44</v>
      </c>
      <c r="C707" t="s">
        <v>36</v>
      </c>
      <c r="D707">
        <v>22025</v>
      </c>
      <c r="E707">
        <v>5486</v>
      </c>
      <c r="F707">
        <v>16539</v>
      </c>
      <c r="G707" t="s">
        <v>27</v>
      </c>
      <c r="H707" t="s">
        <v>63</v>
      </c>
      <c r="I707" t="s">
        <v>15</v>
      </c>
      <c r="J707" s="2">
        <f>Table1[[#This Row],[Profit]]/Table1[[#This Row],[Sales]]*100</f>
        <v>75.091940976163457</v>
      </c>
      <c r="K707" t="str">
        <f>IF(Table1[[#This Row],[Sales]]&gt;=30000,"High", IF(Table1[[#This Row],[Sales]]&gt;=15000,"Medium","Low"))</f>
        <v>Medium</v>
      </c>
      <c r="L707" t="str">
        <f>TEXT(Table1[[#This Row],[Order_Date]],"MMM")</f>
        <v>Jun</v>
      </c>
      <c r="M707" t="str">
        <f>IF(Table1[[#This Row],[Profit]]&gt;=10000,"Excellent",IF(Table1[[#This Row],[Profit]]&gt;5000,"Good","Low"))</f>
        <v>Excellent</v>
      </c>
      <c r="N707" t="str">
        <f>TEXT(Table1[[#This Row],[Order_Date]],"YYYY")</f>
        <v>2026</v>
      </c>
    </row>
    <row r="708" spans="1:14" x14ac:dyDescent="0.25">
      <c r="A708" s="1">
        <v>45992</v>
      </c>
      <c r="B708" t="s">
        <v>44</v>
      </c>
      <c r="C708" t="s">
        <v>36</v>
      </c>
      <c r="D708">
        <v>39634</v>
      </c>
      <c r="E708">
        <v>20172</v>
      </c>
      <c r="F708">
        <v>19462</v>
      </c>
      <c r="G708" t="s">
        <v>19</v>
      </c>
      <c r="H708" t="s">
        <v>78</v>
      </c>
      <c r="I708" t="s">
        <v>15</v>
      </c>
      <c r="J708" s="2">
        <f>Table1[[#This Row],[Profit]]/Table1[[#This Row],[Sales]]*100</f>
        <v>49.104304385123882</v>
      </c>
      <c r="K708" t="str">
        <f>IF(Table1[[#This Row],[Sales]]&gt;=30000,"High", IF(Table1[[#This Row],[Sales]]&gt;=15000,"Medium","Low"))</f>
        <v>High</v>
      </c>
      <c r="L708" t="str">
        <f>TEXT(Table1[[#This Row],[Order_Date]],"MMM")</f>
        <v>Dec</v>
      </c>
      <c r="M708" t="str">
        <f>IF(Table1[[#This Row],[Profit]]&gt;=10000,"Excellent",IF(Table1[[#This Row],[Profit]]&gt;5000,"Good","Low"))</f>
        <v>Excellent</v>
      </c>
      <c r="N708" t="str">
        <f>TEXT(Table1[[#This Row],[Order_Date]],"YYYY")</f>
        <v>2025</v>
      </c>
    </row>
    <row r="709" spans="1:14" x14ac:dyDescent="0.25">
      <c r="A709" s="1">
        <v>45869</v>
      </c>
      <c r="B709" t="s">
        <v>44</v>
      </c>
      <c r="C709" t="s">
        <v>36</v>
      </c>
      <c r="D709">
        <v>25920</v>
      </c>
      <c r="E709">
        <v>18258</v>
      </c>
      <c r="F709">
        <v>7662</v>
      </c>
      <c r="G709" t="s">
        <v>27</v>
      </c>
      <c r="H709" t="s">
        <v>34</v>
      </c>
      <c r="I709" t="s">
        <v>15</v>
      </c>
      <c r="J709" s="2">
        <f>Table1[[#This Row],[Profit]]/Table1[[#This Row],[Sales]]*100</f>
        <v>29.560185185185183</v>
      </c>
      <c r="K709" t="str">
        <f>IF(Table1[[#This Row],[Sales]]&gt;=30000,"High", IF(Table1[[#This Row],[Sales]]&gt;=15000,"Medium","Low"))</f>
        <v>Medium</v>
      </c>
      <c r="L709" t="str">
        <f>TEXT(Table1[[#This Row],[Order_Date]],"MMM")</f>
        <v>Jul</v>
      </c>
      <c r="M709" t="str">
        <f>IF(Table1[[#This Row],[Profit]]&gt;=10000,"Excellent",IF(Table1[[#This Row],[Profit]]&gt;5000,"Good","Low"))</f>
        <v>Good</v>
      </c>
      <c r="N709" t="str">
        <f>TEXT(Table1[[#This Row],[Order_Date]],"YYYY")</f>
        <v>2025</v>
      </c>
    </row>
    <row r="710" spans="1:14" x14ac:dyDescent="0.25">
      <c r="A710" s="1">
        <v>45699</v>
      </c>
      <c r="B710" t="s">
        <v>22</v>
      </c>
      <c r="C710" t="s">
        <v>33</v>
      </c>
      <c r="D710">
        <v>13270</v>
      </c>
      <c r="E710">
        <v>5827</v>
      </c>
      <c r="F710">
        <v>7443</v>
      </c>
      <c r="G710" t="s">
        <v>38</v>
      </c>
      <c r="H710" t="s">
        <v>34</v>
      </c>
      <c r="I710" t="s">
        <v>42</v>
      </c>
      <c r="J710" s="2">
        <f>Table1[[#This Row],[Profit]]/Table1[[#This Row],[Sales]]*100</f>
        <v>56.088922381311221</v>
      </c>
      <c r="K710" t="str">
        <f>IF(Table1[[#This Row],[Sales]]&gt;=30000,"High", IF(Table1[[#This Row],[Sales]]&gt;=15000,"Medium","Low"))</f>
        <v>Low</v>
      </c>
      <c r="L710" t="str">
        <f>TEXT(Table1[[#This Row],[Order_Date]],"MMM")</f>
        <v>Feb</v>
      </c>
      <c r="M710" t="str">
        <f>IF(Table1[[#This Row],[Profit]]&gt;=10000,"Excellent",IF(Table1[[#This Row],[Profit]]&gt;5000,"Good","Low"))</f>
        <v>Good</v>
      </c>
      <c r="N710" t="str">
        <f>TEXT(Table1[[#This Row],[Order_Date]],"YYYY")</f>
        <v>2025</v>
      </c>
    </row>
    <row r="711" spans="1:14" x14ac:dyDescent="0.25">
      <c r="A711" s="1">
        <v>45746</v>
      </c>
      <c r="B711" t="s">
        <v>26</v>
      </c>
      <c r="C711" t="s">
        <v>36</v>
      </c>
      <c r="D711">
        <v>5715</v>
      </c>
      <c r="E711">
        <v>4398</v>
      </c>
      <c r="F711">
        <v>1317</v>
      </c>
      <c r="G711" t="s">
        <v>19</v>
      </c>
      <c r="H711" t="s">
        <v>31</v>
      </c>
      <c r="I711" t="s">
        <v>42</v>
      </c>
      <c r="J711" s="2">
        <f>Table1[[#This Row],[Profit]]/Table1[[#This Row],[Sales]]*100</f>
        <v>23.044619422572179</v>
      </c>
      <c r="K711" t="str">
        <f>IF(Table1[[#This Row],[Sales]]&gt;=30000,"High", IF(Table1[[#This Row],[Sales]]&gt;=15000,"Medium","Low"))</f>
        <v>Low</v>
      </c>
      <c r="L711" t="str">
        <f>TEXT(Table1[[#This Row],[Order_Date]],"MMM")</f>
        <v>Mar</v>
      </c>
      <c r="M711" t="str">
        <f>IF(Table1[[#This Row],[Profit]]&gt;=10000,"Excellent",IF(Table1[[#This Row],[Profit]]&gt;5000,"Good","Low"))</f>
        <v>Low</v>
      </c>
      <c r="N711" t="str">
        <f>TEXT(Table1[[#This Row],[Order_Date]],"YYYY")</f>
        <v>2025</v>
      </c>
    </row>
    <row r="712" spans="1:14" x14ac:dyDescent="0.25">
      <c r="A712" s="1">
        <v>45807</v>
      </c>
      <c r="B712" t="s">
        <v>26</v>
      </c>
      <c r="C712" t="s">
        <v>12</v>
      </c>
      <c r="D712">
        <v>19528</v>
      </c>
      <c r="E712">
        <v>4088</v>
      </c>
      <c r="F712">
        <v>15440</v>
      </c>
      <c r="G712" t="s">
        <v>13</v>
      </c>
      <c r="H712" t="s">
        <v>20</v>
      </c>
      <c r="I712" t="s">
        <v>42</v>
      </c>
      <c r="J712" s="2">
        <f>Table1[[#This Row],[Profit]]/Table1[[#This Row],[Sales]]*100</f>
        <v>79.065956575174113</v>
      </c>
      <c r="K712" t="str">
        <f>IF(Table1[[#This Row],[Sales]]&gt;=30000,"High", IF(Table1[[#This Row],[Sales]]&gt;=15000,"Medium","Low"))</f>
        <v>Medium</v>
      </c>
      <c r="L712" t="str">
        <f>TEXT(Table1[[#This Row],[Order_Date]],"MMM")</f>
        <v>May</v>
      </c>
      <c r="M712" t="str">
        <f>IF(Table1[[#This Row],[Profit]]&gt;=10000,"Excellent",IF(Table1[[#This Row],[Profit]]&gt;5000,"Good","Low"))</f>
        <v>Excellent</v>
      </c>
      <c r="N712" t="str">
        <f>TEXT(Table1[[#This Row],[Order_Date]],"YYYY")</f>
        <v>2025</v>
      </c>
    </row>
    <row r="713" spans="1:14" x14ac:dyDescent="0.25">
      <c r="A713" s="1">
        <v>46041</v>
      </c>
      <c r="B713" t="s">
        <v>26</v>
      </c>
      <c r="C713" t="s">
        <v>41</v>
      </c>
      <c r="D713">
        <v>45146</v>
      </c>
      <c r="E713">
        <v>29322</v>
      </c>
      <c r="F713">
        <v>15824</v>
      </c>
      <c r="G713" t="s">
        <v>19</v>
      </c>
      <c r="H713" t="s">
        <v>28</v>
      </c>
      <c r="I713" t="s">
        <v>24</v>
      </c>
      <c r="J713" s="2">
        <f>Table1[[#This Row],[Profit]]/Table1[[#This Row],[Sales]]*100</f>
        <v>35.050724316661494</v>
      </c>
      <c r="K713" t="str">
        <f>IF(Table1[[#This Row],[Sales]]&gt;=30000,"High", IF(Table1[[#This Row],[Sales]]&gt;=15000,"Medium","Low"))</f>
        <v>High</v>
      </c>
      <c r="L713" t="str">
        <f>TEXT(Table1[[#This Row],[Order_Date]],"MMM")</f>
        <v>Jan</v>
      </c>
      <c r="M713" t="str">
        <f>IF(Table1[[#This Row],[Profit]]&gt;=10000,"Excellent",IF(Table1[[#This Row],[Profit]]&gt;5000,"Good","Low"))</f>
        <v>Excellent</v>
      </c>
      <c r="N713" t="str">
        <f>TEXT(Table1[[#This Row],[Order_Date]],"YYYY")</f>
        <v>2026</v>
      </c>
    </row>
    <row r="714" spans="1:14" x14ac:dyDescent="0.25">
      <c r="A714" s="1">
        <v>45904</v>
      </c>
      <c r="B714" t="s">
        <v>44</v>
      </c>
      <c r="C714" t="s">
        <v>18</v>
      </c>
      <c r="D714">
        <v>41214</v>
      </c>
      <c r="E714">
        <v>25688</v>
      </c>
      <c r="F714">
        <v>15526</v>
      </c>
      <c r="G714" t="s">
        <v>38</v>
      </c>
      <c r="H714" t="s">
        <v>63</v>
      </c>
      <c r="I714" t="s">
        <v>24</v>
      </c>
      <c r="J714" s="2">
        <f>Table1[[#This Row],[Profit]]/Table1[[#This Row],[Sales]]*100</f>
        <v>37.671664968214685</v>
      </c>
      <c r="K714" t="str">
        <f>IF(Table1[[#This Row],[Sales]]&gt;=30000,"High", IF(Table1[[#This Row],[Sales]]&gt;=15000,"Medium","Low"))</f>
        <v>High</v>
      </c>
      <c r="L714" t="str">
        <f>TEXT(Table1[[#This Row],[Order_Date]],"MMM")</f>
        <v>Sep</v>
      </c>
      <c r="M714" t="str">
        <f>IF(Table1[[#This Row],[Profit]]&gt;=10000,"Excellent",IF(Table1[[#This Row],[Profit]]&gt;5000,"Good","Low"))</f>
        <v>Excellent</v>
      </c>
      <c r="N714" t="str">
        <f>TEXT(Table1[[#This Row],[Order_Date]],"YYYY")</f>
        <v>2025</v>
      </c>
    </row>
    <row r="715" spans="1:14" x14ac:dyDescent="0.25">
      <c r="A715" s="1">
        <v>45394</v>
      </c>
      <c r="B715" t="s">
        <v>11</v>
      </c>
      <c r="C715" t="s">
        <v>33</v>
      </c>
      <c r="D715">
        <v>18426</v>
      </c>
      <c r="E715">
        <v>7932</v>
      </c>
      <c r="F715">
        <v>10494</v>
      </c>
      <c r="G715" t="s">
        <v>19</v>
      </c>
      <c r="H715" t="s">
        <v>78</v>
      </c>
      <c r="I715" t="s">
        <v>15</v>
      </c>
      <c r="J715" s="2">
        <f>Table1[[#This Row],[Profit]]/Table1[[#This Row],[Sales]]*100</f>
        <v>56.952132855747315</v>
      </c>
      <c r="K715" t="str">
        <f>IF(Table1[[#This Row],[Sales]]&gt;=30000,"High", IF(Table1[[#This Row],[Sales]]&gt;=15000,"Medium","Low"))</f>
        <v>Medium</v>
      </c>
      <c r="L715" t="str">
        <f>TEXT(Table1[[#This Row],[Order_Date]],"MMM")</f>
        <v>Apr</v>
      </c>
      <c r="M715" t="str">
        <f>IF(Table1[[#This Row],[Profit]]&gt;=10000,"Excellent",IF(Table1[[#This Row],[Profit]]&gt;5000,"Good","Low"))</f>
        <v>Excellent</v>
      </c>
      <c r="N715" t="str">
        <f>TEXT(Table1[[#This Row],[Order_Date]],"YYYY")</f>
        <v>2024</v>
      </c>
    </row>
    <row r="716" spans="1:14" x14ac:dyDescent="0.25">
      <c r="A716" s="1">
        <v>45880</v>
      </c>
      <c r="B716" t="s">
        <v>17</v>
      </c>
      <c r="C716" t="s">
        <v>41</v>
      </c>
      <c r="D716">
        <v>10309</v>
      </c>
      <c r="E716">
        <v>5762</v>
      </c>
      <c r="F716">
        <v>4547</v>
      </c>
      <c r="G716" t="s">
        <v>19</v>
      </c>
      <c r="H716" t="s">
        <v>28</v>
      </c>
      <c r="I716" t="s">
        <v>42</v>
      </c>
      <c r="J716" s="2">
        <f>Table1[[#This Row],[Profit]]/Table1[[#This Row],[Sales]]*100</f>
        <v>44.107090891454071</v>
      </c>
      <c r="K716" t="str">
        <f>IF(Table1[[#This Row],[Sales]]&gt;=30000,"High", IF(Table1[[#This Row],[Sales]]&gt;=15000,"Medium","Low"))</f>
        <v>Low</v>
      </c>
      <c r="L716" t="str">
        <f>TEXT(Table1[[#This Row],[Order_Date]],"MMM")</f>
        <v>Aug</v>
      </c>
      <c r="M716" t="str">
        <f>IF(Table1[[#This Row],[Profit]]&gt;=10000,"Excellent",IF(Table1[[#This Row],[Profit]]&gt;5000,"Good","Low"))</f>
        <v>Low</v>
      </c>
      <c r="N716" t="str">
        <f>TEXT(Table1[[#This Row],[Order_Date]],"YYYY")</f>
        <v>2025</v>
      </c>
    </row>
    <row r="717" spans="1:14" x14ac:dyDescent="0.25">
      <c r="A717" s="1">
        <v>45770</v>
      </c>
      <c r="B717" t="s">
        <v>44</v>
      </c>
      <c r="C717" t="s">
        <v>41</v>
      </c>
      <c r="D717">
        <v>19120</v>
      </c>
      <c r="E717">
        <v>9181</v>
      </c>
      <c r="F717">
        <v>9939</v>
      </c>
      <c r="G717" t="s">
        <v>38</v>
      </c>
      <c r="H717" t="s">
        <v>23</v>
      </c>
      <c r="I717" t="s">
        <v>42</v>
      </c>
      <c r="J717" s="2">
        <f>Table1[[#This Row],[Profit]]/Table1[[#This Row],[Sales]]*100</f>
        <v>51.982217573221753</v>
      </c>
      <c r="K717" t="str">
        <f>IF(Table1[[#This Row],[Sales]]&gt;=30000,"High", IF(Table1[[#This Row],[Sales]]&gt;=15000,"Medium","Low"))</f>
        <v>Medium</v>
      </c>
      <c r="L717" t="str">
        <f>TEXT(Table1[[#This Row],[Order_Date]],"MMM")</f>
        <v>Apr</v>
      </c>
      <c r="M717" t="str">
        <f>IF(Table1[[#This Row],[Profit]]&gt;=10000,"Excellent",IF(Table1[[#This Row],[Profit]]&gt;5000,"Good","Low"))</f>
        <v>Good</v>
      </c>
      <c r="N717" t="str">
        <f>TEXT(Table1[[#This Row],[Order_Date]],"YYYY")</f>
        <v>2025</v>
      </c>
    </row>
    <row r="718" spans="1:14" x14ac:dyDescent="0.25">
      <c r="A718" s="1">
        <v>45173</v>
      </c>
      <c r="B718" t="s">
        <v>44</v>
      </c>
      <c r="C718" t="s">
        <v>41</v>
      </c>
      <c r="D718">
        <v>19437</v>
      </c>
      <c r="E718">
        <v>10377</v>
      </c>
      <c r="F718">
        <v>9060</v>
      </c>
      <c r="G718" t="s">
        <v>19</v>
      </c>
      <c r="H718" t="s">
        <v>31</v>
      </c>
      <c r="I718" t="s">
        <v>29</v>
      </c>
      <c r="J718" s="2">
        <f>Table1[[#This Row],[Profit]]/Table1[[#This Row],[Sales]]*100</f>
        <v>46.612131501774968</v>
      </c>
      <c r="K718" t="str">
        <f>IF(Table1[[#This Row],[Sales]]&gt;=30000,"High", IF(Table1[[#This Row],[Sales]]&gt;=15000,"Medium","Low"))</f>
        <v>Medium</v>
      </c>
      <c r="L718" t="str">
        <f>TEXT(Table1[[#This Row],[Order_Date]],"MMM")</f>
        <v>Sep</v>
      </c>
      <c r="M718" t="str">
        <f>IF(Table1[[#This Row],[Profit]]&gt;=10000,"Excellent",IF(Table1[[#This Row],[Profit]]&gt;5000,"Good","Low"))</f>
        <v>Good</v>
      </c>
      <c r="N718" t="str">
        <f>TEXT(Table1[[#This Row],[Order_Date]],"YYYY")</f>
        <v>2023</v>
      </c>
    </row>
    <row r="719" spans="1:14" x14ac:dyDescent="0.25">
      <c r="A719" s="1">
        <v>46084</v>
      </c>
      <c r="B719" t="s">
        <v>17</v>
      </c>
      <c r="C719" t="s">
        <v>36</v>
      </c>
      <c r="D719">
        <v>26378</v>
      </c>
      <c r="E719">
        <v>13786</v>
      </c>
      <c r="F719">
        <v>12592</v>
      </c>
      <c r="G719" t="s">
        <v>38</v>
      </c>
      <c r="H719" t="s">
        <v>60</v>
      </c>
      <c r="I719" t="s">
        <v>29</v>
      </c>
      <c r="J719" s="2">
        <f>Table1[[#This Row],[Profit]]/Table1[[#This Row],[Sales]]*100</f>
        <v>47.73675032223823</v>
      </c>
      <c r="K719" t="str">
        <f>IF(Table1[[#This Row],[Sales]]&gt;=30000,"High", IF(Table1[[#This Row],[Sales]]&gt;=15000,"Medium","Low"))</f>
        <v>Medium</v>
      </c>
      <c r="L719" t="str">
        <f>TEXT(Table1[[#This Row],[Order_Date]],"MMM")</f>
        <v>Mar</v>
      </c>
      <c r="M719" t="str">
        <f>IF(Table1[[#This Row],[Profit]]&gt;=10000,"Excellent",IF(Table1[[#This Row],[Profit]]&gt;5000,"Good","Low"))</f>
        <v>Excellent</v>
      </c>
      <c r="N719" t="str">
        <f>TEXT(Table1[[#This Row],[Order_Date]],"YYYY")</f>
        <v>2026</v>
      </c>
    </row>
    <row r="720" spans="1:14" x14ac:dyDescent="0.25">
      <c r="A720" s="1">
        <v>45911</v>
      </c>
      <c r="B720" t="s">
        <v>11</v>
      </c>
      <c r="C720" t="s">
        <v>33</v>
      </c>
      <c r="D720">
        <v>29805</v>
      </c>
      <c r="E720">
        <v>29122</v>
      </c>
      <c r="F720">
        <v>683</v>
      </c>
      <c r="G720" t="s">
        <v>13</v>
      </c>
      <c r="H720" t="s">
        <v>28</v>
      </c>
      <c r="I720" t="s">
        <v>29</v>
      </c>
      <c r="J720" s="2">
        <f>Table1[[#This Row],[Profit]]/Table1[[#This Row],[Sales]]*100</f>
        <v>2.2915618184868309</v>
      </c>
      <c r="K720" t="str">
        <f>IF(Table1[[#This Row],[Sales]]&gt;=30000,"High", IF(Table1[[#This Row],[Sales]]&gt;=15000,"Medium","Low"))</f>
        <v>Medium</v>
      </c>
      <c r="L720" t="str">
        <f>TEXT(Table1[[#This Row],[Order_Date]],"MMM")</f>
        <v>Sep</v>
      </c>
      <c r="M720" t="str">
        <f>IF(Table1[[#This Row],[Profit]]&gt;=10000,"Excellent",IF(Table1[[#This Row],[Profit]]&gt;5000,"Good","Low"))</f>
        <v>Low</v>
      </c>
      <c r="N720" t="str">
        <f>TEXT(Table1[[#This Row],[Order_Date]],"YYYY")</f>
        <v>2025</v>
      </c>
    </row>
    <row r="721" spans="1:14" x14ac:dyDescent="0.25">
      <c r="A721" s="1">
        <v>45623</v>
      </c>
      <c r="B721" t="s">
        <v>22</v>
      </c>
      <c r="C721" t="s">
        <v>18</v>
      </c>
      <c r="D721">
        <v>43060</v>
      </c>
      <c r="E721">
        <v>36255</v>
      </c>
      <c r="F721">
        <v>6805</v>
      </c>
      <c r="G721" t="s">
        <v>27</v>
      </c>
      <c r="H721" t="s">
        <v>78</v>
      </c>
      <c r="I721" t="s">
        <v>24</v>
      </c>
      <c r="J721" s="2">
        <f>Table1[[#This Row],[Profit]]/Table1[[#This Row],[Sales]]*100</f>
        <v>15.803529958197862</v>
      </c>
      <c r="K721" t="str">
        <f>IF(Table1[[#This Row],[Sales]]&gt;=30000,"High", IF(Table1[[#This Row],[Sales]]&gt;=15000,"Medium","Low"))</f>
        <v>High</v>
      </c>
      <c r="L721" t="str">
        <f>TEXT(Table1[[#This Row],[Order_Date]],"MMM")</f>
        <v>Nov</v>
      </c>
      <c r="M721" t="str">
        <f>IF(Table1[[#This Row],[Profit]]&gt;=10000,"Excellent",IF(Table1[[#This Row],[Profit]]&gt;5000,"Good","Low"))</f>
        <v>Good</v>
      </c>
      <c r="N721" t="str">
        <f>TEXT(Table1[[#This Row],[Order_Date]],"YYYY")</f>
        <v>2024</v>
      </c>
    </row>
    <row r="722" spans="1:14" x14ac:dyDescent="0.25">
      <c r="A722" s="1">
        <v>45728</v>
      </c>
      <c r="B722" t="s">
        <v>22</v>
      </c>
      <c r="C722" t="s">
        <v>41</v>
      </c>
      <c r="D722">
        <v>5536</v>
      </c>
      <c r="E722">
        <v>3873</v>
      </c>
      <c r="F722">
        <v>1663</v>
      </c>
      <c r="G722" t="s">
        <v>38</v>
      </c>
      <c r="H722" t="s">
        <v>63</v>
      </c>
      <c r="I722" t="s">
        <v>53</v>
      </c>
      <c r="J722" s="2">
        <f>Table1[[#This Row],[Profit]]/Table1[[#This Row],[Sales]]*100</f>
        <v>30.039739884393065</v>
      </c>
      <c r="K722" t="str">
        <f>IF(Table1[[#This Row],[Sales]]&gt;=30000,"High", IF(Table1[[#This Row],[Sales]]&gt;=15000,"Medium","Low"))</f>
        <v>Low</v>
      </c>
      <c r="L722" t="str">
        <f>TEXT(Table1[[#This Row],[Order_Date]],"MMM")</f>
        <v>Mar</v>
      </c>
      <c r="M722" t="str">
        <f>IF(Table1[[#This Row],[Profit]]&gt;=10000,"Excellent",IF(Table1[[#This Row],[Profit]]&gt;5000,"Good","Low"))</f>
        <v>Low</v>
      </c>
      <c r="N722" t="str">
        <f>TEXT(Table1[[#This Row],[Order_Date]],"YYYY")</f>
        <v>2025</v>
      </c>
    </row>
    <row r="723" spans="1:14" x14ac:dyDescent="0.25">
      <c r="A723" s="1">
        <v>46111</v>
      </c>
      <c r="B723" t="s">
        <v>26</v>
      </c>
      <c r="C723" t="s">
        <v>41</v>
      </c>
      <c r="D723">
        <v>8083</v>
      </c>
      <c r="E723">
        <v>6005</v>
      </c>
      <c r="F723">
        <v>2078</v>
      </c>
      <c r="G723" t="s">
        <v>19</v>
      </c>
      <c r="H723" t="s">
        <v>28</v>
      </c>
      <c r="I723" t="s">
        <v>24</v>
      </c>
      <c r="J723" s="2">
        <f>Table1[[#This Row],[Profit]]/Table1[[#This Row],[Sales]]*100</f>
        <v>25.708276629964121</v>
      </c>
      <c r="K723" t="str">
        <f>IF(Table1[[#This Row],[Sales]]&gt;=30000,"High", IF(Table1[[#This Row],[Sales]]&gt;=15000,"Medium","Low"))</f>
        <v>Low</v>
      </c>
      <c r="L723" t="str">
        <f>TEXT(Table1[[#This Row],[Order_Date]],"MMM")</f>
        <v>Mar</v>
      </c>
      <c r="M723" t="str">
        <f>IF(Table1[[#This Row],[Profit]]&gt;=10000,"Excellent",IF(Table1[[#This Row],[Profit]]&gt;5000,"Good","Low"))</f>
        <v>Low</v>
      </c>
      <c r="N723" t="str">
        <f>TEXT(Table1[[#This Row],[Order_Date]],"YYYY")</f>
        <v>2026</v>
      </c>
    </row>
    <row r="724" spans="1:14" x14ac:dyDescent="0.25">
      <c r="A724" s="1">
        <v>45625</v>
      </c>
      <c r="B724" t="s">
        <v>44</v>
      </c>
      <c r="C724" t="s">
        <v>33</v>
      </c>
      <c r="D724">
        <v>28402</v>
      </c>
      <c r="E724">
        <v>11362</v>
      </c>
      <c r="F724">
        <v>17040</v>
      </c>
      <c r="G724" t="s">
        <v>38</v>
      </c>
      <c r="H724" t="s">
        <v>45</v>
      </c>
      <c r="I724" t="s">
        <v>29</v>
      </c>
      <c r="J724" s="2">
        <f>Table1[[#This Row],[Profit]]/Table1[[#This Row],[Sales]]*100</f>
        <v>59.995774945426383</v>
      </c>
      <c r="K724" t="str">
        <f>IF(Table1[[#This Row],[Sales]]&gt;=30000,"High", IF(Table1[[#This Row],[Sales]]&gt;=15000,"Medium","Low"))</f>
        <v>Medium</v>
      </c>
      <c r="L724" t="str">
        <f>TEXT(Table1[[#This Row],[Order_Date]],"MMM")</f>
        <v>Nov</v>
      </c>
      <c r="M724" t="str">
        <f>IF(Table1[[#This Row],[Profit]]&gt;=10000,"Excellent",IF(Table1[[#This Row],[Profit]]&gt;5000,"Good","Low"))</f>
        <v>Excellent</v>
      </c>
      <c r="N724" t="str">
        <f>TEXT(Table1[[#This Row],[Order_Date]],"YYYY")</f>
        <v>2024</v>
      </c>
    </row>
    <row r="725" spans="1:14" x14ac:dyDescent="0.25">
      <c r="A725" s="1">
        <v>46163</v>
      </c>
      <c r="B725" t="s">
        <v>44</v>
      </c>
      <c r="C725" t="s">
        <v>41</v>
      </c>
      <c r="D725">
        <v>17624</v>
      </c>
      <c r="E725">
        <v>14888</v>
      </c>
      <c r="F725">
        <v>2736</v>
      </c>
      <c r="G725" t="s">
        <v>38</v>
      </c>
      <c r="H725" t="s">
        <v>60</v>
      </c>
      <c r="I725" t="s">
        <v>29</v>
      </c>
      <c r="J725" s="2">
        <f>Table1[[#This Row],[Profit]]/Table1[[#This Row],[Sales]]*100</f>
        <v>15.524285065819338</v>
      </c>
      <c r="K725" t="str">
        <f>IF(Table1[[#This Row],[Sales]]&gt;=30000,"High", IF(Table1[[#This Row],[Sales]]&gt;=15000,"Medium","Low"))</f>
        <v>Medium</v>
      </c>
      <c r="L725" t="str">
        <f>TEXT(Table1[[#This Row],[Order_Date]],"MMM")</f>
        <v>May</v>
      </c>
      <c r="M725" t="str">
        <f>IF(Table1[[#This Row],[Profit]]&gt;=10000,"Excellent",IF(Table1[[#This Row],[Profit]]&gt;5000,"Good","Low"))</f>
        <v>Low</v>
      </c>
      <c r="N725" t="str">
        <f>TEXT(Table1[[#This Row],[Order_Date]],"YYYY")</f>
        <v>2026</v>
      </c>
    </row>
    <row r="726" spans="1:14" x14ac:dyDescent="0.25">
      <c r="A726" s="1">
        <v>45274</v>
      </c>
      <c r="B726" t="s">
        <v>17</v>
      </c>
      <c r="C726" t="s">
        <v>41</v>
      </c>
      <c r="D726">
        <v>25386</v>
      </c>
      <c r="E726">
        <v>18814</v>
      </c>
      <c r="F726">
        <v>6572</v>
      </c>
      <c r="G726" t="s">
        <v>19</v>
      </c>
      <c r="H726" t="s">
        <v>31</v>
      </c>
      <c r="I726" t="s">
        <v>29</v>
      </c>
      <c r="J726" s="2">
        <f>Table1[[#This Row],[Profit]]/Table1[[#This Row],[Sales]]*100</f>
        <v>25.888284881430714</v>
      </c>
      <c r="K726" t="str">
        <f>IF(Table1[[#This Row],[Sales]]&gt;=30000,"High", IF(Table1[[#This Row],[Sales]]&gt;=15000,"Medium","Low"))</f>
        <v>Medium</v>
      </c>
      <c r="L726" t="str">
        <f>TEXT(Table1[[#This Row],[Order_Date]],"MMM")</f>
        <v>Dec</v>
      </c>
      <c r="M726" t="str">
        <f>IF(Table1[[#This Row],[Profit]]&gt;=10000,"Excellent",IF(Table1[[#This Row],[Profit]]&gt;5000,"Good","Low"))</f>
        <v>Good</v>
      </c>
      <c r="N726" t="str">
        <f>TEXT(Table1[[#This Row],[Order_Date]],"YYYY")</f>
        <v>2023</v>
      </c>
    </row>
    <row r="727" spans="1:14" x14ac:dyDescent="0.25">
      <c r="A727" s="1">
        <v>45197</v>
      </c>
      <c r="B727" t="s">
        <v>17</v>
      </c>
      <c r="C727" t="s">
        <v>33</v>
      </c>
      <c r="D727">
        <v>28413</v>
      </c>
      <c r="E727">
        <v>26563</v>
      </c>
      <c r="F727">
        <v>1850</v>
      </c>
      <c r="G727" t="s">
        <v>13</v>
      </c>
      <c r="H727" t="s">
        <v>34</v>
      </c>
      <c r="I727" t="s">
        <v>29</v>
      </c>
      <c r="J727" s="2">
        <f>Table1[[#This Row],[Profit]]/Table1[[#This Row],[Sales]]*100</f>
        <v>6.5111040720796822</v>
      </c>
      <c r="K727" t="str">
        <f>IF(Table1[[#This Row],[Sales]]&gt;=30000,"High", IF(Table1[[#This Row],[Sales]]&gt;=15000,"Medium","Low"))</f>
        <v>Medium</v>
      </c>
      <c r="L727" t="str">
        <f>TEXT(Table1[[#This Row],[Order_Date]],"MMM")</f>
        <v>Sep</v>
      </c>
      <c r="M727" t="str">
        <f>IF(Table1[[#This Row],[Profit]]&gt;=10000,"Excellent",IF(Table1[[#This Row],[Profit]]&gt;5000,"Good","Low"))</f>
        <v>Low</v>
      </c>
      <c r="N727" t="str">
        <f>TEXT(Table1[[#This Row],[Order_Date]],"YYYY")</f>
        <v>2023</v>
      </c>
    </row>
    <row r="728" spans="1:14" x14ac:dyDescent="0.25">
      <c r="A728" s="1">
        <v>45715</v>
      </c>
      <c r="B728" t="s">
        <v>17</v>
      </c>
      <c r="C728" t="s">
        <v>41</v>
      </c>
      <c r="D728">
        <v>35663</v>
      </c>
      <c r="E728">
        <v>20249</v>
      </c>
      <c r="F728">
        <v>15414</v>
      </c>
      <c r="G728" t="s">
        <v>38</v>
      </c>
      <c r="H728" t="s">
        <v>23</v>
      </c>
      <c r="I728" t="s">
        <v>42</v>
      </c>
      <c r="J728" s="2">
        <f>Table1[[#This Row],[Profit]]/Table1[[#This Row],[Sales]]*100</f>
        <v>43.22126573759919</v>
      </c>
      <c r="K728" t="str">
        <f>IF(Table1[[#This Row],[Sales]]&gt;=30000,"High", IF(Table1[[#This Row],[Sales]]&gt;=15000,"Medium","Low"))</f>
        <v>High</v>
      </c>
      <c r="L728" t="str">
        <f>TEXT(Table1[[#This Row],[Order_Date]],"MMM")</f>
        <v>Feb</v>
      </c>
      <c r="M728" t="str">
        <f>IF(Table1[[#This Row],[Profit]]&gt;=10000,"Excellent",IF(Table1[[#This Row],[Profit]]&gt;5000,"Good","Low"))</f>
        <v>Excellent</v>
      </c>
      <c r="N728" t="str">
        <f>TEXT(Table1[[#This Row],[Order_Date]],"YYYY")</f>
        <v>2025</v>
      </c>
    </row>
    <row r="729" spans="1:14" x14ac:dyDescent="0.25">
      <c r="A729" s="1">
        <v>45362</v>
      </c>
      <c r="B729" t="s">
        <v>26</v>
      </c>
      <c r="C729" t="s">
        <v>18</v>
      </c>
      <c r="D729">
        <v>47363</v>
      </c>
      <c r="E729">
        <v>42901</v>
      </c>
      <c r="F729">
        <v>4462</v>
      </c>
      <c r="G729" t="s">
        <v>38</v>
      </c>
      <c r="H729" t="s">
        <v>34</v>
      </c>
      <c r="I729" t="s">
        <v>24</v>
      </c>
      <c r="J729" s="2">
        <f>Table1[[#This Row],[Profit]]/Table1[[#This Row],[Sales]]*100</f>
        <v>9.4208559424022962</v>
      </c>
      <c r="K729" t="str">
        <f>IF(Table1[[#This Row],[Sales]]&gt;=30000,"High", IF(Table1[[#This Row],[Sales]]&gt;=15000,"Medium","Low"))</f>
        <v>High</v>
      </c>
      <c r="L729" t="str">
        <f>TEXT(Table1[[#This Row],[Order_Date]],"MMM")</f>
        <v>Mar</v>
      </c>
      <c r="M729" t="str">
        <f>IF(Table1[[#This Row],[Profit]]&gt;=10000,"Excellent",IF(Table1[[#This Row],[Profit]]&gt;5000,"Good","Low"))</f>
        <v>Low</v>
      </c>
      <c r="N729" t="str">
        <f>TEXT(Table1[[#This Row],[Order_Date]],"YYYY")</f>
        <v>2024</v>
      </c>
    </row>
    <row r="730" spans="1:14" x14ac:dyDescent="0.25">
      <c r="A730" s="1">
        <v>45878</v>
      </c>
      <c r="B730" t="s">
        <v>44</v>
      </c>
      <c r="C730" t="s">
        <v>12</v>
      </c>
      <c r="D730">
        <v>36846</v>
      </c>
      <c r="E730">
        <v>19861</v>
      </c>
      <c r="F730">
        <v>16985</v>
      </c>
      <c r="G730" t="s">
        <v>27</v>
      </c>
      <c r="H730" t="s">
        <v>34</v>
      </c>
      <c r="I730" t="s">
        <v>42</v>
      </c>
      <c r="J730" s="2">
        <f>Table1[[#This Row],[Profit]]/Table1[[#This Row],[Sales]]*100</f>
        <v>46.097269717201321</v>
      </c>
      <c r="K730" t="str">
        <f>IF(Table1[[#This Row],[Sales]]&gt;=30000,"High", IF(Table1[[#This Row],[Sales]]&gt;=15000,"Medium","Low"))</f>
        <v>High</v>
      </c>
      <c r="L730" t="str">
        <f>TEXT(Table1[[#This Row],[Order_Date]],"MMM")</f>
        <v>Aug</v>
      </c>
      <c r="M730" t="str">
        <f>IF(Table1[[#This Row],[Profit]]&gt;=10000,"Excellent",IF(Table1[[#This Row],[Profit]]&gt;5000,"Good","Low"))</f>
        <v>Excellent</v>
      </c>
      <c r="N730" t="str">
        <f>TEXT(Table1[[#This Row],[Order_Date]],"YYYY")</f>
        <v>2025</v>
      </c>
    </row>
    <row r="731" spans="1:14" x14ac:dyDescent="0.25">
      <c r="A731" s="1">
        <v>45637</v>
      </c>
      <c r="B731" t="s">
        <v>11</v>
      </c>
      <c r="C731" t="s">
        <v>12</v>
      </c>
      <c r="D731">
        <v>42787</v>
      </c>
      <c r="E731">
        <v>24145</v>
      </c>
      <c r="F731">
        <v>18642</v>
      </c>
      <c r="G731" t="s">
        <v>27</v>
      </c>
      <c r="H731" t="s">
        <v>45</v>
      </c>
      <c r="I731" t="s">
        <v>24</v>
      </c>
      <c r="J731" s="2">
        <f>Table1[[#This Row],[Profit]]/Table1[[#This Row],[Sales]]*100</f>
        <v>43.569308434804967</v>
      </c>
      <c r="K731" t="str">
        <f>IF(Table1[[#This Row],[Sales]]&gt;=30000,"High", IF(Table1[[#This Row],[Sales]]&gt;=15000,"Medium","Low"))</f>
        <v>High</v>
      </c>
      <c r="L731" t="str">
        <f>TEXT(Table1[[#This Row],[Order_Date]],"MMM")</f>
        <v>Dec</v>
      </c>
      <c r="M731" t="str">
        <f>IF(Table1[[#This Row],[Profit]]&gt;=10000,"Excellent",IF(Table1[[#This Row],[Profit]]&gt;5000,"Good","Low"))</f>
        <v>Excellent</v>
      </c>
      <c r="N731" t="str">
        <f>TEXT(Table1[[#This Row],[Order_Date]],"YYYY")</f>
        <v>2024</v>
      </c>
    </row>
    <row r="732" spans="1:14" x14ac:dyDescent="0.25">
      <c r="A732" s="1">
        <v>45683</v>
      </c>
      <c r="B732" t="s">
        <v>17</v>
      </c>
      <c r="C732" t="s">
        <v>41</v>
      </c>
      <c r="D732">
        <v>17888</v>
      </c>
      <c r="E732">
        <v>6059</v>
      </c>
      <c r="F732">
        <v>11829</v>
      </c>
      <c r="G732" t="s">
        <v>19</v>
      </c>
      <c r="H732" t="s">
        <v>60</v>
      </c>
      <c r="I732" t="s">
        <v>53</v>
      </c>
      <c r="J732" s="2">
        <f>Table1[[#This Row],[Profit]]/Table1[[#This Row],[Sales]]*100</f>
        <v>66.128130590339893</v>
      </c>
      <c r="K732" t="str">
        <f>IF(Table1[[#This Row],[Sales]]&gt;=30000,"High", IF(Table1[[#This Row],[Sales]]&gt;=15000,"Medium","Low"))</f>
        <v>Medium</v>
      </c>
      <c r="L732" t="str">
        <f>TEXT(Table1[[#This Row],[Order_Date]],"MMM")</f>
        <v>Jan</v>
      </c>
      <c r="M732" t="str">
        <f>IF(Table1[[#This Row],[Profit]]&gt;=10000,"Excellent",IF(Table1[[#This Row],[Profit]]&gt;5000,"Good","Low"))</f>
        <v>Excellent</v>
      </c>
      <c r="N732" t="str">
        <f>TEXT(Table1[[#This Row],[Order_Date]],"YYYY")</f>
        <v>2025</v>
      </c>
    </row>
    <row r="733" spans="1:14" x14ac:dyDescent="0.25">
      <c r="A733" s="1">
        <v>45552</v>
      </c>
      <c r="B733" t="s">
        <v>17</v>
      </c>
      <c r="C733" t="s">
        <v>41</v>
      </c>
      <c r="D733">
        <v>18428</v>
      </c>
      <c r="E733">
        <v>10026</v>
      </c>
      <c r="F733">
        <v>8402</v>
      </c>
      <c r="G733" t="s">
        <v>27</v>
      </c>
      <c r="H733" t="s">
        <v>23</v>
      </c>
      <c r="I733" t="s">
        <v>53</v>
      </c>
      <c r="J733" s="2">
        <f>Table1[[#This Row],[Profit]]/Table1[[#This Row],[Sales]]*100</f>
        <v>45.593661818971128</v>
      </c>
      <c r="K733" t="str">
        <f>IF(Table1[[#This Row],[Sales]]&gt;=30000,"High", IF(Table1[[#This Row],[Sales]]&gt;=15000,"Medium","Low"))</f>
        <v>Medium</v>
      </c>
      <c r="L733" t="str">
        <f>TEXT(Table1[[#This Row],[Order_Date]],"MMM")</f>
        <v>Sep</v>
      </c>
      <c r="M733" t="str">
        <f>IF(Table1[[#This Row],[Profit]]&gt;=10000,"Excellent",IF(Table1[[#This Row],[Profit]]&gt;5000,"Good","Low"))</f>
        <v>Good</v>
      </c>
      <c r="N733" t="str">
        <f>TEXT(Table1[[#This Row],[Order_Date]],"YYYY")</f>
        <v>2024</v>
      </c>
    </row>
    <row r="734" spans="1:14" x14ac:dyDescent="0.25">
      <c r="A734" s="1">
        <v>45840</v>
      </c>
      <c r="B734" t="s">
        <v>17</v>
      </c>
      <c r="C734" t="s">
        <v>33</v>
      </c>
      <c r="D734">
        <v>7850</v>
      </c>
      <c r="E734">
        <v>4164</v>
      </c>
      <c r="F734">
        <v>3686</v>
      </c>
      <c r="G734" t="s">
        <v>13</v>
      </c>
      <c r="H734" t="s">
        <v>60</v>
      </c>
      <c r="I734" t="s">
        <v>29</v>
      </c>
      <c r="J734" s="2">
        <f>Table1[[#This Row],[Profit]]/Table1[[#This Row],[Sales]]*100</f>
        <v>46.955414012738856</v>
      </c>
      <c r="K734" t="str">
        <f>IF(Table1[[#This Row],[Sales]]&gt;=30000,"High", IF(Table1[[#This Row],[Sales]]&gt;=15000,"Medium","Low"))</f>
        <v>Low</v>
      </c>
      <c r="L734" t="str">
        <f>TEXT(Table1[[#This Row],[Order_Date]],"MMM")</f>
        <v>Jul</v>
      </c>
      <c r="M734" t="str">
        <f>IF(Table1[[#This Row],[Profit]]&gt;=10000,"Excellent",IF(Table1[[#This Row],[Profit]]&gt;5000,"Good","Low"))</f>
        <v>Low</v>
      </c>
      <c r="N734" t="str">
        <f>TEXT(Table1[[#This Row],[Order_Date]],"YYYY")</f>
        <v>2025</v>
      </c>
    </row>
    <row r="735" spans="1:14" x14ac:dyDescent="0.25">
      <c r="A735" s="1">
        <v>45352</v>
      </c>
      <c r="B735" t="s">
        <v>22</v>
      </c>
      <c r="C735" t="s">
        <v>18</v>
      </c>
      <c r="D735">
        <v>38558</v>
      </c>
      <c r="E735">
        <v>35431</v>
      </c>
      <c r="F735">
        <v>3127</v>
      </c>
      <c r="G735" t="s">
        <v>38</v>
      </c>
      <c r="H735" t="s">
        <v>23</v>
      </c>
      <c r="I735" t="s">
        <v>53</v>
      </c>
      <c r="J735" s="2">
        <f>Table1[[#This Row],[Profit]]/Table1[[#This Row],[Sales]]*100</f>
        <v>8.1098604699413865</v>
      </c>
      <c r="K735" t="str">
        <f>IF(Table1[[#This Row],[Sales]]&gt;=30000,"High", IF(Table1[[#This Row],[Sales]]&gt;=15000,"Medium","Low"))</f>
        <v>High</v>
      </c>
      <c r="L735" t="str">
        <f>TEXT(Table1[[#This Row],[Order_Date]],"MMM")</f>
        <v>Mar</v>
      </c>
      <c r="M735" t="str">
        <f>IF(Table1[[#This Row],[Profit]]&gt;=10000,"Excellent",IF(Table1[[#This Row],[Profit]]&gt;5000,"Good","Low"))</f>
        <v>Low</v>
      </c>
      <c r="N735" t="str">
        <f>TEXT(Table1[[#This Row],[Order_Date]],"YYYY")</f>
        <v>2024</v>
      </c>
    </row>
    <row r="736" spans="1:14" x14ac:dyDescent="0.25">
      <c r="A736" s="1">
        <v>45970</v>
      </c>
      <c r="B736" t="s">
        <v>26</v>
      </c>
      <c r="C736" t="s">
        <v>18</v>
      </c>
      <c r="D736">
        <v>47533</v>
      </c>
      <c r="E736">
        <v>37491</v>
      </c>
      <c r="F736">
        <v>10042</v>
      </c>
      <c r="G736" t="s">
        <v>38</v>
      </c>
      <c r="H736" t="s">
        <v>78</v>
      </c>
      <c r="I736" t="s">
        <v>24</v>
      </c>
      <c r="J736" s="2">
        <f>Table1[[#This Row],[Profit]]/Table1[[#This Row],[Sales]]*100</f>
        <v>21.126375360276022</v>
      </c>
      <c r="K736" t="str">
        <f>IF(Table1[[#This Row],[Sales]]&gt;=30000,"High", IF(Table1[[#This Row],[Sales]]&gt;=15000,"Medium","Low"))</f>
        <v>High</v>
      </c>
      <c r="L736" t="str">
        <f>TEXT(Table1[[#This Row],[Order_Date]],"MMM")</f>
        <v>Nov</v>
      </c>
      <c r="M736" t="str">
        <f>IF(Table1[[#This Row],[Profit]]&gt;=10000,"Excellent",IF(Table1[[#This Row],[Profit]]&gt;5000,"Good","Low"))</f>
        <v>Excellent</v>
      </c>
      <c r="N736" t="str">
        <f>TEXT(Table1[[#This Row],[Order_Date]],"YYYY")</f>
        <v>2025</v>
      </c>
    </row>
    <row r="737" spans="1:14" x14ac:dyDescent="0.25">
      <c r="A737" s="1">
        <v>45794</v>
      </c>
      <c r="B737" t="s">
        <v>17</v>
      </c>
      <c r="C737" t="s">
        <v>18</v>
      </c>
      <c r="D737">
        <v>46560</v>
      </c>
      <c r="E737">
        <v>30300</v>
      </c>
      <c r="F737">
        <v>16260</v>
      </c>
      <c r="G737" t="s">
        <v>27</v>
      </c>
      <c r="H737" t="s">
        <v>23</v>
      </c>
      <c r="I737" t="s">
        <v>53</v>
      </c>
      <c r="J737" s="2">
        <f>Table1[[#This Row],[Profit]]/Table1[[#This Row],[Sales]]*100</f>
        <v>34.922680412371129</v>
      </c>
      <c r="K737" t="str">
        <f>IF(Table1[[#This Row],[Sales]]&gt;=30000,"High", IF(Table1[[#This Row],[Sales]]&gt;=15000,"Medium","Low"))</f>
        <v>High</v>
      </c>
      <c r="L737" t="str">
        <f>TEXT(Table1[[#This Row],[Order_Date]],"MMM")</f>
        <v>May</v>
      </c>
      <c r="M737" t="str">
        <f>IF(Table1[[#This Row],[Profit]]&gt;=10000,"Excellent",IF(Table1[[#This Row],[Profit]]&gt;5000,"Good","Low"))</f>
        <v>Excellent</v>
      </c>
      <c r="N737" t="str">
        <f>TEXT(Table1[[#This Row],[Order_Date]],"YYYY")</f>
        <v>2025</v>
      </c>
    </row>
    <row r="738" spans="1:14" x14ac:dyDescent="0.25">
      <c r="A738" s="1">
        <v>45616</v>
      </c>
      <c r="B738" t="s">
        <v>17</v>
      </c>
      <c r="C738" t="s">
        <v>33</v>
      </c>
      <c r="D738">
        <v>22036</v>
      </c>
      <c r="E738">
        <v>3493</v>
      </c>
      <c r="F738">
        <v>18543</v>
      </c>
      <c r="G738" t="s">
        <v>19</v>
      </c>
      <c r="H738" t="s">
        <v>31</v>
      </c>
      <c r="I738" t="s">
        <v>24</v>
      </c>
      <c r="J738" s="2">
        <f>Table1[[#This Row],[Profit]]/Table1[[#This Row],[Sales]]*100</f>
        <v>84.148665819567981</v>
      </c>
      <c r="K738" t="str">
        <f>IF(Table1[[#This Row],[Sales]]&gt;=30000,"High", IF(Table1[[#This Row],[Sales]]&gt;=15000,"Medium","Low"))</f>
        <v>Medium</v>
      </c>
      <c r="L738" t="str">
        <f>TEXT(Table1[[#This Row],[Order_Date]],"MMM")</f>
        <v>Nov</v>
      </c>
      <c r="M738" t="str">
        <f>IF(Table1[[#This Row],[Profit]]&gt;=10000,"Excellent",IF(Table1[[#This Row],[Profit]]&gt;5000,"Good","Low"))</f>
        <v>Excellent</v>
      </c>
      <c r="N738" t="str">
        <f>TEXT(Table1[[#This Row],[Order_Date]],"YYYY")</f>
        <v>2024</v>
      </c>
    </row>
    <row r="739" spans="1:14" x14ac:dyDescent="0.25">
      <c r="A739" s="1">
        <v>45735</v>
      </c>
      <c r="B739" t="s">
        <v>11</v>
      </c>
      <c r="C739" t="s">
        <v>36</v>
      </c>
      <c r="D739">
        <v>24014</v>
      </c>
      <c r="E739">
        <v>10480</v>
      </c>
      <c r="F739">
        <v>13534</v>
      </c>
      <c r="G739" t="s">
        <v>13</v>
      </c>
      <c r="H739" t="s">
        <v>45</v>
      </c>
      <c r="I739" t="s">
        <v>29</v>
      </c>
      <c r="J739" s="2">
        <f>Table1[[#This Row],[Profit]]/Table1[[#This Row],[Sales]]*100</f>
        <v>56.358790705421832</v>
      </c>
      <c r="K739" t="str">
        <f>IF(Table1[[#This Row],[Sales]]&gt;=30000,"High", IF(Table1[[#This Row],[Sales]]&gt;=15000,"Medium","Low"))</f>
        <v>Medium</v>
      </c>
      <c r="L739" t="str">
        <f>TEXT(Table1[[#This Row],[Order_Date]],"MMM")</f>
        <v>Mar</v>
      </c>
      <c r="M739" t="str">
        <f>IF(Table1[[#This Row],[Profit]]&gt;=10000,"Excellent",IF(Table1[[#This Row],[Profit]]&gt;5000,"Good","Low"))</f>
        <v>Excellent</v>
      </c>
      <c r="N739" t="str">
        <f>TEXT(Table1[[#This Row],[Order_Date]],"YYYY")</f>
        <v>2025</v>
      </c>
    </row>
    <row r="740" spans="1:14" x14ac:dyDescent="0.25">
      <c r="A740" s="1">
        <v>46173</v>
      </c>
      <c r="B740" t="s">
        <v>22</v>
      </c>
      <c r="C740" t="s">
        <v>12</v>
      </c>
      <c r="D740">
        <v>16664</v>
      </c>
      <c r="E740">
        <v>7797</v>
      </c>
      <c r="F740">
        <v>8867</v>
      </c>
      <c r="G740" t="s">
        <v>27</v>
      </c>
      <c r="H740" t="s">
        <v>60</v>
      </c>
      <c r="I740" t="s">
        <v>24</v>
      </c>
      <c r="J740" s="2">
        <f>Table1[[#This Row],[Profit]]/Table1[[#This Row],[Sales]]*100</f>
        <v>53.210513682189152</v>
      </c>
      <c r="K740" t="str">
        <f>IF(Table1[[#This Row],[Sales]]&gt;=30000,"High", IF(Table1[[#This Row],[Sales]]&gt;=15000,"Medium","Low"))</f>
        <v>Medium</v>
      </c>
      <c r="L740" t="str">
        <f>TEXT(Table1[[#This Row],[Order_Date]],"MMM")</f>
        <v>May</v>
      </c>
      <c r="M740" t="str">
        <f>IF(Table1[[#This Row],[Profit]]&gt;=10000,"Excellent",IF(Table1[[#This Row],[Profit]]&gt;5000,"Good","Low"))</f>
        <v>Good</v>
      </c>
      <c r="N740" t="str">
        <f>TEXT(Table1[[#This Row],[Order_Date]],"YYYY")</f>
        <v>2026</v>
      </c>
    </row>
    <row r="741" spans="1:14" x14ac:dyDescent="0.25">
      <c r="A741" s="1">
        <v>45399</v>
      </c>
      <c r="B741" t="s">
        <v>44</v>
      </c>
      <c r="C741" t="s">
        <v>41</v>
      </c>
      <c r="D741">
        <v>15148</v>
      </c>
      <c r="E741">
        <v>13066</v>
      </c>
      <c r="F741">
        <v>2082</v>
      </c>
      <c r="G741" t="s">
        <v>27</v>
      </c>
      <c r="H741" t="s">
        <v>31</v>
      </c>
      <c r="I741" t="s">
        <v>24</v>
      </c>
      <c r="J741" s="2">
        <f>Table1[[#This Row],[Profit]]/Table1[[#This Row],[Sales]]*100</f>
        <v>13.744388698177978</v>
      </c>
      <c r="K741" t="str">
        <f>IF(Table1[[#This Row],[Sales]]&gt;=30000,"High", IF(Table1[[#This Row],[Sales]]&gt;=15000,"Medium","Low"))</f>
        <v>Medium</v>
      </c>
      <c r="L741" t="str">
        <f>TEXT(Table1[[#This Row],[Order_Date]],"MMM")</f>
        <v>Apr</v>
      </c>
      <c r="M741" t="str">
        <f>IF(Table1[[#This Row],[Profit]]&gt;=10000,"Excellent",IF(Table1[[#This Row],[Profit]]&gt;5000,"Good","Low"))</f>
        <v>Low</v>
      </c>
      <c r="N741" t="str">
        <f>TEXT(Table1[[#This Row],[Order_Date]],"YYYY")</f>
        <v>2024</v>
      </c>
    </row>
    <row r="742" spans="1:14" x14ac:dyDescent="0.25">
      <c r="A742" s="1">
        <v>45151</v>
      </c>
      <c r="B742" t="s">
        <v>22</v>
      </c>
      <c r="C742" t="s">
        <v>18</v>
      </c>
      <c r="D742">
        <v>18533</v>
      </c>
      <c r="E742">
        <v>15015</v>
      </c>
      <c r="F742">
        <v>3518</v>
      </c>
      <c r="G742" t="s">
        <v>19</v>
      </c>
      <c r="H742" t="s">
        <v>60</v>
      </c>
      <c r="I742" t="s">
        <v>42</v>
      </c>
      <c r="J742" s="2">
        <f>Table1[[#This Row],[Profit]]/Table1[[#This Row],[Sales]]*100</f>
        <v>18.982355797766147</v>
      </c>
      <c r="K742" t="str">
        <f>IF(Table1[[#This Row],[Sales]]&gt;=30000,"High", IF(Table1[[#This Row],[Sales]]&gt;=15000,"Medium","Low"))</f>
        <v>Medium</v>
      </c>
      <c r="L742" t="str">
        <f>TEXT(Table1[[#This Row],[Order_Date]],"MMM")</f>
        <v>Aug</v>
      </c>
      <c r="M742" t="str">
        <f>IF(Table1[[#This Row],[Profit]]&gt;=10000,"Excellent",IF(Table1[[#This Row],[Profit]]&gt;5000,"Good","Low"))</f>
        <v>Low</v>
      </c>
      <c r="N742" t="str">
        <f>TEXT(Table1[[#This Row],[Order_Date]],"YYYY")</f>
        <v>2023</v>
      </c>
    </row>
    <row r="743" spans="1:14" x14ac:dyDescent="0.25">
      <c r="A743" s="1">
        <v>45218</v>
      </c>
      <c r="B743" t="s">
        <v>22</v>
      </c>
      <c r="C743" t="s">
        <v>18</v>
      </c>
      <c r="D743">
        <v>25938</v>
      </c>
      <c r="E743">
        <v>25181</v>
      </c>
      <c r="F743">
        <v>757</v>
      </c>
      <c r="G743" t="s">
        <v>13</v>
      </c>
      <c r="H743" t="s">
        <v>28</v>
      </c>
      <c r="I743" t="s">
        <v>29</v>
      </c>
      <c r="J743" s="2">
        <f>Table1[[#This Row],[Profit]]/Table1[[#This Row],[Sales]]*100</f>
        <v>2.9184979566658957</v>
      </c>
      <c r="K743" t="str">
        <f>IF(Table1[[#This Row],[Sales]]&gt;=30000,"High", IF(Table1[[#This Row],[Sales]]&gt;=15000,"Medium","Low"))</f>
        <v>Medium</v>
      </c>
      <c r="L743" t="str">
        <f>TEXT(Table1[[#This Row],[Order_Date]],"MMM")</f>
        <v>Oct</v>
      </c>
      <c r="M743" t="str">
        <f>IF(Table1[[#This Row],[Profit]]&gt;=10000,"Excellent",IF(Table1[[#This Row],[Profit]]&gt;5000,"Good","Low"))</f>
        <v>Low</v>
      </c>
      <c r="N743" t="str">
        <f>TEXT(Table1[[#This Row],[Order_Date]],"YYYY")</f>
        <v>2023</v>
      </c>
    </row>
    <row r="744" spans="1:14" x14ac:dyDescent="0.25">
      <c r="A744" s="1">
        <v>45232</v>
      </c>
      <c r="B744" t="s">
        <v>26</v>
      </c>
      <c r="C744" t="s">
        <v>18</v>
      </c>
      <c r="D744">
        <v>8709</v>
      </c>
      <c r="E744">
        <v>5876</v>
      </c>
      <c r="F744">
        <v>2833</v>
      </c>
      <c r="G744" t="s">
        <v>19</v>
      </c>
      <c r="H744" t="s">
        <v>63</v>
      </c>
      <c r="I744" t="s">
        <v>53</v>
      </c>
      <c r="J744" s="2">
        <f>Table1[[#This Row],[Profit]]/Table1[[#This Row],[Sales]]*100</f>
        <v>32.529567114479278</v>
      </c>
      <c r="K744" t="str">
        <f>IF(Table1[[#This Row],[Sales]]&gt;=30000,"High", IF(Table1[[#This Row],[Sales]]&gt;=15000,"Medium","Low"))</f>
        <v>Low</v>
      </c>
      <c r="L744" t="str">
        <f>TEXT(Table1[[#This Row],[Order_Date]],"MMM")</f>
        <v>Nov</v>
      </c>
      <c r="M744" t="str">
        <f>IF(Table1[[#This Row],[Profit]]&gt;=10000,"Excellent",IF(Table1[[#This Row],[Profit]]&gt;5000,"Good","Low"))</f>
        <v>Low</v>
      </c>
      <c r="N744" t="str">
        <f>TEXT(Table1[[#This Row],[Order_Date]],"YYYY")</f>
        <v>2023</v>
      </c>
    </row>
    <row r="745" spans="1:14" x14ac:dyDescent="0.25">
      <c r="A745" s="1">
        <v>45321</v>
      </c>
      <c r="B745" t="s">
        <v>17</v>
      </c>
      <c r="C745" t="s">
        <v>18</v>
      </c>
      <c r="D745">
        <v>14771</v>
      </c>
      <c r="E745">
        <v>3619</v>
      </c>
      <c r="F745">
        <v>11152</v>
      </c>
      <c r="G745" t="s">
        <v>13</v>
      </c>
      <c r="H745" t="s">
        <v>78</v>
      </c>
      <c r="I745" t="s">
        <v>15</v>
      </c>
      <c r="J745" s="2">
        <f>Table1[[#This Row],[Profit]]/Table1[[#This Row],[Sales]]*100</f>
        <v>75.499289147654196</v>
      </c>
      <c r="K745" t="str">
        <f>IF(Table1[[#This Row],[Sales]]&gt;=30000,"High", IF(Table1[[#This Row],[Sales]]&gt;=15000,"Medium","Low"))</f>
        <v>Low</v>
      </c>
      <c r="L745" t="str">
        <f>TEXT(Table1[[#This Row],[Order_Date]],"MMM")</f>
        <v>Jan</v>
      </c>
      <c r="M745" t="str">
        <f>IF(Table1[[#This Row],[Profit]]&gt;=10000,"Excellent",IF(Table1[[#This Row],[Profit]]&gt;5000,"Good","Low"))</f>
        <v>Excellent</v>
      </c>
      <c r="N745" t="str">
        <f>TEXT(Table1[[#This Row],[Order_Date]],"YYYY")</f>
        <v>2024</v>
      </c>
    </row>
    <row r="746" spans="1:14" x14ac:dyDescent="0.25">
      <c r="A746" s="1">
        <v>46150</v>
      </c>
      <c r="B746" t="s">
        <v>26</v>
      </c>
      <c r="C746" t="s">
        <v>12</v>
      </c>
      <c r="D746">
        <v>7338</v>
      </c>
      <c r="E746">
        <v>3306</v>
      </c>
      <c r="F746">
        <v>4032</v>
      </c>
      <c r="G746" t="s">
        <v>38</v>
      </c>
      <c r="H746" t="s">
        <v>23</v>
      </c>
      <c r="I746" t="s">
        <v>53</v>
      </c>
      <c r="J746" s="2">
        <f>Table1[[#This Row],[Profit]]/Table1[[#This Row],[Sales]]*100</f>
        <v>54.946852003270642</v>
      </c>
      <c r="K746" t="str">
        <f>IF(Table1[[#This Row],[Sales]]&gt;=30000,"High", IF(Table1[[#This Row],[Sales]]&gt;=15000,"Medium","Low"))</f>
        <v>Low</v>
      </c>
      <c r="L746" t="str">
        <f>TEXT(Table1[[#This Row],[Order_Date]],"MMM")</f>
        <v>May</v>
      </c>
      <c r="M746" t="str">
        <f>IF(Table1[[#This Row],[Profit]]&gt;=10000,"Excellent",IF(Table1[[#This Row],[Profit]]&gt;5000,"Good","Low"))</f>
        <v>Low</v>
      </c>
      <c r="N746" t="str">
        <f>TEXT(Table1[[#This Row],[Order_Date]],"YYYY")</f>
        <v>2026</v>
      </c>
    </row>
    <row r="747" spans="1:14" x14ac:dyDescent="0.25">
      <c r="A747" s="1">
        <v>45616</v>
      </c>
      <c r="B747" t="s">
        <v>26</v>
      </c>
      <c r="C747" t="s">
        <v>12</v>
      </c>
      <c r="D747">
        <v>42667</v>
      </c>
      <c r="E747">
        <v>39552</v>
      </c>
      <c r="F747">
        <v>3115</v>
      </c>
      <c r="G747" t="s">
        <v>38</v>
      </c>
      <c r="H747" t="s">
        <v>45</v>
      </c>
      <c r="I747" t="s">
        <v>53</v>
      </c>
      <c r="J747" s="2">
        <f>Table1[[#This Row],[Profit]]/Table1[[#This Row],[Sales]]*100</f>
        <v>7.300724213092086</v>
      </c>
      <c r="K747" t="str">
        <f>IF(Table1[[#This Row],[Sales]]&gt;=30000,"High", IF(Table1[[#This Row],[Sales]]&gt;=15000,"Medium","Low"))</f>
        <v>High</v>
      </c>
      <c r="L747" t="str">
        <f>TEXT(Table1[[#This Row],[Order_Date]],"MMM")</f>
        <v>Nov</v>
      </c>
      <c r="M747" t="str">
        <f>IF(Table1[[#This Row],[Profit]]&gt;=10000,"Excellent",IF(Table1[[#This Row],[Profit]]&gt;5000,"Good","Low"))</f>
        <v>Low</v>
      </c>
      <c r="N747" t="str">
        <f>TEXT(Table1[[#This Row],[Order_Date]],"YYYY")</f>
        <v>2024</v>
      </c>
    </row>
    <row r="748" spans="1:14" x14ac:dyDescent="0.25">
      <c r="A748" s="1">
        <v>45245</v>
      </c>
      <c r="B748" t="s">
        <v>22</v>
      </c>
      <c r="C748" t="s">
        <v>36</v>
      </c>
      <c r="D748">
        <v>39104</v>
      </c>
      <c r="E748">
        <v>27750</v>
      </c>
      <c r="F748">
        <v>11354</v>
      </c>
      <c r="G748" t="s">
        <v>19</v>
      </c>
      <c r="H748" t="s">
        <v>28</v>
      </c>
      <c r="I748" t="s">
        <v>42</v>
      </c>
      <c r="J748" s="2">
        <f>Table1[[#This Row],[Profit]]/Table1[[#This Row],[Sales]]*100</f>
        <v>29.035392798690673</v>
      </c>
      <c r="K748" t="str">
        <f>IF(Table1[[#This Row],[Sales]]&gt;=30000,"High", IF(Table1[[#This Row],[Sales]]&gt;=15000,"Medium","Low"))</f>
        <v>High</v>
      </c>
      <c r="L748" t="str">
        <f>TEXT(Table1[[#This Row],[Order_Date]],"MMM")</f>
        <v>Nov</v>
      </c>
      <c r="M748" t="str">
        <f>IF(Table1[[#This Row],[Profit]]&gt;=10000,"Excellent",IF(Table1[[#This Row],[Profit]]&gt;5000,"Good","Low"))</f>
        <v>Excellent</v>
      </c>
      <c r="N748" t="str">
        <f>TEXT(Table1[[#This Row],[Order_Date]],"YYYY")</f>
        <v>2023</v>
      </c>
    </row>
    <row r="749" spans="1:14" x14ac:dyDescent="0.25">
      <c r="A749" s="1">
        <v>45350</v>
      </c>
      <c r="B749" t="s">
        <v>22</v>
      </c>
      <c r="C749" t="s">
        <v>12</v>
      </c>
      <c r="D749">
        <v>8765</v>
      </c>
      <c r="E749">
        <v>929</v>
      </c>
      <c r="F749">
        <v>7836</v>
      </c>
      <c r="G749" t="s">
        <v>13</v>
      </c>
      <c r="H749" t="s">
        <v>60</v>
      </c>
      <c r="I749" t="s">
        <v>15</v>
      </c>
      <c r="J749" s="2">
        <f>Table1[[#This Row],[Profit]]/Table1[[#This Row],[Sales]]*100</f>
        <v>89.401026811180827</v>
      </c>
      <c r="K749" t="str">
        <f>IF(Table1[[#This Row],[Sales]]&gt;=30000,"High", IF(Table1[[#This Row],[Sales]]&gt;=15000,"Medium","Low"))</f>
        <v>Low</v>
      </c>
      <c r="L749" t="str">
        <f>TEXT(Table1[[#This Row],[Order_Date]],"MMM")</f>
        <v>Feb</v>
      </c>
      <c r="M749" t="str">
        <f>IF(Table1[[#This Row],[Profit]]&gt;=10000,"Excellent",IF(Table1[[#This Row],[Profit]]&gt;5000,"Good","Low"))</f>
        <v>Good</v>
      </c>
      <c r="N749" t="str">
        <f>TEXT(Table1[[#This Row],[Order_Date]],"YYYY")</f>
        <v>2024</v>
      </c>
    </row>
    <row r="750" spans="1:14" x14ac:dyDescent="0.25">
      <c r="A750" s="1">
        <v>46137</v>
      </c>
      <c r="B750" t="s">
        <v>22</v>
      </c>
      <c r="C750" t="s">
        <v>36</v>
      </c>
      <c r="D750">
        <v>10119</v>
      </c>
      <c r="E750">
        <v>8583</v>
      </c>
      <c r="F750">
        <v>1536</v>
      </c>
      <c r="G750" t="s">
        <v>38</v>
      </c>
      <c r="H750" t="s">
        <v>63</v>
      </c>
      <c r="I750" t="s">
        <v>42</v>
      </c>
      <c r="J750" s="2">
        <f>Table1[[#This Row],[Profit]]/Table1[[#This Row],[Sales]]*100</f>
        <v>15.179365549955529</v>
      </c>
      <c r="K750" t="str">
        <f>IF(Table1[[#This Row],[Sales]]&gt;=30000,"High", IF(Table1[[#This Row],[Sales]]&gt;=15000,"Medium","Low"))</f>
        <v>Low</v>
      </c>
      <c r="L750" t="str">
        <f>TEXT(Table1[[#This Row],[Order_Date]],"MMM")</f>
        <v>Apr</v>
      </c>
      <c r="M750" t="str">
        <f>IF(Table1[[#This Row],[Profit]]&gt;=10000,"Excellent",IF(Table1[[#This Row],[Profit]]&gt;5000,"Good","Low"))</f>
        <v>Low</v>
      </c>
      <c r="N750" t="str">
        <f>TEXT(Table1[[#This Row],[Order_Date]],"YYYY")</f>
        <v>2026</v>
      </c>
    </row>
    <row r="751" spans="1:14" x14ac:dyDescent="0.25">
      <c r="A751" s="1">
        <v>45279</v>
      </c>
      <c r="B751" t="s">
        <v>11</v>
      </c>
      <c r="C751" t="s">
        <v>33</v>
      </c>
      <c r="D751">
        <v>11052</v>
      </c>
      <c r="E751">
        <v>5353</v>
      </c>
      <c r="F751">
        <v>5699</v>
      </c>
      <c r="G751" t="s">
        <v>27</v>
      </c>
      <c r="H751" t="s">
        <v>63</v>
      </c>
      <c r="I751" t="s">
        <v>42</v>
      </c>
      <c r="J751" s="2">
        <f>Table1[[#This Row],[Profit]]/Table1[[#This Row],[Sales]]*100</f>
        <v>51.565327542526241</v>
      </c>
      <c r="K751" t="str">
        <f>IF(Table1[[#This Row],[Sales]]&gt;=30000,"High", IF(Table1[[#This Row],[Sales]]&gt;=15000,"Medium","Low"))</f>
        <v>Low</v>
      </c>
      <c r="L751" t="str">
        <f>TEXT(Table1[[#This Row],[Order_Date]],"MMM")</f>
        <v>Dec</v>
      </c>
      <c r="M751" t="str">
        <f>IF(Table1[[#This Row],[Profit]]&gt;=10000,"Excellent",IF(Table1[[#This Row],[Profit]]&gt;5000,"Good","Low"))</f>
        <v>Good</v>
      </c>
      <c r="N751" t="str">
        <f>TEXT(Table1[[#This Row],[Order_Date]],"YYYY")</f>
        <v>2023</v>
      </c>
    </row>
    <row r="752" spans="1:14" x14ac:dyDescent="0.25">
      <c r="A752" s="1">
        <v>45447</v>
      </c>
      <c r="B752" t="s">
        <v>17</v>
      </c>
      <c r="C752" t="s">
        <v>41</v>
      </c>
      <c r="D752">
        <v>12020</v>
      </c>
      <c r="E752">
        <v>2825</v>
      </c>
      <c r="F752">
        <v>9195</v>
      </c>
      <c r="G752" t="s">
        <v>19</v>
      </c>
      <c r="H752" t="s">
        <v>20</v>
      </c>
      <c r="I752" t="s">
        <v>15</v>
      </c>
      <c r="J752" s="2">
        <f>Table1[[#This Row],[Profit]]/Table1[[#This Row],[Sales]]*100</f>
        <v>76.497504159733779</v>
      </c>
      <c r="K752" t="str">
        <f>IF(Table1[[#This Row],[Sales]]&gt;=30000,"High", IF(Table1[[#This Row],[Sales]]&gt;=15000,"Medium","Low"))</f>
        <v>Low</v>
      </c>
      <c r="L752" t="str">
        <f>TEXT(Table1[[#This Row],[Order_Date]],"MMM")</f>
        <v>Jun</v>
      </c>
      <c r="M752" t="str">
        <f>IF(Table1[[#This Row],[Profit]]&gt;=10000,"Excellent",IF(Table1[[#This Row],[Profit]]&gt;5000,"Good","Low"))</f>
        <v>Good</v>
      </c>
      <c r="N752" t="str">
        <f>TEXT(Table1[[#This Row],[Order_Date]],"YYYY")</f>
        <v>2024</v>
      </c>
    </row>
    <row r="753" spans="1:14" x14ac:dyDescent="0.25">
      <c r="A753" s="1">
        <v>45979</v>
      </c>
      <c r="B753" t="s">
        <v>11</v>
      </c>
      <c r="C753" t="s">
        <v>12</v>
      </c>
      <c r="D753">
        <v>28848</v>
      </c>
      <c r="E753">
        <v>25788</v>
      </c>
      <c r="F753">
        <v>3060</v>
      </c>
      <c r="G753" t="s">
        <v>19</v>
      </c>
      <c r="H753" t="s">
        <v>20</v>
      </c>
      <c r="I753" t="s">
        <v>15</v>
      </c>
      <c r="J753" s="2">
        <f>Table1[[#This Row],[Profit]]/Table1[[#This Row],[Sales]]*100</f>
        <v>10.607321131447588</v>
      </c>
      <c r="K753" t="str">
        <f>IF(Table1[[#This Row],[Sales]]&gt;=30000,"High", IF(Table1[[#This Row],[Sales]]&gt;=15000,"Medium","Low"))</f>
        <v>Medium</v>
      </c>
      <c r="L753" t="str">
        <f>TEXT(Table1[[#This Row],[Order_Date]],"MMM")</f>
        <v>Nov</v>
      </c>
      <c r="M753" t="str">
        <f>IF(Table1[[#This Row],[Profit]]&gt;=10000,"Excellent",IF(Table1[[#This Row],[Profit]]&gt;5000,"Good","Low"))</f>
        <v>Low</v>
      </c>
      <c r="N753" t="str">
        <f>TEXT(Table1[[#This Row],[Order_Date]],"YYYY")</f>
        <v>2025</v>
      </c>
    </row>
    <row r="754" spans="1:14" x14ac:dyDescent="0.25">
      <c r="A754" s="1">
        <v>45902</v>
      </c>
      <c r="B754" t="s">
        <v>17</v>
      </c>
      <c r="C754" t="s">
        <v>18</v>
      </c>
      <c r="D754">
        <v>39647</v>
      </c>
      <c r="E754">
        <v>22358</v>
      </c>
      <c r="F754">
        <v>17289</v>
      </c>
      <c r="G754" t="s">
        <v>19</v>
      </c>
      <c r="H754" t="s">
        <v>31</v>
      </c>
      <c r="I754" t="s">
        <v>29</v>
      </c>
      <c r="J754" s="2">
        <f>Table1[[#This Row],[Profit]]/Table1[[#This Row],[Sales]]*100</f>
        <v>43.607334728983275</v>
      </c>
      <c r="K754" t="str">
        <f>IF(Table1[[#This Row],[Sales]]&gt;=30000,"High", IF(Table1[[#This Row],[Sales]]&gt;=15000,"Medium","Low"))</f>
        <v>High</v>
      </c>
      <c r="L754" t="str">
        <f>TEXT(Table1[[#This Row],[Order_Date]],"MMM")</f>
        <v>Sep</v>
      </c>
      <c r="M754" t="str">
        <f>IF(Table1[[#This Row],[Profit]]&gt;=10000,"Excellent",IF(Table1[[#This Row],[Profit]]&gt;5000,"Good","Low"))</f>
        <v>Excellent</v>
      </c>
      <c r="N754" t="str">
        <f>TEXT(Table1[[#This Row],[Order_Date]],"YYYY")</f>
        <v>2025</v>
      </c>
    </row>
    <row r="755" spans="1:14" x14ac:dyDescent="0.25">
      <c r="A755" s="1">
        <v>46114</v>
      </c>
      <c r="B755" t="s">
        <v>26</v>
      </c>
      <c r="C755" t="s">
        <v>36</v>
      </c>
      <c r="D755">
        <v>40269</v>
      </c>
      <c r="E755">
        <v>29971</v>
      </c>
      <c r="F755">
        <v>10298</v>
      </c>
      <c r="G755" t="s">
        <v>27</v>
      </c>
      <c r="H755" t="s">
        <v>78</v>
      </c>
      <c r="I755" t="s">
        <v>24</v>
      </c>
      <c r="J755" s="2">
        <f>Table1[[#This Row],[Profit]]/Table1[[#This Row],[Sales]]*100</f>
        <v>25.57302143087735</v>
      </c>
      <c r="K755" t="str">
        <f>IF(Table1[[#This Row],[Sales]]&gt;=30000,"High", IF(Table1[[#This Row],[Sales]]&gt;=15000,"Medium","Low"))</f>
        <v>High</v>
      </c>
      <c r="L755" t="str">
        <f>TEXT(Table1[[#This Row],[Order_Date]],"MMM")</f>
        <v>Apr</v>
      </c>
      <c r="M755" t="str">
        <f>IF(Table1[[#This Row],[Profit]]&gt;=10000,"Excellent",IF(Table1[[#This Row],[Profit]]&gt;5000,"Good","Low"))</f>
        <v>Excellent</v>
      </c>
      <c r="N755" t="str">
        <f>TEXT(Table1[[#This Row],[Order_Date]],"YYYY")</f>
        <v>2026</v>
      </c>
    </row>
    <row r="756" spans="1:14" x14ac:dyDescent="0.25">
      <c r="A756" s="1">
        <v>45712</v>
      </c>
      <c r="B756" t="s">
        <v>26</v>
      </c>
      <c r="C756" t="s">
        <v>12</v>
      </c>
      <c r="D756">
        <v>42605</v>
      </c>
      <c r="E756">
        <v>31363</v>
      </c>
      <c r="F756">
        <v>11242</v>
      </c>
      <c r="G756" t="s">
        <v>27</v>
      </c>
      <c r="H756" t="s">
        <v>28</v>
      </c>
      <c r="I756" t="s">
        <v>29</v>
      </c>
      <c r="J756" s="2">
        <f>Table1[[#This Row],[Profit]]/Table1[[#This Row],[Sales]]*100</f>
        <v>26.386574345734072</v>
      </c>
      <c r="K756" t="str">
        <f>IF(Table1[[#This Row],[Sales]]&gt;=30000,"High", IF(Table1[[#This Row],[Sales]]&gt;=15000,"Medium","Low"))</f>
        <v>High</v>
      </c>
      <c r="L756" t="str">
        <f>TEXT(Table1[[#This Row],[Order_Date]],"MMM")</f>
        <v>Feb</v>
      </c>
      <c r="M756" t="str">
        <f>IF(Table1[[#This Row],[Profit]]&gt;=10000,"Excellent",IF(Table1[[#This Row],[Profit]]&gt;5000,"Good","Low"))</f>
        <v>Excellent</v>
      </c>
      <c r="N756" t="str">
        <f>TEXT(Table1[[#This Row],[Order_Date]],"YYYY")</f>
        <v>2025</v>
      </c>
    </row>
    <row r="757" spans="1:14" x14ac:dyDescent="0.25">
      <c r="A757" s="1">
        <v>46144</v>
      </c>
      <c r="B757" t="s">
        <v>44</v>
      </c>
      <c r="C757" t="s">
        <v>18</v>
      </c>
      <c r="D757">
        <v>24671</v>
      </c>
      <c r="E757">
        <v>14849</v>
      </c>
      <c r="F757">
        <v>9822</v>
      </c>
      <c r="G757" t="s">
        <v>38</v>
      </c>
      <c r="H757" t="s">
        <v>34</v>
      </c>
      <c r="I757" t="s">
        <v>53</v>
      </c>
      <c r="J757" s="2">
        <f>Table1[[#This Row],[Profit]]/Table1[[#This Row],[Sales]]*100</f>
        <v>39.811924932106521</v>
      </c>
      <c r="K757" t="str">
        <f>IF(Table1[[#This Row],[Sales]]&gt;=30000,"High", IF(Table1[[#This Row],[Sales]]&gt;=15000,"Medium","Low"))</f>
        <v>Medium</v>
      </c>
      <c r="L757" t="str">
        <f>TEXT(Table1[[#This Row],[Order_Date]],"MMM")</f>
        <v>May</v>
      </c>
      <c r="M757" t="str">
        <f>IF(Table1[[#This Row],[Profit]]&gt;=10000,"Excellent",IF(Table1[[#This Row],[Profit]]&gt;5000,"Good","Low"))</f>
        <v>Good</v>
      </c>
      <c r="N757" t="str">
        <f>TEXT(Table1[[#This Row],[Order_Date]],"YYYY")</f>
        <v>2026</v>
      </c>
    </row>
    <row r="758" spans="1:14" x14ac:dyDescent="0.25">
      <c r="A758" s="1">
        <v>45199</v>
      </c>
      <c r="B758" t="s">
        <v>17</v>
      </c>
      <c r="C758" t="s">
        <v>12</v>
      </c>
      <c r="D758">
        <v>25310</v>
      </c>
      <c r="E758">
        <v>12200</v>
      </c>
      <c r="F758">
        <v>13110</v>
      </c>
      <c r="G758" t="s">
        <v>38</v>
      </c>
      <c r="H758" t="s">
        <v>45</v>
      </c>
      <c r="I758" t="s">
        <v>42</v>
      </c>
      <c r="J758" s="2">
        <f>Table1[[#This Row],[Profit]]/Table1[[#This Row],[Sales]]*100</f>
        <v>51.797708415645992</v>
      </c>
      <c r="K758" t="str">
        <f>IF(Table1[[#This Row],[Sales]]&gt;=30000,"High", IF(Table1[[#This Row],[Sales]]&gt;=15000,"Medium","Low"))</f>
        <v>Medium</v>
      </c>
      <c r="L758" t="str">
        <f>TEXT(Table1[[#This Row],[Order_Date]],"MMM")</f>
        <v>Sep</v>
      </c>
      <c r="M758" t="str">
        <f>IF(Table1[[#This Row],[Profit]]&gt;=10000,"Excellent",IF(Table1[[#This Row],[Profit]]&gt;5000,"Good","Low"))</f>
        <v>Excellent</v>
      </c>
      <c r="N758" t="str">
        <f>TEXT(Table1[[#This Row],[Order_Date]],"YYYY")</f>
        <v>2023</v>
      </c>
    </row>
    <row r="759" spans="1:14" x14ac:dyDescent="0.25">
      <c r="A759" s="1">
        <v>46177</v>
      </c>
      <c r="B759" t="s">
        <v>17</v>
      </c>
      <c r="C759" t="s">
        <v>12</v>
      </c>
      <c r="D759">
        <v>32373</v>
      </c>
      <c r="E759">
        <v>21979</v>
      </c>
      <c r="F759">
        <v>10394</v>
      </c>
      <c r="G759" t="s">
        <v>27</v>
      </c>
      <c r="H759" t="s">
        <v>14</v>
      </c>
      <c r="I759" t="s">
        <v>24</v>
      </c>
      <c r="J759" s="2">
        <f>Table1[[#This Row],[Profit]]/Table1[[#This Row],[Sales]]*100</f>
        <v>32.107002749204582</v>
      </c>
      <c r="K759" t="str">
        <f>IF(Table1[[#This Row],[Sales]]&gt;=30000,"High", IF(Table1[[#This Row],[Sales]]&gt;=15000,"Medium","Low"))</f>
        <v>High</v>
      </c>
      <c r="L759" t="str">
        <f>TEXT(Table1[[#This Row],[Order_Date]],"MMM")</f>
        <v>Jun</v>
      </c>
      <c r="M759" t="str">
        <f>IF(Table1[[#This Row],[Profit]]&gt;=10000,"Excellent",IF(Table1[[#This Row],[Profit]]&gt;5000,"Good","Low"))</f>
        <v>Excellent</v>
      </c>
      <c r="N759" t="str">
        <f>TEXT(Table1[[#This Row],[Order_Date]],"YYYY")</f>
        <v>2026</v>
      </c>
    </row>
    <row r="760" spans="1:14" x14ac:dyDescent="0.25">
      <c r="A760" s="1">
        <v>45681</v>
      </c>
      <c r="B760" t="s">
        <v>44</v>
      </c>
      <c r="C760" t="s">
        <v>41</v>
      </c>
      <c r="D760">
        <v>32252</v>
      </c>
      <c r="E760">
        <v>13487</v>
      </c>
      <c r="F760">
        <v>18765</v>
      </c>
      <c r="G760" t="s">
        <v>27</v>
      </c>
      <c r="H760" t="s">
        <v>60</v>
      </c>
      <c r="I760" t="s">
        <v>15</v>
      </c>
      <c r="J760" s="2">
        <f>Table1[[#This Row],[Profit]]/Table1[[#This Row],[Sales]]*100</f>
        <v>58.182438298400093</v>
      </c>
      <c r="K760" t="str">
        <f>IF(Table1[[#This Row],[Sales]]&gt;=30000,"High", IF(Table1[[#This Row],[Sales]]&gt;=15000,"Medium","Low"))</f>
        <v>High</v>
      </c>
      <c r="L760" t="str">
        <f>TEXT(Table1[[#This Row],[Order_Date]],"MMM")</f>
        <v>Jan</v>
      </c>
      <c r="M760" t="str">
        <f>IF(Table1[[#This Row],[Profit]]&gt;=10000,"Excellent",IF(Table1[[#This Row],[Profit]]&gt;5000,"Good","Low"))</f>
        <v>Excellent</v>
      </c>
      <c r="N760" t="str">
        <f>TEXT(Table1[[#This Row],[Order_Date]],"YYYY")</f>
        <v>2025</v>
      </c>
    </row>
    <row r="761" spans="1:14" x14ac:dyDescent="0.25">
      <c r="A761" s="1">
        <v>45602</v>
      </c>
      <c r="B761" t="s">
        <v>22</v>
      </c>
      <c r="C761" t="s">
        <v>36</v>
      </c>
      <c r="D761">
        <v>10855</v>
      </c>
      <c r="E761">
        <v>1249</v>
      </c>
      <c r="F761">
        <v>9606</v>
      </c>
      <c r="G761" t="s">
        <v>38</v>
      </c>
      <c r="H761" t="s">
        <v>31</v>
      </c>
      <c r="I761" t="s">
        <v>42</v>
      </c>
      <c r="J761" s="2">
        <f>Table1[[#This Row],[Profit]]/Table1[[#This Row],[Sales]]*100</f>
        <v>88.493781667434362</v>
      </c>
      <c r="K761" t="str">
        <f>IF(Table1[[#This Row],[Sales]]&gt;=30000,"High", IF(Table1[[#This Row],[Sales]]&gt;=15000,"Medium","Low"))</f>
        <v>Low</v>
      </c>
      <c r="L761" t="str">
        <f>TEXT(Table1[[#This Row],[Order_Date]],"MMM")</f>
        <v>Nov</v>
      </c>
      <c r="M761" t="str">
        <f>IF(Table1[[#This Row],[Profit]]&gt;=10000,"Excellent",IF(Table1[[#This Row],[Profit]]&gt;5000,"Good","Low"))</f>
        <v>Good</v>
      </c>
      <c r="N761" t="str">
        <f>TEXT(Table1[[#This Row],[Order_Date]],"YYYY")</f>
        <v>2024</v>
      </c>
    </row>
    <row r="762" spans="1:14" x14ac:dyDescent="0.25">
      <c r="A762" s="1">
        <v>45752</v>
      </c>
      <c r="B762" t="s">
        <v>26</v>
      </c>
      <c r="C762" t="s">
        <v>12</v>
      </c>
      <c r="D762">
        <v>23818</v>
      </c>
      <c r="E762">
        <v>20816</v>
      </c>
      <c r="F762">
        <v>3002</v>
      </c>
      <c r="G762" t="s">
        <v>38</v>
      </c>
      <c r="H762" t="s">
        <v>23</v>
      </c>
      <c r="I762" t="s">
        <v>42</v>
      </c>
      <c r="J762" s="2">
        <f>Table1[[#This Row],[Profit]]/Table1[[#This Row],[Sales]]*100</f>
        <v>12.603913006969519</v>
      </c>
      <c r="K762" t="str">
        <f>IF(Table1[[#This Row],[Sales]]&gt;=30000,"High", IF(Table1[[#This Row],[Sales]]&gt;=15000,"Medium","Low"))</f>
        <v>Medium</v>
      </c>
      <c r="L762" t="str">
        <f>TEXT(Table1[[#This Row],[Order_Date]],"MMM")</f>
        <v>Apr</v>
      </c>
      <c r="M762" t="str">
        <f>IF(Table1[[#This Row],[Profit]]&gt;=10000,"Excellent",IF(Table1[[#This Row],[Profit]]&gt;5000,"Good","Low"))</f>
        <v>Low</v>
      </c>
      <c r="N762" t="str">
        <f>TEXT(Table1[[#This Row],[Order_Date]],"YYYY")</f>
        <v>2025</v>
      </c>
    </row>
    <row r="763" spans="1:14" x14ac:dyDescent="0.25">
      <c r="A763" s="1">
        <v>45504</v>
      </c>
      <c r="B763" t="s">
        <v>26</v>
      </c>
      <c r="C763" t="s">
        <v>41</v>
      </c>
      <c r="D763">
        <v>29517</v>
      </c>
      <c r="E763">
        <v>14044</v>
      </c>
      <c r="F763">
        <v>15473</v>
      </c>
      <c r="G763" t="s">
        <v>13</v>
      </c>
      <c r="H763" t="s">
        <v>20</v>
      </c>
      <c r="I763" t="s">
        <v>24</v>
      </c>
      <c r="J763" s="2">
        <f>Table1[[#This Row],[Profit]]/Table1[[#This Row],[Sales]]*100</f>
        <v>52.420638953823214</v>
      </c>
      <c r="K763" t="str">
        <f>IF(Table1[[#This Row],[Sales]]&gt;=30000,"High", IF(Table1[[#This Row],[Sales]]&gt;=15000,"Medium","Low"))</f>
        <v>Medium</v>
      </c>
      <c r="L763" t="str">
        <f>TEXT(Table1[[#This Row],[Order_Date]],"MMM")</f>
        <v>Jul</v>
      </c>
      <c r="M763" t="str">
        <f>IF(Table1[[#This Row],[Profit]]&gt;=10000,"Excellent",IF(Table1[[#This Row],[Profit]]&gt;5000,"Good","Low"))</f>
        <v>Excellent</v>
      </c>
      <c r="N763" t="str">
        <f>TEXT(Table1[[#This Row],[Order_Date]],"YYYY")</f>
        <v>2024</v>
      </c>
    </row>
    <row r="764" spans="1:14" x14ac:dyDescent="0.25">
      <c r="A764" s="1">
        <v>45653</v>
      </c>
      <c r="B764" t="s">
        <v>11</v>
      </c>
      <c r="C764" t="s">
        <v>12</v>
      </c>
      <c r="D764">
        <v>35777</v>
      </c>
      <c r="E764">
        <v>28868</v>
      </c>
      <c r="F764">
        <v>6909</v>
      </c>
      <c r="G764" t="s">
        <v>13</v>
      </c>
      <c r="H764" t="s">
        <v>14</v>
      </c>
      <c r="I764" t="s">
        <v>42</v>
      </c>
      <c r="J764" s="2">
        <f>Table1[[#This Row],[Profit]]/Table1[[#This Row],[Sales]]*100</f>
        <v>19.311289375855996</v>
      </c>
      <c r="K764" t="str">
        <f>IF(Table1[[#This Row],[Sales]]&gt;=30000,"High", IF(Table1[[#This Row],[Sales]]&gt;=15000,"Medium","Low"))</f>
        <v>High</v>
      </c>
      <c r="L764" t="str">
        <f>TEXT(Table1[[#This Row],[Order_Date]],"MMM")</f>
        <v>Dec</v>
      </c>
      <c r="M764" t="str">
        <f>IF(Table1[[#This Row],[Profit]]&gt;=10000,"Excellent",IF(Table1[[#This Row],[Profit]]&gt;5000,"Good","Low"))</f>
        <v>Good</v>
      </c>
      <c r="N764" t="str">
        <f>TEXT(Table1[[#This Row],[Order_Date]],"YYYY")</f>
        <v>2024</v>
      </c>
    </row>
    <row r="765" spans="1:14" x14ac:dyDescent="0.25">
      <c r="A765" s="1">
        <v>45118</v>
      </c>
      <c r="B765" t="s">
        <v>11</v>
      </c>
      <c r="C765" t="s">
        <v>41</v>
      </c>
      <c r="D765">
        <v>47817</v>
      </c>
      <c r="E765">
        <v>46956</v>
      </c>
      <c r="F765">
        <v>861</v>
      </c>
      <c r="G765" t="s">
        <v>19</v>
      </c>
      <c r="H765" t="s">
        <v>60</v>
      </c>
      <c r="I765" t="s">
        <v>29</v>
      </c>
      <c r="J765" s="2">
        <f>Table1[[#This Row],[Profit]]/Table1[[#This Row],[Sales]]*100</f>
        <v>1.8006148440931049</v>
      </c>
      <c r="K765" t="str">
        <f>IF(Table1[[#This Row],[Sales]]&gt;=30000,"High", IF(Table1[[#This Row],[Sales]]&gt;=15000,"Medium","Low"))</f>
        <v>High</v>
      </c>
      <c r="L765" t="str">
        <f>TEXT(Table1[[#This Row],[Order_Date]],"MMM")</f>
        <v>Jul</v>
      </c>
      <c r="M765" t="str">
        <f>IF(Table1[[#This Row],[Profit]]&gt;=10000,"Excellent",IF(Table1[[#This Row],[Profit]]&gt;5000,"Good","Low"))</f>
        <v>Low</v>
      </c>
      <c r="N765" t="str">
        <f>TEXT(Table1[[#This Row],[Order_Date]],"YYYY")</f>
        <v>2023</v>
      </c>
    </row>
    <row r="766" spans="1:14" x14ac:dyDescent="0.25">
      <c r="A766" s="1">
        <v>45917</v>
      </c>
      <c r="B766" t="s">
        <v>26</v>
      </c>
      <c r="C766" t="s">
        <v>33</v>
      </c>
      <c r="D766">
        <v>5534</v>
      </c>
      <c r="E766">
        <v>3395</v>
      </c>
      <c r="F766">
        <v>2139</v>
      </c>
      <c r="G766" t="s">
        <v>38</v>
      </c>
      <c r="H766" t="s">
        <v>28</v>
      </c>
      <c r="I766" t="s">
        <v>15</v>
      </c>
      <c r="J766" s="2">
        <f>Table1[[#This Row],[Profit]]/Table1[[#This Row],[Sales]]*100</f>
        <v>38.651969642211782</v>
      </c>
      <c r="K766" t="str">
        <f>IF(Table1[[#This Row],[Sales]]&gt;=30000,"High", IF(Table1[[#This Row],[Sales]]&gt;=15000,"Medium","Low"))</f>
        <v>Low</v>
      </c>
      <c r="L766" t="str">
        <f>TEXT(Table1[[#This Row],[Order_Date]],"MMM")</f>
        <v>Sep</v>
      </c>
      <c r="M766" t="str">
        <f>IF(Table1[[#This Row],[Profit]]&gt;=10000,"Excellent",IF(Table1[[#This Row],[Profit]]&gt;5000,"Good","Low"))</f>
        <v>Low</v>
      </c>
      <c r="N766" t="str">
        <f>TEXT(Table1[[#This Row],[Order_Date]],"YYYY")</f>
        <v>2025</v>
      </c>
    </row>
    <row r="767" spans="1:14" x14ac:dyDescent="0.25">
      <c r="A767" s="1">
        <v>46193</v>
      </c>
      <c r="B767" t="s">
        <v>17</v>
      </c>
      <c r="C767" t="s">
        <v>18</v>
      </c>
      <c r="D767">
        <v>30312</v>
      </c>
      <c r="E767">
        <v>20960</v>
      </c>
      <c r="F767">
        <v>9352</v>
      </c>
      <c r="G767" t="s">
        <v>38</v>
      </c>
      <c r="H767" t="s">
        <v>78</v>
      </c>
      <c r="I767" t="s">
        <v>15</v>
      </c>
      <c r="J767" s="2">
        <f>Table1[[#This Row],[Profit]]/Table1[[#This Row],[Sales]]*100</f>
        <v>30.852467669569805</v>
      </c>
      <c r="K767" t="str">
        <f>IF(Table1[[#This Row],[Sales]]&gt;=30000,"High", IF(Table1[[#This Row],[Sales]]&gt;=15000,"Medium","Low"))</f>
        <v>High</v>
      </c>
      <c r="L767" t="str">
        <f>TEXT(Table1[[#This Row],[Order_Date]],"MMM")</f>
        <v>Jun</v>
      </c>
      <c r="M767" t="str">
        <f>IF(Table1[[#This Row],[Profit]]&gt;=10000,"Excellent",IF(Table1[[#This Row],[Profit]]&gt;5000,"Good","Low"))</f>
        <v>Good</v>
      </c>
      <c r="N767" t="str">
        <f>TEXT(Table1[[#This Row],[Order_Date]],"YYYY")</f>
        <v>2026</v>
      </c>
    </row>
    <row r="768" spans="1:14" x14ac:dyDescent="0.25">
      <c r="A768" s="1">
        <v>45892</v>
      </c>
      <c r="B768" t="s">
        <v>11</v>
      </c>
      <c r="C768" t="s">
        <v>18</v>
      </c>
      <c r="D768">
        <v>40806</v>
      </c>
      <c r="E768">
        <v>21129</v>
      </c>
      <c r="F768">
        <v>19677</v>
      </c>
      <c r="G768" t="s">
        <v>13</v>
      </c>
      <c r="H768" t="s">
        <v>45</v>
      </c>
      <c r="I768" t="s">
        <v>15</v>
      </c>
      <c r="J768" s="2">
        <f>Table1[[#This Row],[Profit]]/Table1[[#This Row],[Sales]]*100</f>
        <v>48.220849875018381</v>
      </c>
      <c r="K768" t="str">
        <f>IF(Table1[[#This Row],[Sales]]&gt;=30000,"High", IF(Table1[[#This Row],[Sales]]&gt;=15000,"Medium","Low"))</f>
        <v>High</v>
      </c>
      <c r="L768" t="str">
        <f>TEXT(Table1[[#This Row],[Order_Date]],"MMM")</f>
        <v>Aug</v>
      </c>
      <c r="M768" t="str">
        <f>IF(Table1[[#This Row],[Profit]]&gt;=10000,"Excellent",IF(Table1[[#This Row],[Profit]]&gt;5000,"Good","Low"))</f>
        <v>Excellent</v>
      </c>
      <c r="N768" t="str">
        <f>TEXT(Table1[[#This Row],[Order_Date]],"YYYY")</f>
        <v>2025</v>
      </c>
    </row>
    <row r="769" spans="1:14" x14ac:dyDescent="0.25">
      <c r="A769" s="1">
        <v>45624</v>
      </c>
      <c r="B769" t="s">
        <v>26</v>
      </c>
      <c r="C769" t="s">
        <v>36</v>
      </c>
      <c r="D769">
        <v>18819</v>
      </c>
      <c r="E769">
        <v>5548</v>
      </c>
      <c r="F769">
        <v>13271</v>
      </c>
      <c r="G769" t="s">
        <v>38</v>
      </c>
      <c r="H769" t="s">
        <v>63</v>
      </c>
      <c r="I769" t="s">
        <v>53</v>
      </c>
      <c r="J769" s="2">
        <f>Table1[[#This Row],[Profit]]/Table1[[#This Row],[Sales]]*100</f>
        <v>70.519156171953881</v>
      </c>
      <c r="K769" t="str">
        <f>IF(Table1[[#This Row],[Sales]]&gt;=30000,"High", IF(Table1[[#This Row],[Sales]]&gt;=15000,"Medium","Low"))</f>
        <v>Medium</v>
      </c>
      <c r="L769" t="str">
        <f>TEXT(Table1[[#This Row],[Order_Date]],"MMM")</f>
        <v>Nov</v>
      </c>
      <c r="M769" t="str">
        <f>IF(Table1[[#This Row],[Profit]]&gt;=10000,"Excellent",IF(Table1[[#This Row],[Profit]]&gt;5000,"Good","Low"))</f>
        <v>Excellent</v>
      </c>
      <c r="N769" t="str">
        <f>TEXT(Table1[[#This Row],[Order_Date]],"YYYY")</f>
        <v>2024</v>
      </c>
    </row>
    <row r="770" spans="1:14" x14ac:dyDescent="0.25">
      <c r="A770" s="1">
        <v>45474</v>
      </c>
      <c r="B770" t="s">
        <v>17</v>
      </c>
      <c r="C770" t="s">
        <v>41</v>
      </c>
      <c r="D770">
        <v>9832</v>
      </c>
      <c r="E770">
        <v>2262</v>
      </c>
      <c r="F770">
        <v>7570</v>
      </c>
      <c r="G770" t="s">
        <v>38</v>
      </c>
      <c r="H770" t="s">
        <v>63</v>
      </c>
      <c r="I770" t="s">
        <v>24</v>
      </c>
      <c r="J770" s="2">
        <f>Table1[[#This Row],[Profit]]/Table1[[#This Row],[Sales]]*100</f>
        <v>76.993490642799017</v>
      </c>
      <c r="K770" t="str">
        <f>IF(Table1[[#This Row],[Sales]]&gt;=30000,"High", IF(Table1[[#This Row],[Sales]]&gt;=15000,"Medium","Low"))</f>
        <v>Low</v>
      </c>
      <c r="L770" t="str">
        <f>TEXT(Table1[[#This Row],[Order_Date]],"MMM")</f>
        <v>Jul</v>
      </c>
      <c r="M770" t="str">
        <f>IF(Table1[[#This Row],[Profit]]&gt;=10000,"Excellent",IF(Table1[[#This Row],[Profit]]&gt;5000,"Good","Low"))</f>
        <v>Good</v>
      </c>
      <c r="N770" t="str">
        <f>TEXT(Table1[[#This Row],[Order_Date]],"YYYY")</f>
        <v>2024</v>
      </c>
    </row>
    <row r="771" spans="1:14" x14ac:dyDescent="0.25">
      <c r="A771" s="1">
        <v>46208</v>
      </c>
      <c r="B771" t="s">
        <v>11</v>
      </c>
      <c r="C771" t="s">
        <v>36</v>
      </c>
      <c r="D771">
        <v>19064</v>
      </c>
      <c r="E771">
        <v>12072</v>
      </c>
      <c r="F771">
        <v>6992</v>
      </c>
      <c r="G771" t="s">
        <v>13</v>
      </c>
      <c r="H771" t="s">
        <v>60</v>
      </c>
      <c r="I771" t="s">
        <v>29</v>
      </c>
      <c r="J771" s="2">
        <f>Table1[[#This Row],[Profit]]/Table1[[#This Row],[Sales]]*100</f>
        <v>36.676458245908513</v>
      </c>
      <c r="K771" t="str">
        <f>IF(Table1[[#This Row],[Sales]]&gt;=30000,"High", IF(Table1[[#This Row],[Sales]]&gt;=15000,"Medium","Low"))</f>
        <v>Medium</v>
      </c>
      <c r="L771" t="str">
        <f>TEXT(Table1[[#This Row],[Order_Date]],"MMM")</f>
        <v>Jul</v>
      </c>
      <c r="M771" t="str">
        <f>IF(Table1[[#This Row],[Profit]]&gt;=10000,"Excellent",IF(Table1[[#This Row],[Profit]]&gt;5000,"Good","Low"))</f>
        <v>Good</v>
      </c>
      <c r="N771" t="str">
        <f>TEXT(Table1[[#This Row],[Order_Date]],"YYYY")</f>
        <v>2026</v>
      </c>
    </row>
    <row r="772" spans="1:14" x14ac:dyDescent="0.25">
      <c r="A772" s="1">
        <v>45540</v>
      </c>
      <c r="B772" t="s">
        <v>11</v>
      </c>
      <c r="C772" t="s">
        <v>36</v>
      </c>
      <c r="D772">
        <v>13792</v>
      </c>
      <c r="E772">
        <v>6315</v>
      </c>
      <c r="F772">
        <v>7477</v>
      </c>
      <c r="G772" t="s">
        <v>19</v>
      </c>
      <c r="H772" t="s">
        <v>45</v>
      </c>
      <c r="I772" t="s">
        <v>53</v>
      </c>
      <c r="J772" s="2">
        <f>Table1[[#This Row],[Profit]]/Table1[[#This Row],[Sales]]*100</f>
        <v>54.212587006960554</v>
      </c>
      <c r="K772" t="str">
        <f>IF(Table1[[#This Row],[Sales]]&gt;=30000,"High", IF(Table1[[#This Row],[Sales]]&gt;=15000,"Medium","Low"))</f>
        <v>Low</v>
      </c>
      <c r="L772" t="str">
        <f>TEXT(Table1[[#This Row],[Order_Date]],"MMM")</f>
        <v>Sep</v>
      </c>
      <c r="M772" t="str">
        <f>IF(Table1[[#This Row],[Profit]]&gt;=10000,"Excellent",IF(Table1[[#This Row],[Profit]]&gt;5000,"Good","Low"))</f>
        <v>Good</v>
      </c>
      <c r="N772" t="str">
        <f>TEXT(Table1[[#This Row],[Order_Date]],"YYYY")</f>
        <v>2024</v>
      </c>
    </row>
    <row r="773" spans="1:14" x14ac:dyDescent="0.25">
      <c r="A773" s="1">
        <v>46203</v>
      </c>
      <c r="B773" t="s">
        <v>44</v>
      </c>
      <c r="C773" t="s">
        <v>12</v>
      </c>
      <c r="D773">
        <v>45030</v>
      </c>
      <c r="E773">
        <v>33838</v>
      </c>
      <c r="F773">
        <v>11192</v>
      </c>
      <c r="G773" t="s">
        <v>13</v>
      </c>
      <c r="H773" t="s">
        <v>31</v>
      </c>
      <c r="I773" t="s">
        <v>53</v>
      </c>
      <c r="J773" s="2">
        <f>Table1[[#This Row],[Profit]]/Table1[[#This Row],[Sales]]*100</f>
        <v>24.854541416833221</v>
      </c>
      <c r="K773" t="str">
        <f>IF(Table1[[#This Row],[Sales]]&gt;=30000,"High", IF(Table1[[#This Row],[Sales]]&gt;=15000,"Medium","Low"))</f>
        <v>High</v>
      </c>
      <c r="L773" t="str">
        <f>TEXT(Table1[[#This Row],[Order_Date]],"MMM")</f>
        <v>Jun</v>
      </c>
      <c r="M773" t="str">
        <f>IF(Table1[[#This Row],[Profit]]&gt;=10000,"Excellent",IF(Table1[[#This Row],[Profit]]&gt;5000,"Good","Low"))</f>
        <v>Excellent</v>
      </c>
      <c r="N773" t="str">
        <f>TEXT(Table1[[#This Row],[Order_Date]],"YYYY")</f>
        <v>2026</v>
      </c>
    </row>
    <row r="774" spans="1:14" x14ac:dyDescent="0.25">
      <c r="A774" s="1">
        <v>45648</v>
      </c>
      <c r="B774" t="s">
        <v>44</v>
      </c>
      <c r="C774" t="s">
        <v>12</v>
      </c>
      <c r="D774">
        <v>45123</v>
      </c>
      <c r="E774">
        <v>38963</v>
      </c>
      <c r="F774">
        <v>6160</v>
      </c>
      <c r="G774" t="s">
        <v>38</v>
      </c>
      <c r="H774" t="s">
        <v>45</v>
      </c>
      <c r="I774" t="s">
        <v>29</v>
      </c>
      <c r="J774" s="2">
        <f>Table1[[#This Row],[Profit]]/Table1[[#This Row],[Sales]]*100</f>
        <v>13.651574585023161</v>
      </c>
      <c r="K774" t="str">
        <f>IF(Table1[[#This Row],[Sales]]&gt;=30000,"High", IF(Table1[[#This Row],[Sales]]&gt;=15000,"Medium","Low"))</f>
        <v>High</v>
      </c>
      <c r="L774" t="str">
        <f>TEXT(Table1[[#This Row],[Order_Date]],"MMM")</f>
        <v>Dec</v>
      </c>
      <c r="M774" t="str">
        <f>IF(Table1[[#This Row],[Profit]]&gt;=10000,"Excellent",IF(Table1[[#This Row],[Profit]]&gt;5000,"Good","Low"))</f>
        <v>Good</v>
      </c>
      <c r="N774" t="str">
        <f>TEXT(Table1[[#This Row],[Order_Date]],"YYYY")</f>
        <v>2024</v>
      </c>
    </row>
    <row r="775" spans="1:14" x14ac:dyDescent="0.25">
      <c r="A775" s="1">
        <v>46166</v>
      </c>
      <c r="B775" t="s">
        <v>22</v>
      </c>
      <c r="C775" t="s">
        <v>36</v>
      </c>
      <c r="D775">
        <v>30788</v>
      </c>
      <c r="E775">
        <v>14827</v>
      </c>
      <c r="F775">
        <v>15961</v>
      </c>
      <c r="G775" t="s">
        <v>19</v>
      </c>
      <c r="H775" t="s">
        <v>14</v>
      </c>
      <c r="I775" t="s">
        <v>42</v>
      </c>
      <c r="J775" s="2">
        <f>Table1[[#This Row],[Profit]]/Table1[[#This Row],[Sales]]*100</f>
        <v>51.841626607769264</v>
      </c>
      <c r="K775" t="str">
        <f>IF(Table1[[#This Row],[Sales]]&gt;=30000,"High", IF(Table1[[#This Row],[Sales]]&gt;=15000,"Medium","Low"))</f>
        <v>High</v>
      </c>
      <c r="L775" t="str">
        <f>TEXT(Table1[[#This Row],[Order_Date]],"MMM")</f>
        <v>May</v>
      </c>
      <c r="M775" t="str">
        <f>IF(Table1[[#This Row],[Profit]]&gt;=10000,"Excellent",IF(Table1[[#This Row],[Profit]]&gt;5000,"Good","Low"))</f>
        <v>Excellent</v>
      </c>
      <c r="N775" t="str">
        <f>TEXT(Table1[[#This Row],[Order_Date]],"YYYY")</f>
        <v>2026</v>
      </c>
    </row>
    <row r="776" spans="1:14" x14ac:dyDescent="0.25">
      <c r="A776" s="1">
        <v>45653</v>
      </c>
      <c r="B776" t="s">
        <v>11</v>
      </c>
      <c r="C776" t="s">
        <v>41</v>
      </c>
      <c r="D776">
        <v>20372</v>
      </c>
      <c r="E776">
        <v>9604</v>
      </c>
      <c r="F776">
        <v>10768</v>
      </c>
      <c r="G776" t="s">
        <v>19</v>
      </c>
      <c r="H776" t="s">
        <v>78</v>
      </c>
      <c r="I776" t="s">
        <v>42</v>
      </c>
      <c r="J776" s="2">
        <f>Table1[[#This Row],[Profit]]/Table1[[#This Row],[Sales]]*100</f>
        <v>52.856862360102099</v>
      </c>
      <c r="K776" t="str">
        <f>IF(Table1[[#This Row],[Sales]]&gt;=30000,"High", IF(Table1[[#This Row],[Sales]]&gt;=15000,"Medium","Low"))</f>
        <v>Medium</v>
      </c>
      <c r="L776" t="str">
        <f>TEXT(Table1[[#This Row],[Order_Date]],"MMM")</f>
        <v>Dec</v>
      </c>
      <c r="M776" t="str">
        <f>IF(Table1[[#This Row],[Profit]]&gt;=10000,"Excellent",IF(Table1[[#This Row],[Profit]]&gt;5000,"Good","Low"))</f>
        <v>Excellent</v>
      </c>
      <c r="N776" t="str">
        <f>TEXT(Table1[[#This Row],[Order_Date]],"YYYY")</f>
        <v>2024</v>
      </c>
    </row>
    <row r="777" spans="1:14" x14ac:dyDescent="0.25">
      <c r="A777" s="1">
        <v>45758</v>
      </c>
      <c r="B777" t="s">
        <v>17</v>
      </c>
      <c r="C777" t="s">
        <v>41</v>
      </c>
      <c r="D777">
        <v>8483</v>
      </c>
      <c r="E777">
        <v>5589</v>
      </c>
      <c r="F777">
        <v>2894</v>
      </c>
      <c r="G777" t="s">
        <v>19</v>
      </c>
      <c r="H777" t="s">
        <v>23</v>
      </c>
      <c r="I777" t="s">
        <v>15</v>
      </c>
      <c r="J777" s="2">
        <f>Table1[[#This Row],[Profit]]/Table1[[#This Row],[Sales]]*100</f>
        <v>34.115289402334085</v>
      </c>
      <c r="K777" t="str">
        <f>IF(Table1[[#This Row],[Sales]]&gt;=30000,"High", IF(Table1[[#This Row],[Sales]]&gt;=15000,"Medium","Low"))</f>
        <v>Low</v>
      </c>
      <c r="L777" t="str">
        <f>TEXT(Table1[[#This Row],[Order_Date]],"MMM")</f>
        <v>Apr</v>
      </c>
      <c r="M777" t="str">
        <f>IF(Table1[[#This Row],[Profit]]&gt;=10000,"Excellent",IF(Table1[[#This Row],[Profit]]&gt;5000,"Good","Low"))</f>
        <v>Low</v>
      </c>
      <c r="N777" t="str">
        <f>TEXT(Table1[[#This Row],[Order_Date]],"YYYY")</f>
        <v>2025</v>
      </c>
    </row>
    <row r="778" spans="1:14" x14ac:dyDescent="0.25">
      <c r="A778" s="1">
        <v>46166</v>
      </c>
      <c r="B778" t="s">
        <v>44</v>
      </c>
      <c r="C778" t="s">
        <v>41</v>
      </c>
      <c r="D778">
        <v>27840</v>
      </c>
      <c r="E778">
        <v>17799</v>
      </c>
      <c r="F778">
        <v>10041</v>
      </c>
      <c r="G778" t="s">
        <v>27</v>
      </c>
      <c r="H778" t="s">
        <v>31</v>
      </c>
      <c r="I778" t="s">
        <v>53</v>
      </c>
      <c r="J778" s="2">
        <f>Table1[[#This Row],[Profit]]/Table1[[#This Row],[Sales]]*100</f>
        <v>36.066810344827587</v>
      </c>
      <c r="K778" t="str">
        <f>IF(Table1[[#This Row],[Sales]]&gt;=30000,"High", IF(Table1[[#This Row],[Sales]]&gt;=15000,"Medium","Low"))</f>
        <v>Medium</v>
      </c>
      <c r="L778" t="str">
        <f>TEXT(Table1[[#This Row],[Order_Date]],"MMM")</f>
        <v>May</v>
      </c>
      <c r="M778" t="str">
        <f>IF(Table1[[#This Row],[Profit]]&gt;=10000,"Excellent",IF(Table1[[#This Row],[Profit]]&gt;5000,"Good","Low"))</f>
        <v>Excellent</v>
      </c>
      <c r="N778" t="str">
        <f>TEXT(Table1[[#This Row],[Order_Date]],"YYYY")</f>
        <v>2026</v>
      </c>
    </row>
    <row r="779" spans="1:14" x14ac:dyDescent="0.25">
      <c r="A779" s="1">
        <v>45295</v>
      </c>
      <c r="B779" t="s">
        <v>22</v>
      </c>
      <c r="C779" t="s">
        <v>18</v>
      </c>
      <c r="D779">
        <v>39891</v>
      </c>
      <c r="E779">
        <v>21780</v>
      </c>
      <c r="F779">
        <v>18111</v>
      </c>
      <c r="G779" t="s">
        <v>38</v>
      </c>
      <c r="H779" t="s">
        <v>31</v>
      </c>
      <c r="I779" t="s">
        <v>53</v>
      </c>
      <c r="J779" s="2">
        <f>Table1[[#This Row],[Profit]]/Table1[[#This Row],[Sales]]*100</f>
        <v>45.401218319921789</v>
      </c>
      <c r="K779" t="str">
        <f>IF(Table1[[#This Row],[Sales]]&gt;=30000,"High", IF(Table1[[#This Row],[Sales]]&gt;=15000,"Medium","Low"))</f>
        <v>High</v>
      </c>
      <c r="L779" t="str">
        <f>TEXT(Table1[[#This Row],[Order_Date]],"MMM")</f>
        <v>Jan</v>
      </c>
      <c r="M779" t="str">
        <f>IF(Table1[[#This Row],[Profit]]&gt;=10000,"Excellent",IF(Table1[[#This Row],[Profit]]&gt;5000,"Good","Low"))</f>
        <v>Excellent</v>
      </c>
      <c r="N779" t="str">
        <f>TEXT(Table1[[#This Row],[Order_Date]],"YYYY")</f>
        <v>2024</v>
      </c>
    </row>
    <row r="780" spans="1:14" x14ac:dyDescent="0.25">
      <c r="A780" s="1">
        <v>46034</v>
      </c>
      <c r="B780" t="s">
        <v>22</v>
      </c>
      <c r="C780" t="s">
        <v>41</v>
      </c>
      <c r="D780">
        <v>25833</v>
      </c>
      <c r="E780">
        <v>16217</v>
      </c>
      <c r="F780">
        <v>9616</v>
      </c>
      <c r="G780" t="s">
        <v>13</v>
      </c>
      <c r="H780" t="s">
        <v>14</v>
      </c>
      <c r="I780" t="s">
        <v>15</v>
      </c>
      <c r="J780" s="2">
        <f>Table1[[#This Row],[Profit]]/Table1[[#This Row],[Sales]]*100</f>
        <v>37.223706112336934</v>
      </c>
      <c r="K780" t="str">
        <f>IF(Table1[[#This Row],[Sales]]&gt;=30000,"High", IF(Table1[[#This Row],[Sales]]&gt;=15000,"Medium","Low"))</f>
        <v>Medium</v>
      </c>
      <c r="L780" t="str">
        <f>TEXT(Table1[[#This Row],[Order_Date]],"MMM")</f>
        <v>Jan</v>
      </c>
      <c r="M780" t="str">
        <f>IF(Table1[[#This Row],[Profit]]&gt;=10000,"Excellent",IF(Table1[[#This Row],[Profit]]&gt;5000,"Good","Low"))</f>
        <v>Good</v>
      </c>
      <c r="N780" t="str">
        <f>TEXT(Table1[[#This Row],[Order_Date]],"YYYY")</f>
        <v>2026</v>
      </c>
    </row>
    <row r="781" spans="1:14" x14ac:dyDescent="0.25">
      <c r="A781" s="1">
        <v>45417</v>
      </c>
      <c r="B781" t="s">
        <v>11</v>
      </c>
      <c r="C781" t="s">
        <v>18</v>
      </c>
      <c r="D781">
        <v>23255</v>
      </c>
      <c r="E781">
        <v>5550</v>
      </c>
      <c r="F781">
        <v>17705</v>
      </c>
      <c r="G781" t="s">
        <v>38</v>
      </c>
      <c r="H781" t="s">
        <v>31</v>
      </c>
      <c r="I781" t="s">
        <v>53</v>
      </c>
      <c r="J781" s="2">
        <f>Table1[[#This Row],[Profit]]/Table1[[#This Row],[Sales]]*100</f>
        <v>76.134164695764355</v>
      </c>
      <c r="K781" t="str">
        <f>IF(Table1[[#This Row],[Sales]]&gt;=30000,"High", IF(Table1[[#This Row],[Sales]]&gt;=15000,"Medium","Low"))</f>
        <v>Medium</v>
      </c>
      <c r="L781" t="str">
        <f>TEXT(Table1[[#This Row],[Order_Date]],"MMM")</f>
        <v>May</v>
      </c>
      <c r="M781" t="str">
        <f>IF(Table1[[#This Row],[Profit]]&gt;=10000,"Excellent",IF(Table1[[#This Row],[Profit]]&gt;5000,"Good","Low"))</f>
        <v>Excellent</v>
      </c>
      <c r="N781" t="str">
        <f>TEXT(Table1[[#This Row],[Order_Date]],"YYYY")</f>
        <v>2024</v>
      </c>
    </row>
    <row r="782" spans="1:14" x14ac:dyDescent="0.25">
      <c r="A782" s="1">
        <v>46197</v>
      </c>
      <c r="B782" t="s">
        <v>22</v>
      </c>
      <c r="C782" t="s">
        <v>36</v>
      </c>
      <c r="D782">
        <v>35620</v>
      </c>
      <c r="E782">
        <v>15861</v>
      </c>
      <c r="F782">
        <v>19759</v>
      </c>
      <c r="G782" t="s">
        <v>27</v>
      </c>
      <c r="H782" t="s">
        <v>34</v>
      </c>
      <c r="I782" t="s">
        <v>53</v>
      </c>
      <c r="J782" s="2">
        <f>Table1[[#This Row],[Profit]]/Table1[[#This Row],[Sales]]*100</f>
        <v>55.471645143177994</v>
      </c>
      <c r="K782" t="str">
        <f>IF(Table1[[#This Row],[Sales]]&gt;=30000,"High", IF(Table1[[#This Row],[Sales]]&gt;=15000,"Medium","Low"))</f>
        <v>High</v>
      </c>
      <c r="L782" t="str">
        <f>TEXT(Table1[[#This Row],[Order_Date]],"MMM")</f>
        <v>Jun</v>
      </c>
      <c r="M782" t="str">
        <f>IF(Table1[[#This Row],[Profit]]&gt;=10000,"Excellent",IF(Table1[[#This Row],[Profit]]&gt;5000,"Good","Low"))</f>
        <v>Excellent</v>
      </c>
      <c r="N782" t="str">
        <f>TEXT(Table1[[#This Row],[Order_Date]],"YYYY")</f>
        <v>2026</v>
      </c>
    </row>
    <row r="783" spans="1:14" x14ac:dyDescent="0.25">
      <c r="A783" s="1">
        <v>46200</v>
      </c>
      <c r="B783" t="s">
        <v>44</v>
      </c>
      <c r="C783" t="s">
        <v>18</v>
      </c>
      <c r="D783">
        <v>16161</v>
      </c>
      <c r="E783">
        <v>13361</v>
      </c>
      <c r="F783">
        <v>2800</v>
      </c>
      <c r="G783" t="s">
        <v>38</v>
      </c>
      <c r="H783" t="s">
        <v>34</v>
      </c>
      <c r="I783" t="s">
        <v>24</v>
      </c>
      <c r="J783" s="2">
        <f>Table1[[#This Row],[Profit]]/Table1[[#This Row],[Sales]]*100</f>
        <v>17.325660540808119</v>
      </c>
      <c r="K783" t="str">
        <f>IF(Table1[[#This Row],[Sales]]&gt;=30000,"High", IF(Table1[[#This Row],[Sales]]&gt;=15000,"Medium","Low"))</f>
        <v>Medium</v>
      </c>
      <c r="L783" t="str">
        <f>TEXT(Table1[[#This Row],[Order_Date]],"MMM")</f>
        <v>Jun</v>
      </c>
      <c r="M783" t="str">
        <f>IF(Table1[[#This Row],[Profit]]&gt;=10000,"Excellent",IF(Table1[[#This Row],[Profit]]&gt;5000,"Good","Low"))</f>
        <v>Low</v>
      </c>
      <c r="N783" t="str">
        <f>TEXT(Table1[[#This Row],[Order_Date]],"YYYY")</f>
        <v>2026</v>
      </c>
    </row>
    <row r="784" spans="1:14" x14ac:dyDescent="0.25">
      <c r="A784" s="1">
        <v>45900</v>
      </c>
      <c r="B784" t="s">
        <v>22</v>
      </c>
      <c r="C784" t="s">
        <v>18</v>
      </c>
      <c r="D784">
        <v>49029</v>
      </c>
      <c r="E784">
        <v>44781</v>
      </c>
      <c r="F784">
        <v>4248</v>
      </c>
      <c r="G784" t="s">
        <v>38</v>
      </c>
      <c r="H784" t="s">
        <v>45</v>
      </c>
      <c r="I784" t="s">
        <v>24</v>
      </c>
      <c r="J784" s="2">
        <f>Table1[[#This Row],[Profit]]/Table1[[#This Row],[Sales]]*100</f>
        <v>8.6642599277978327</v>
      </c>
      <c r="K784" t="str">
        <f>IF(Table1[[#This Row],[Sales]]&gt;=30000,"High", IF(Table1[[#This Row],[Sales]]&gt;=15000,"Medium","Low"))</f>
        <v>High</v>
      </c>
      <c r="L784" t="str">
        <f>TEXT(Table1[[#This Row],[Order_Date]],"MMM")</f>
        <v>Aug</v>
      </c>
      <c r="M784" t="str">
        <f>IF(Table1[[#This Row],[Profit]]&gt;=10000,"Excellent",IF(Table1[[#This Row],[Profit]]&gt;5000,"Good","Low"))</f>
        <v>Low</v>
      </c>
      <c r="N784" t="str">
        <f>TEXT(Table1[[#This Row],[Order_Date]],"YYYY")</f>
        <v>2025</v>
      </c>
    </row>
    <row r="785" spans="1:14" x14ac:dyDescent="0.25">
      <c r="A785" s="1">
        <v>45332</v>
      </c>
      <c r="B785" t="s">
        <v>44</v>
      </c>
      <c r="C785" t="s">
        <v>33</v>
      </c>
      <c r="D785">
        <v>34961</v>
      </c>
      <c r="E785">
        <v>21733</v>
      </c>
      <c r="F785">
        <v>13228</v>
      </c>
      <c r="G785" t="s">
        <v>38</v>
      </c>
      <c r="H785" t="s">
        <v>45</v>
      </c>
      <c r="I785" t="s">
        <v>42</v>
      </c>
      <c r="J785" s="2">
        <f>Table1[[#This Row],[Profit]]/Table1[[#This Row],[Sales]]*100</f>
        <v>37.83644632590601</v>
      </c>
      <c r="K785" t="str">
        <f>IF(Table1[[#This Row],[Sales]]&gt;=30000,"High", IF(Table1[[#This Row],[Sales]]&gt;=15000,"Medium","Low"))</f>
        <v>High</v>
      </c>
      <c r="L785" t="str">
        <f>TEXT(Table1[[#This Row],[Order_Date]],"MMM")</f>
        <v>Feb</v>
      </c>
      <c r="M785" t="str">
        <f>IF(Table1[[#This Row],[Profit]]&gt;=10000,"Excellent",IF(Table1[[#This Row],[Profit]]&gt;5000,"Good","Low"))</f>
        <v>Excellent</v>
      </c>
      <c r="N785" t="str">
        <f>TEXT(Table1[[#This Row],[Order_Date]],"YYYY")</f>
        <v>2024</v>
      </c>
    </row>
    <row r="786" spans="1:14" x14ac:dyDescent="0.25">
      <c r="A786" s="1">
        <v>45735</v>
      </c>
      <c r="B786" t="s">
        <v>26</v>
      </c>
      <c r="C786" t="s">
        <v>33</v>
      </c>
      <c r="D786">
        <v>21029</v>
      </c>
      <c r="E786">
        <v>10663</v>
      </c>
      <c r="F786">
        <v>10366</v>
      </c>
      <c r="G786" t="s">
        <v>13</v>
      </c>
      <c r="H786" t="s">
        <v>34</v>
      </c>
      <c r="I786" t="s">
        <v>53</v>
      </c>
      <c r="J786" s="2">
        <f>Table1[[#This Row],[Profit]]/Table1[[#This Row],[Sales]]*100</f>
        <v>49.29383232678682</v>
      </c>
      <c r="K786" t="str">
        <f>IF(Table1[[#This Row],[Sales]]&gt;=30000,"High", IF(Table1[[#This Row],[Sales]]&gt;=15000,"Medium","Low"))</f>
        <v>Medium</v>
      </c>
      <c r="L786" t="str">
        <f>TEXT(Table1[[#This Row],[Order_Date]],"MMM")</f>
        <v>Mar</v>
      </c>
      <c r="M786" t="str">
        <f>IF(Table1[[#This Row],[Profit]]&gt;=10000,"Excellent",IF(Table1[[#This Row],[Profit]]&gt;5000,"Good","Low"))</f>
        <v>Excellent</v>
      </c>
      <c r="N786" t="str">
        <f>TEXT(Table1[[#This Row],[Order_Date]],"YYYY")</f>
        <v>2025</v>
      </c>
    </row>
    <row r="787" spans="1:14" x14ac:dyDescent="0.25">
      <c r="A787" s="1">
        <v>45401</v>
      </c>
      <c r="B787" t="s">
        <v>44</v>
      </c>
      <c r="C787" t="s">
        <v>12</v>
      </c>
      <c r="D787">
        <v>17739</v>
      </c>
      <c r="E787">
        <v>5951</v>
      </c>
      <c r="F787">
        <v>11788</v>
      </c>
      <c r="G787" t="s">
        <v>27</v>
      </c>
      <c r="H787" t="s">
        <v>63</v>
      </c>
      <c r="I787" t="s">
        <v>24</v>
      </c>
      <c r="J787" s="2">
        <f>Table1[[#This Row],[Profit]]/Table1[[#This Row],[Sales]]*100</f>
        <v>66.452449405265241</v>
      </c>
      <c r="K787" t="str">
        <f>IF(Table1[[#This Row],[Sales]]&gt;=30000,"High", IF(Table1[[#This Row],[Sales]]&gt;=15000,"Medium","Low"))</f>
        <v>Medium</v>
      </c>
      <c r="L787" t="str">
        <f>TEXT(Table1[[#This Row],[Order_Date]],"MMM")</f>
        <v>Apr</v>
      </c>
      <c r="M787" t="str">
        <f>IF(Table1[[#This Row],[Profit]]&gt;=10000,"Excellent",IF(Table1[[#This Row],[Profit]]&gt;5000,"Good","Low"))</f>
        <v>Excellent</v>
      </c>
      <c r="N787" t="str">
        <f>TEXT(Table1[[#This Row],[Order_Date]],"YYYY")</f>
        <v>2024</v>
      </c>
    </row>
    <row r="788" spans="1:14" x14ac:dyDescent="0.25">
      <c r="A788" s="1">
        <v>45916</v>
      </c>
      <c r="B788" t="s">
        <v>11</v>
      </c>
      <c r="C788" t="s">
        <v>36</v>
      </c>
      <c r="D788">
        <v>47297</v>
      </c>
      <c r="E788">
        <v>29760</v>
      </c>
      <c r="F788">
        <v>17537</v>
      </c>
      <c r="G788" t="s">
        <v>13</v>
      </c>
      <c r="H788" t="s">
        <v>14</v>
      </c>
      <c r="I788" t="s">
        <v>15</v>
      </c>
      <c r="J788" s="2">
        <f>Table1[[#This Row],[Profit]]/Table1[[#This Row],[Sales]]*100</f>
        <v>37.078461636044565</v>
      </c>
      <c r="K788" t="str">
        <f>IF(Table1[[#This Row],[Sales]]&gt;=30000,"High", IF(Table1[[#This Row],[Sales]]&gt;=15000,"Medium","Low"))</f>
        <v>High</v>
      </c>
      <c r="L788" t="str">
        <f>TEXT(Table1[[#This Row],[Order_Date]],"MMM")</f>
        <v>Sep</v>
      </c>
      <c r="M788" t="str">
        <f>IF(Table1[[#This Row],[Profit]]&gt;=10000,"Excellent",IF(Table1[[#This Row],[Profit]]&gt;5000,"Good","Low"))</f>
        <v>Excellent</v>
      </c>
      <c r="N788" t="str">
        <f>TEXT(Table1[[#This Row],[Order_Date]],"YYYY")</f>
        <v>2025</v>
      </c>
    </row>
    <row r="789" spans="1:14" x14ac:dyDescent="0.25">
      <c r="A789" s="1">
        <v>46159</v>
      </c>
      <c r="B789" t="s">
        <v>22</v>
      </c>
      <c r="C789" t="s">
        <v>41</v>
      </c>
      <c r="D789">
        <v>23876</v>
      </c>
      <c r="E789">
        <v>20715</v>
      </c>
      <c r="F789">
        <v>3161</v>
      </c>
      <c r="G789" t="s">
        <v>13</v>
      </c>
      <c r="H789" t="s">
        <v>28</v>
      </c>
      <c r="I789" t="s">
        <v>24</v>
      </c>
      <c r="J789" s="2">
        <f>Table1[[#This Row],[Profit]]/Table1[[#This Row],[Sales]]*100</f>
        <v>13.239236052940189</v>
      </c>
      <c r="K789" t="str">
        <f>IF(Table1[[#This Row],[Sales]]&gt;=30000,"High", IF(Table1[[#This Row],[Sales]]&gt;=15000,"Medium","Low"))</f>
        <v>Medium</v>
      </c>
      <c r="L789" t="str">
        <f>TEXT(Table1[[#This Row],[Order_Date]],"MMM")</f>
        <v>May</v>
      </c>
      <c r="M789" t="str">
        <f>IF(Table1[[#This Row],[Profit]]&gt;=10000,"Excellent",IF(Table1[[#This Row],[Profit]]&gt;5000,"Good","Low"))</f>
        <v>Low</v>
      </c>
      <c r="N789" t="str">
        <f>TEXT(Table1[[#This Row],[Order_Date]],"YYYY")</f>
        <v>2026</v>
      </c>
    </row>
    <row r="790" spans="1:14" x14ac:dyDescent="0.25">
      <c r="A790" s="1">
        <v>45598</v>
      </c>
      <c r="B790" t="s">
        <v>44</v>
      </c>
      <c r="C790" t="s">
        <v>36</v>
      </c>
      <c r="D790">
        <v>12540</v>
      </c>
      <c r="E790">
        <v>2812</v>
      </c>
      <c r="F790">
        <v>9728</v>
      </c>
      <c r="G790" t="s">
        <v>13</v>
      </c>
      <c r="H790" t="s">
        <v>31</v>
      </c>
      <c r="I790" t="s">
        <v>24</v>
      </c>
      <c r="J790" s="2">
        <f>Table1[[#This Row],[Profit]]/Table1[[#This Row],[Sales]]*100</f>
        <v>77.575757575757578</v>
      </c>
      <c r="K790" t="str">
        <f>IF(Table1[[#This Row],[Sales]]&gt;=30000,"High", IF(Table1[[#This Row],[Sales]]&gt;=15000,"Medium","Low"))</f>
        <v>Low</v>
      </c>
      <c r="L790" t="str">
        <f>TEXT(Table1[[#This Row],[Order_Date]],"MMM")</f>
        <v>Nov</v>
      </c>
      <c r="M790" t="str">
        <f>IF(Table1[[#This Row],[Profit]]&gt;=10000,"Excellent",IF(Table1[[#This Row],[Profit]]&gt;5000,"Good","Low"))</f>
        <v>Good</v>
      </c>
      <c r="N790" t="str">
        <f>TEXT(Table1[[#This Row],[Order_Date]],"YYYY")</f>
        <v>2024</v>
      </c>
    </row>
    <row r="791" spans="1:14" x14ac:dyDescent="0.25">
      <c r="A791" s="1">
        <v>45370</v>
      </c>
      <c r="B791" t="s">
        <v>26</v>
      </c>
      <c r="C791" t="s">
        <v>33</v>
      </c>
      <c r="D791">
        <v>44380</v>
      </c>
      <c r="E791">
        <v>34069</v>
      </c>
      <c r="F791">
        <v>10311</v>
      </c>
      <c r="G791" t="s">
        <v>19</v>
      </c>
      <c r="H791" t="s">
        <v>34</v>
      </c>
      <c r="I791" t="s">
        <v>24</v>
      </c>
      <c r="J791" s="2">
        <f>Table1[[#This Row],[Profit]]/Table1[[#This Row],[Sales]]*100</f>
        <v>23.233438485804417</v>
      </c>
      <c r="K791" t="str">
        <f>IF(Table1[[#This Row],[Sales]]&gt;=30000,"High", IF(Table1[[#This Row],[Sales]]&gt;=15000,"Medium","Low"))</f>
        <v>High</v>
      </c>
      <c r="L791" t="str">
        <f>TEXT(Table1[[#This Row],[Order_Date]],"MMM")</f>
        <v>Mar</v>
      </c>
      <c r="M791" t="str">
        <f>IF(Table1[[#This Row],[Profit]]&gt;=10000,"Excellent",IF(Table1[[#This Row],[Profit]]&gt;5000,"Good","Low"))</f>
        <v>Excellent</v>
      </c>
      <c r="N791" t="str">
        <f>TEXT(Table1[[#This Row],[Order_Date]],"YYYY")</f>
        <v>2024</v>
      </c>
    </row>
    <row r="792" spans="1:14" x14ac:dyDescent="0.25">
      <c r="A792" s="1">
        <v>45392</v>
      </c>
      <c r="B792" t="s">
        <v>11</v>
      </c>
      <c r="C792" t="s">
        <v>36</v>
      </c>
      <c r="D792">
        <v>16163</v>
      </c>
      <c r="E792">
        <v>14253</v>
      </c>
      <c r="F792">
        <v>1910</v>
      </c>
      <c r="G792" t="s">
        <v>38</v>
      </c>
      <c r="H792" t="s">
        <v>23</v>
      </c>
      <c r="I792" t="s">
        <v>24</v>
      </c>
      <c r="J792" s="2">
        <f>Table1[[#This Row],[Profit]]/Table1[[#This Row],[Sales]]*100</f>
        <v>11.817113159685702</v>
      </c>
      <c r="K792" t="str">
        <f>IF(Table1[[#This Row],[Sales]]&gt;=30000,"High", IF(Table1[[#This Row],[Sales]]&gt;=15000,"Medium","Low"))</f>
        <v>Medium</v>
      </c>
      <c r="L792" t="str">
        <f>TEXT(Table1[[#This Row],[Order_Date]],"MMM")</f>
        <v>Apr</v>
      </c>
      <c r="M792" t="str">
        <f>IF(Table1[[#This Row],[Profit]]&gt;=10000,"Excellent",IF(Table1[[#This Row],[Profit]]&gt;5000,"Good","Low"))</f>
        <v>Low</v>
      </c>
      <c r="N792" t="str">
        <f>TEXT(Table1[[#This Row],[Order_Date]],"YYYY")</f>
        <v>2024</v>
      </c>
    </row>
    <row r="793" spans="1:14" x14ac:dyDescent="0.25">
      <c r="A793" s="1">
        <v>45114</v>
      </c>
      <c r="B793" t="s">
        <v>44</v>
      </c>
      <c r="C793" t="s">
        <v>41</v>
      </c>
      <c r="D793">
        <v>43307</v>
      </c>
      <c r="E793">
        <v>30523</v>
      </c>
      <c r="F793">
        <v>12784</v>
      </c>
      <c r="G793" t="s">
        <v>38</v>
      </c>
      <c r="H793" t="s">
        <v>34</v>
      </c>
      <c r="I793" t="s">
        <v>42</v>
      </c>
      <c r="J793" s="2">
        <f>Table1[[#This Row],[Profit]]/Table1[[#This Row],[Sales]]*100</f>
        <v>29.519477220772622</v>
      </c>
      <c r="K793" t="str">
        <f>IF(Table1[[#This Row],[Sales]]&gt;=30000,"High", IF(Table1[[#This Row],[Sales]]&gt;=15000,"Medium","Low"))</f>
        <v>High</v>
      </c>
      <c r="L793" t="str">
        <f>TEXT(Table1[[#This Row],[Order_Date]],"MMM")</f>
        <v>Jul</v>
      </c>
      <c r="M793" t="str">
        <f>IF(Table1[[#This Row],[Profit]]&gt;=10000,"Excellent",IF(Table1[[#This Row],[Profit]]&gt;5000,"Good","Low"))</f>
        <v>Excellent</v>
      </c>
      <c r="N793" t="str">
        <f>TEXT(Table1[[#This Row],[Order_Date]],"YYYY")</f>
        <v>2023</v>
      </c>
    </row>
    <row r="794" spans="1:14" x14ac:dyDescent="0.25">
      <c r="A794" s="1">
        <v>46176</v>
      </c>
      <c r="B794" t="s">
        <v>44</v>
      </c>
      <c r="C794" t="s">
        <v>18</v>
      </c>
      <c r="D794">
        <v>40218</v>
      </c>
      <c r="E794">
        <v>32526</v>
      </c>
      <c r="F794">
        <v>7692</v>
      </c>
      <c r="G794" t="s">
        <v>13</v>
      </c>
      <c r="H794" t="s">
        <v>20</v>
      </c>
      <c r="I794" t="s">
        <v>29</v>
      </c>
      <c r="J794" s="2">
        <f>Table1[[#This Row],[Profit]]/Table1[[#This Row],[Sales]]*100</f>
        <v>19.125764583022526</v>
      </c>
      <c r="K794" t="str">
        <f>IF(Table1[[#This Row],[Sales]]&gt;=30000,"High", IF(Table1[[#This Row],[Sales]]&gt;=15000,"Medium","Low"))</f>
        <v>High</v>
      </c>
      <c r="L794" t="str">
        <f>TEXT(Table1[[#This Row],[Order_Date]],"MMM")</f>
        <v>Jun</v>
      </c>
      <c r="M794" t="str">
        <f>IF(Table1[[#This Row],[Profit]]&gt;=10000,"Excellent",IF(Table1[[#This Row],[Profit]]&gt;5000,"Good","Low"))</f>
        <v>Good</v>
      </c>
      <c r="N794" t="str">
        <f>TEXT(Table1[[#This Row],[Order_Date]],"YYYY")</f>
        <v>2026</v>
      </c>
    </row>
    <row r="795" spans="1:14" x14ac:dyDescent="0.25">
      <c r="A795" s="1">
        <v>45535</v>
      </c>
      <c r="B795" t="s">
        <v>26</v>
      </c>
      <c r="C795" t="s">
        <v>41</v>
      </c>
      <c r="D795">
        <v>35241</v>
      </c>
      <c r="E795">
        <v>24821</v>
      </c>
      <c r="F795">
        <v>10420</v>
      </c>
      <c r="G795" t="s">
        <v>13</v>
      </c>
      <c r="H795" t="s">
        <v>34</v>
      </c>
      <c r="I795" t="s">
        <v>53</v>
      </c>
      <c r="J795" s="2">
        <f>Table1[[#This Row],[Profit]]/Table1[[#This Row],[Sales]]*100</f>
        <v>29.567832921880765</v>
      </c>
      <c r="K795" t="str">
        <f>IF(Table1[[#This Row],[Sales]]&gt;=30000,"High", IF(Table1[[#This Row],[Sales]]&gt;=15000,"Medium","Low"))</f>
        <v>High</v>
      </c>
      <c r="L795" t="str">
        <f>TEXT(Table1[[#This Row],[Order_Date]],"MMM")</f>
        <v>Aug</v>
      </c>
      <c r="M795" t="str">
        <f>IF(Table1[[#This Row],[Profit]]&gt;=10000,"Excellent",IF(Table1[[#This Row],[Profit]]&gt;5000,"Good","Low"))</f>
        <v>Excellent</v>
      </c>
      <c r="N795" t="str">
        <f>TEXT(Table1[[#This Row],[Order_Date]],"YYYY")</f>
        <v>2024</v>
      </c>
    </row>
    <row r="796" spans="1:14" x14ac:dyDescent="0.25">
      <c r="A796" s="1">
        <v>45464</v>
      </c>
      <c r="B796" t="s">
        <v>44</v>
      </c>
      <c r="C796" t="s">
        <v>18</v>
      </c>
      <c r="D796">
        <v>46563</v>
      </c>
      <c r="E796">
        <v>29726</v>
      </c>
      <c r="F796">
        <v>16837</v>
      </c>
      <c r="G796" t="s">
        <v>19</v>
      </c>
      <c r="H796" t="s">
        <v>45</v>
      </c>
      <c r="I796" t="s">
        <v>29</v>
      </c>
      <c r="J796" s="2">
        <f>Table1[[#This Row],[Profit]]/Table1[[#This Row],[Sales]]*100</f>
        <v>36.159611708867558</v>
      </c>
      <c r="K796" t="str">
        <f>IF(Table1[[#This Row],[Sales]]&gt;=30000,"High", IF(Table1[[#This Row],[Sales]]&gt;=15000,"Medium","Low"))</f>
        <v>High</v>
      </c>
      <c r="L796" t="str">
        <f>TEXT(Table1[[#This Row],[Order_Date]],"MMM")</f>
        <v>Jun</v>
      </c>
      <c r="M796" t="str">
        <f>IF(Table1[[#This Row],[Profit]]&gt;=10000,"Excellent",IF(Table1[[#This Row],[Profit]]&gt;5000,"Good","Low"))</f>
        <v>Excellent</v>
      </c>
      <c r="N796" t="str">
        <f>TEXT(Table1[[#This Row],[Order_Date]],"YYYY")</f>
        <v>2024</v>
      </c>
    </row>
    <row r="797" spans="1:14" x14ac:dyDescent="0.25">
      <c r="A797" s="1">
        <v>46193</v>
      </c>
      <c r="B797" t="s">
        <v>11</v>
      </c>
      <c r="C797" t="s">
        <v>18</v>
      </c>
      <c r="D797">
        <v>9524</v>
      </c>
      <c r="E797">
        <v>6157</v>
      </c>
      <c r="F797">
        <v>3367</v>
      </c>
      <c r="G797" t="s">
        <v>19</v>
      </c>
      <c r="H797" t="s">
        <v>20</v>
      </c>
      <c r="I797" t="s">
        <v>53</v>
      </c>
      <c r="J797" s="2">
        <f>Table1[[#This Row],[Profit]]/Table1[[#This Row],[Sales]]*100</f>
        <v>35.352792944141115</v>
      </c>
      <c r="K797" t="str">
        <f>IF(Table1[[#This Row],[Sales]]&gt;=30000,"High", IF(Table1[[#This Row],[Sales]]&gt;=15000,"Medium","Low"))</f>
        <v>Low</v>
      </c>
      <c r="L797" t="str">
        <f>TEXT(Table1[[#This Row],[Order_Date]],"MMM")</f>
        <v>Jun</v>
      </c>
      <c r="M797" t="str">
        <f>IF(Table1[[#This Row],[Profit]]&gt;=10000,"Excellent",IF(Table1[[#This Row],[Profit]]&gt;5000,"Good","Low"))</f>
        <v>Low</v>
      </c>
      <c r="N797" t="str">
        <f>TEXT(Table1[[#This Row],[Order_Date]],"YYYY")</f>
        <v>2026</v>
      </c>
    </row>
    <row r="798" spans="1:14" x14ac:dyDescent="0.25">
      <c r="A798" s="1">
        <v>45364</v>
      </c>
      <c r="B798" t="s">
        <v>17</v>
      </c>
      <c r="C798" t="s">
        <v>18</v>
      </c>
      <c r="D798">
        <v>28282</v>
      </c>
      <c r="E798">
        <v>9689</v>
      </c>
      <c r="F798">
        <v>18593</v>
      </c>
      <c r="G798" t="s">
        <v>27</v>
      </c>
      <c r="H798" t="s">
        <v>45</v>
      </c>
      <c r="I798" t="s">
        <v>53</v>
      </c>
      <c r="J798" s="2">
        <f>Table1[[#This Row],[Profit]]/Table1[[#This Row],[Sales]]*100</f>
        <v>65.741460999929274</v>
      </c>
      <c r="K798" t="str">
        <f>IF(Table1[[#This Row],[Sales]]&gt;=30000,"High", IF(Table1[[#This Row],[Sales]]&gt;=15000,"Medium","Low"))</f>
        <v>Medium</v>
      </c>
      <c r="L798" t="str">
        <f>TEXT(Table1[[#This Row],[Order_Date]],"MMM")</f>
        <v>Mar</v>
      </c>
      <c r="M798" t="str">
        <f>IF(Table1[[#This Row],[Profit]]&gt;=10000,"Excellent",IF(Table1[[#This Row],[Profit]]&gt;5000,"Good","Low"))</f>
        <v>Excellent</v>
      </c>
      <c r="N798" t="str">
        <f>TEXT(Table1[[#This Row],[Order_Date]],"YYYY")</f>
        <v>2024</v>
      </c>
    </row>
    <row r="799" spans="1:14" x14ac:dyDescent="0.25">
      <c r="A799" s="1">
        <v>46183</v>
      </c>
      <c r="B799" t="s">
        <v>17</v>
      </c>
      <c r="C799" t="s">
        <v>33</v>
      </c>
      <c r="D799">
        <v>45271</v>
      </c>
      <c r="E799">
        <v>38953</v>
      </c>
      <c r="F799">
        <v>6318</v>
      </c>
      <c r="G799" t="s">
        <v>13</v>
      </c>
      <c r="H799" t="s">
        <v>20</v>
      </c>
      <c r="I799" t="s">
        <v>15</v>
      </c>
      <c r="J799" s="2">
        <f>Table1[[#This Row],[Profit]]/Table1[[#This Row],[Sales]]*100</f>
        <v>13.955954142828741</v>
      </c>
      <c r="K799" t="str">
        <f>IF(Table1[[#This Row],[Sales]]&gt;=30000,"High", IF(Table1[[#This Row],[Sales]]&gt;=15000,"Medium","Low"))</f>
        <v>High</v>
      </c>
      <c r="L799" t="str">
        <f>TEXT(Table1[[#This Row],[Order_Date]],"MMM")</f>
        <v>Jun</v>
      </c>
      <c r="M799" t="str">
        <f>IF(Table1[[#This Row],[Profit]]&gt;=10000,"Excellent",IF(Table1[[#This Row],[Profit]]&gt;5000,"Good","Low"))</f>
        <v>Good</v>
      </c>
      <c r="N799" t="str">
        <f>TEXT(Table1[[#This Row],[Order_Date]],"YYYY")</f>
        <v>2026</v>
      </c>
    </row>
    <row r="800" spans="1:14" x14ac:dyDescent="0.25">
      <c r="A800" s="1">
        <v>46146</v>
      </c>
      <c r="B800" t="s">
        <v>11</v>
      </c>
      <c r="C800" t="s">
        <v>18</v>
      </c>
      <c r="D800">
        <v>16648</v>
      </c>
      <c r="E800">
        <v>10317</v>
      </c>
      <c r="F800">
        <v>6331</v>
      </c>
      <c r="G800" t="s">
        <v>27</v>
      </c>
      <c r="H800" t="s">
        <v>34</v>
      </c>
      <c r="I800" t="s">
        <v>53</v>
      </c>
      <c r="J800" s="2">
        <f>Table1[[#This Row],[Profit]]/Table1[[#This Row],[Sales]]*100</f>
        <v>38.028592023065833</v>
      </c>
      <c r="K800" t="str">
        <f>IF(Table1[[#This Row],[Sales]]&gt;=30000,"High", IF(Table1[[#This Row],[Sales]]&gt;=15000,"Medium","Low"))</f>
        <v>Medium</v>
      </c>
      <c r="L800" t="str">
        <f>TEXT(Table1[[#This Row],[Order_Date]],"MMM")</f>
        <v>May</v>
      </c>
      <c r="M800" t="str">
        <f>IF(Table1[[#This Row],[Profit]]&gt;=10000,"Excellent",IF(Table1[[#This Row],[Profit]]&gt;5000,"Good","Low"))</f>
        <v>Good</v>
      </c>
      <c r="N800" t="str">
        <f>TEXT(Table1[[#This Row],[Order_Date]],"YYYY")</f>
        <v>2026</v>
      </c>
    </row>
    <row r="801" spans="1:14" x14ac:dyDescent="0.25">
      <c r="A801" s="1">
        <v>45908</v>
      </c>
      <c r="B801" t="s">
        <v>44</v>
      </c>
      <c r="C801" t="s">
        <v>33</v>
      </c>
      <c r="D801">
        <v>46394</v>
      </c>
      <c r="E801">
        <v>44042</v>
      </c>
      <c r="F801">
        <v>2352</v>
      </c>
      <c r="G801" t="s">
        <v>27</v>
      </c>
      <c r="H801" t="s">
        <v>45</v>
      </c>
      <c r="I801" t="s">
        <v>29</v>
      </c>
      <c r="J801" s="2">
        <f>Table1[[#This Row],[Profit]]/Table1[[#This Row],[Sales]]*100</f>
        <v>5.069621071690305</v>
      </c>
      <c r="K801" t="str">
        <f>IF(Table1[[#This Row],[Sales]]&gt;=30000,"High", IF(Table1[[#This Row],[Sales]]&gt;=15000,"Medium","Low"))</f>
        <v>High</v>
      </c>
      <c r="L801" t="str">
        <f>TEXT(Table1[[#This Row],[Order_Date]],"MMM")</f>
        <v>Sep</v>
      </c>
      <c r="M801" t="str">
        <f>IF(Table1[[#This Row],[Profit]]&gt;=10000,"Excellent",IF(Table1[[#This Row],[Profit]]&gt;5000,"Good","Low"))</f>
        <v>Low</v>
      </c>
      <c r="N801" t="str">
        <f>TEXT(Table1[[#This Row],[Order_Date]],"YYYY")</f>
        <v>2025</v>
      </c>
    </row>
    <row r="802" spans="1:14" x14ac:dyDescent="0.25">
      <c r="A802" s="1">
        <v>46082</v>
      </c>
      <c r="B802" t="s">
        <v>11</v>
      </c>
      <c r="C802" t="s">
        <v>12</v>
      </c>
      <c r="D802">
        <v>13391</v>
      </c>
      <c r="E802">
        <v>4549</v>
      </c>
      <c r="F802">
        <v>8842</v>
      </c>
      <c r="G802" t="s">
        <v>13</v>
      </c>
      <c r="H802" t="s">
        <v>23</v>
      </c>
      <c r="I802" t="s">
        <v>29</v>
      </c>
      <c r="J802" s="2">
        <f>Table1[[#This Row],[Profit]]/Table1[[#This Row],[Sales]]*100</f>
        <v>66.029422746620867</v>
      </c>
      <c r="K802" t="str">
        <f>IF(Table1[[#This Row],[Sales]]&gt;=30000,"High", IF(Table1[[#This Row],[Sales]]&gt;=15000,"Medium","Low"))</f>
        <v>Low</v>
      </c>
      <c r="L802" t="str">
        <f>TEXT(Table1[[#This Row],[Order_Date]],"MMM")</f>
        <v>Mar</v>
      </c>
      <c r="M802" t="str">
        <f>IF(Table1[[#This Row],[Profit]]&gt;=10000,"Excellent",IF(Table1[[#This Row],[Profit]]&gt;5000,"Good","Low"))</f>
        <v>Good</v>
      </c>
      <c r="N802" t="str">
        <f>TEXT(Table1[[#This Row],[Order_Date]],"YYYY")</f>
        <v>2026</v>
      </c>
    </row>
    <row r="803" spans="1:14" x14ac:dyDescent="0.25">
      <c r="A803" s="1">
        <v>45717</v>
      </c>
      <c r="B803" t="s">
        <v>22</v>
      </c>
      <c r="C803" t="s">
        <v>18</v>
      </c>
      <c r="D803">
        <v>35256</v>
      </c>
      <c r="E803">
        <v>16126</v>
      </c>
      <c r="F803">
        <v>19130</v>
      </c>
      <c r="G803" t="s">
        <v>19</v>
      </c>
      <c r="H803" t="s">
        <v>45</v>
      </c>
      <c r="I803" t="s">
        <v>15</v>
      </c>
      <c r="J803" s="2">
        <f>Table1[[#This Row],[Profit]]/Table1[[#This Row],[Sales]]*100</f>
        <v>54.260267755842975</v>
      </c>
      <c r="K803" t="str">
        <f>IF(Table1[[#This Row],[Sales]]&gt;=30000,"High", IF(Table1[[#This Row],[Sales]]&gt;=15000,"Medium","Low"))</f>
        <v>High</v>
      </c>
      <c r="L803" t="str">
        <f>TEXT(Table1[[#This Row],[Order_Date]],"MMM")</f>
        <v>Mar</v>
      </c>
      <c r="M803" t="str">
        <f>IF(Table1[[#This Row],[Profit]]&gt;=10000,"Excellent",IF(Table1[[#This Row],[Profit]]&gt;5000,"Good","Low"))</f>
        <v>Excellent</v>
      </c>
      <c r="N803" t="str">
        <f>TEXT(Table1[[#This Row],[Order_Date]],"YYYY")</f>
        <v>2025</v>
      </c>
    </row>
    <row r="804" spans="1:14" x14ac:dyDescent="0.25">
      <c r="A804" s="1">
        <v>45544</v>
      </c>
      <c r="B804" t="s">
        <v>17</v>
      </c>
      <c r="C804" t="s">
        <v>36</v>
      </c>
      <c r="D804">
        <v>21148</v>
      </c>
      <c r="E804">
        <v>19498</v>
      </c>
      <c r="F804">
        <v>1650</v>
      </c>
      <c r="G804" t="s">
        <v>38</v>
      </c>
      <c r="H804" t="s">
        <v>78</v>
      </c>
      <c r="I804" t="s">
        <v>53</v>
      </c>
      <c r="J804" s="2">
        <f>Table1[[#This Row],[Profit]]/Table1[[#This Row],[Sales]]*100</f>
        <v>7.8021562322678264</v>
      </c>
      <c r="K804" t="str">
        <f>IF(Table1[[#This Row],[Sales]]&gt;=30000,"High", IF(Table1[[#This Row],[Sales]]&gt;=15000,"Medium","Low"))</f>
        <v>Medium</v>
      </c>
      <c r="L804" t="str">
        <f>TEXT(Table1[[#This Row],[Order_Date]],"MMM")</f>
        <v>Sep</v>
      </c>
      <c r="M804" t="str">
        <f>IF(Table1[[#This Row],[Profit]]&gt;=10000,"Excellent",IF(Table1[[#This Row],[Profit]]&gt;5000,"Good","Low"))</f>
        <v>Low</v>
      </c>
      <c r="N804" t="str">
        <f>TEXT(Table1[[#This Row],[Order_Date]],"YYYY")</f>
        <v>2024</v>
      </c>
    </row>
    <row r="805" spans="1:14" x14ac:dyDescent="0.25">
      <c r="A805" s="1">
        <v>45471</v>
      </c>
      <c r="B805" t="s">
        <v>26</v>
      </c>
      <c r="C805" t="s">
        <v>41</v>
      </c>
      <c r="D805">
        <v>34833</v>
      </c>
      <c r="E805">
        <v>32840</v>
      </c>
      <c r="F805">
        <v>1993</v>
      </c>
      <c r="G805" t="s">
        <v>13</v>
      </c>
      <c r="H805" t="s">
        <v>63</v>
      </c>
      <c r="I805" t="s">
        <v>53</v>
      </c>
      <c r="J805" s="2">
        <f>Table1[[#This Row],[Profit]]/Table1[[#This Row],[Sales]]*100</f>
        <v>5.7215858524961964</v>
      </c>
      <c r="K805" t="str">
        <f>IF(Table1[[#This Row],[Sales]]&gt;=30000,"High", IF(Table1[[#This Row],[Sales]]&gt;=15000,"Medium","Low"))</f>
        <v>High</v>
      </c>
      <c r="L805" t="str">
        <f>TEXT(Table1[[#This Row],[Order_Date]],"MMM")</f>
        <v>Jun</v>
      </c>
      <c r="M805" t="str">
        <f>IF(Table1[[#This Row],[Profit]]&gt;=10000,"Excellent",IF(Table1[[#This Row],[Profit]]&gt;5000,"Good","Low"))</f>
        <v>Low</v>
      </c>
      <c r="N805" t="str">
        <f>TEXT(Table1[[#This Row],[Order_Date]],"YYYY")</f>
        <v>2024</v>
      </c>
    </row>
    <row r="806" spans="1:14" x14ac:dyDescent="0.25">
      <c r="A806" s="1">
        <v>46091</v>
      </c>
      <c r="B806" t="s">
        <v>44</v>
      </c>
      <c r="C806" t="s">
        <v>18</v>
      </c>
      <c r="D806">
        <v>36637</v>
      </c>
      <c r="E806">
        <v>33131</v>
      </c>
      <c r="F806">
        <v>3506</v>
      </c>
      <c r="G806" t="s">
        <v>38</v>
      </c>
      <c r="H806" t="s">
        <v>20</v>
      </c>
      <c r="I806" t="s">
        <v>24</v>
      </c>
      <c r="J806" s="2">
        <f>Table1[[#This Row],[Profit]]/Table1[[#This Row],[Sales]]*100</f>
        <v>9.5695608264868852</v>
      </c>
      <c r="K806" t="str">
        <f>IF(Table1[[#This Row],[Sales]]&gt;=30000,"High", IF(Table1[[#This Row],[Sales]]&gt;=15000,"Medium","Low"))</f>
        <v>High</v>
      </c>
      <c r="L806" t="str">
        <f>TEXT(Table1[[#This Row],[Order_Date]],"MMM")</f>
        <v>Mar</v>
      </c>
      <c r="M806" t="str">
        <f>IF(Table1[[#This Row],[Profit]]&gt;=10000,"Excellent",IF(Table1[[#This Row],[Profit]]&gt;5000,"Good","Low"))</f>
        <v>Low</v>
      </c>
      <c r="N806" t="str">
        <f>TEXT(Table1[[#This Row],[Order_Date]],"YYYY")</f>
        <v>2026</v>
      </c>
    </row>
    <row r="807" spans="1:14" x14ac:dyDescent="0.25">
      <c r="A807" s="1">
        <v>45217</v>
      </c>
      <c r="B807" t="s">
        <v>22</v>
      </c>
      <c r="C807" t="s">
        <v>41</v>
      </c>
      <c r="D807">
        <v>5102</v>
      </c>
      <c r="E807">
        <v>4520</v>
      </c>
      <c r="F807">
        <v>582</v>
      </c>
      <c r="G807" t="s">
        <v>13</v>
      </c>
      <c r="H807" t="s">
        <v>60</v>
      </c>
      <c r="I807" t="s">
        <v>24</v>
      </c>
      <c r="J807" s="2">
        <f>Table1[[#This Row],[Profit]]/Table1[[#This Row],[Sales]]*100</f>
        <v>11.407291258330067</v>
      </c>
      <c r="K807" t="str">
        <f>IF(Table1[[#This Row],[Sales]]&gt;=30000,"High", IF(Table1[[#This Row],[Sales]]&gt;=15000,"Medium","Low"))</f>
        <v>Low</v>
      </c>
      <c r="L807" t="str">
        <f>TEXT(Table1[[#This Row],[Order_Date]],"MMM")</f>
        <v>Oct</v>
      </c>
      <c r="M807" t="str">
        <f>IF(Table1[[#This Row],[Profit]]&gt;=10000,"Excellent",IF(Table1[[#This Row],[Profit]]&gt;5000,"Good","Low"))</f>
        <v>Low</v>
      </c>
      <c r="N807" t="str">
        <f>TEXT(Table1[[#This Row],[Order_Date]],"YYYY")</f>
        <v>2023</v>
      </c>
    </row>
    <row r="808" spans="1:14" x14ac:dyDescent="0.25">
      <c r="A808" s="1">
        <v>45562</v>
      </c>
      <c r="B808" t="s">
        <v>26</v>
      </c>
      <c r="C808" t="s">
        <v>18</v>
      </c>
      <c r="D808">
        <v>47524</v>
      </c>
      <c r="E808">
        <v>33389</v>
      </c>
      <c r="F808">
        <v>14135</v>
      </c>
      <c r="G808" t="s">
        <v>27</v>
      </c>
      <c r="H808" t="s">
        <v>20</v>
      </c>
      <c r="I808" t="s">
        <v>42</v>
      </c>
      <c r="J808" s="2">
        <f>Table1[[#This Row],[Profit]]/Table1[[#This Row],[Sales]]*100</f>
        <v>29.742866762057069</v>
      </c>
      <c r="K808" t="str">
        <f>IF(Table1[[#This Row],[Sales]]&gt;=30000,"High", IF(Table1[[#This Row],[Sales]]&gt;=15000,"Medium","Low"))</f>
        <v>High</v>
      </c>
      <c r="L808" t="str">
        <f>TEXT(Table1[[#This Row],[Order_Date]],"MMM")</f>
        <v>Sep</v>
      </c>
      <c r="M808" t="str">
        <f>IF(Table1[[#This Row],[Profit]]&gt;=10000,"Excellent",IF(Table1[[#This Row],[Profit]]&gt;5000,"Good","Low"))</f>
        <v>Excellent</v>
      </c>
      <c r="N808" t="str">
        <f>TEXT(Table1[[#This Row],[Order_Date]],"YYYY")</f>
        <v>2024</v>
      </c>
    </row>
    <row r="809" spans="1:14" x14ac:dyDescent="0.25">
      <c r="A809" s="1">
        <v>45836</v>
      </c>
      <c r="B809" t="s">
        <v>22</v>
      </c>
      <c r="C809" t="s">
        <v>41</v>
      </c>
      <c r="D809">
        <v>47342</v>
      </c>
      <c r="E809">
        <v>34685</v>
      </c>
      <c r="F809">
        <v>12657</v>
      </c>
      <c r="G809" t="s">
        <v>13</v>
      </c>
      <c r="H809" t="s">
        <v>45</v>
      </c>
      <c r="I809" t="s">
        <v>24</v>
      </c>
      <c r="J809" s="2">
        <f>Table1[[#This Row],[Profit]]/Table1[[#This Row],[Sales]]*100</f>
        <v>26.735245659245489</v>
      </c>
      <c r="K809" t="str">
        <f>IF(Table1[[#This Row],[Sales]]&gt;=30000,"High", IF(Table1[[#This Row],[Sales]]&gt;=15000,"Medium","Low"))</f>
        <v>High</v>
      </c>
      <c r="L809" t="str">
        <f>TEXT(Table1[[#This Row],[Order_Date]],"MMM")</f>
        <v>Jun</v>
      </c>
      <c r="M809" t="str">
        <f>IF(Table1[[#This Row],[Profit]]&gt;=10000,"Excellent",IF(Table1[[#This Row],[Profit]]&gt;5000,"Good","Low"))</f>
        <v>Excellent</v>
      </c>
      <c r="N809" t="str">
        <f>TEXT(Table1[[#This Row],[Order_Date]],"YYYY")</f>
        <v>2025</v>
      </c>
    </row>
    <row r="810" spans="1:14" x14ac:dyDescent="0.25">
      <c r="A810" s="1">
        <v>45251</v>
      </c>
      <c r="B810" t="s">
        <v>17</v>
      </c>
      <c r="C810" t="s">
        <v>41</v>
      </c>
      <c r="D810">
        <v>46401</v>
      </c>
      <c r="E810">
        <v>35470</v>
      </c>
      <c r="F810">
        <v>10931</v>
      </c>
      <c r="G810" t="s">
        <v>19</v>
      </c>
      <c r="H810" t="s">
        <v>28</v>
      </c>
      <c r="I810" t="s">
        <v>15</v>
      </c>
      <c r="J810" s="2">
        <f>Table1[[#This Row],[Profit]]/Table1[[#This Row],[Sales]]*100</f>
        <v>23.557681946509774</v>
      </c>
      <c r="K810" t="str">
        <f>IF(Table1[[#This Row],[Sales]]&gt;=30000,"High", IF(Table1[[#This Row],[Sales]]&gt;=15000,"Medium","Low"))</f>
        <v>High</v>
      </c>
      <c r="L810" t="str">
        <f>TEXT(Table1[[#This Row],[Order_Date]],"MMM")</f>
        <v>Nov</v>
      </c>
      <c r="M810" t="str">
        <f>IF(Table1[[#This Row],[Profit]]&gt;=10000,"Excellent",IF(Table1[[#This Row],[Profit]]&gt;5000,"Good","Low"))</f>
        <v>Excellent</v>
      </c>
      <c r="N810" t="str">
        <f>TEXT(Table1[[#This Row],[Order_Date]],"YYYY")</f>
        <v>2023</v>
      </c>
    </row>
    <row r="811" spans="1:14" x14ac:dyDescent="0.25">
      <c r="A811" s="1">
        <v>45399</v>
      </c>
      <c r="B811" t="s">
        <v>11</v>
      </c>
      <c r="C811" t="s">
        <v>36</v>
      </c>
      <c r="D811">
        <v>9375</v>
      </c>
      <c r="E811">
        <v>2042</v>
      </c>
      <c r="F811">
        <v>7333</v>
      </c>
      <c r="G811" t="s">
        <v>27</v>
      </c>
      <c r="H811" t="s">
        <v>78</v>
      </c>
      <c r="I811" t="s">
        <v>15</v>
      </c>
      <c r="J811" s="2">
        <f>Table1[[#This Row],[Profit]]/Table1[[#This Row],[Sales]]*100</f>
        <v>78.218666666666664</v>
      </c>
      <c r="K811" t="str">
        <f>IF(Table1[[#This Row],[Sales]]&gt;=30000,"High", IF(Table1[[#This Row],[Sales]]&gt;=15000,"Medium","Low"))</f>
        <v>Low</v>
      </c>
      <c r="L811" t="str">
        <f>TEXT(Table1[[#This Row],[Order_Date]],"MMM")</f>
        <v>Apr</v>
      </c>
      <c r="M811" t="str">
        <f>IF(Table1[[#This Row],[Profit]]&gt;=10000,"Excellent",IF(Table1[[#This Row],[Profit]]&gt;5000,"Good","Low"))</f>
        <v>Good</v>
      </c>
      <c r="N811" t="str">
        <f>TEXT(Table1[[#This Row],[Order_Date]],"YYYY")</f>
        <v>2024</v>
      </c>
    </row>
    <row r="812" spans="1:14" x14ac:dyDescent="0.25">
      <c r="A812" s="1">
        <v>45305</v>
      </c>
      <c r="B812" t="s">
        <v>44</v>
      </c>
      <c r="C812" t="s">
        <v>18</v>
      </c>
      <c r="D812">
        <v>27332</v>
      </c>
      <c r="E812">
        <v>8335</v>
      </c>
      <c r="F812">
        <v>18997</v>
      </c>
      <c r="G812" t="s">
        <v>19</v>
      </c>
      <c r="H812" t="s">
        <v>28</v>
      </c>
      <c r="I812" t="s">
        <v>29</v>
      </c>
      <c r="J812" s="2">
        <f>Table1[[#This Row],[Profit]]/Table1[[#This Row],[Sales]]*100</f>
        <v>69.504609980974692</v>
      </c>
      <c r="K812" t="str">
        <f>IF(Table1[[#This Row],[Sales]]&gt;=30000,"High", IF(Table1[[#This Row],[Sales]]&gt;=15000,"Medium","Low"))</f>
        <v>Medium</v>
      </c>
      <c r="L812" t="str">
        <f>TEXT(Table1[[#This Row],[Order_Date]],"MMM")</f>
        <v>Jan</v>
      </c>
      <c r="M812" t="str">
        <f>IF(Table1[[#This Row],[Profit]]&gt;=10000,"Excellent",IF(Table1[[#This Row],[Profit]]&gt;5000,"Good","Low"))</f>
        <v>Excellent</v>
      </c>
      <c r="N812" t="str">
        <f>TEXT(Table1[[#This Row],[Order_Date]],"YYYY")</f>
        <v>2024</v>
      </c>
    </row>
    <row r="813" spans="1:14" x14ac:dyDescent="0.25">
      <c r="A813" s="1">
        <v>45523</v>
      </c>
      <c r="B813" t="s">
        <v>44</v>
      </c>
      <c r="C813" t="s">
        <v>36</v>
      </c>
      <c r="D813">
        <v>13095</v>
      </c>
      <c r="E813">
        <v>7401</v>
      </c>
      <c r="F813">
        <v>5694</v>
      </c>
      <c r="G813" t="s">
        <v>19</v>
      </c>
      <c r="H813" t="s">
        <v>45</v>
      </c>
      <c r="I813" t="s">
        <v>24</v>
      </c>
      <c r="J813" s="2">
        <f>Table1[[#This Row],[Profit]]/Table1[[#This Row],[Sales]]*100</f>
        <v>43.48224513172967</v>
      </c>
      <c r="K813" t="str">
        <f>IF(Table1[[#This Row],[Sales]]&gt;=30000,"High", IF(Table1[[#This Row],[Sales]]&gt;=15000,"Medium","Low"))</f>
        <v>Low</v>
      </c>
      <c r="L813" t="str">
        <f>TEXT(Table1[[#This Row],[Order_Date]],"MMM")</f>
        <v>Aug</v>
      </c>
      <c r="M813" t="str">
        <f>IF(Table1[[#This Row],[Profit]]&gt;=10000,"Excellent",IF(Table1[[#This Row],[Profit]]&gt;5000,"Good","Low"))</f>
        <v>Good</v>
      </c>
      <c r="N813" t="str">
        <f>TEXT(Table1[[#This Row],[Order_Date]],"YYYY")</f>
        <v>2024</v>
      </c>
    </row>
    <row r="814" spans="1:14" x14ac:dyDescent="0.25">
      <c r="A814" s="1">
        <v>46045</v>
      </c>
      <c r="B814" t="s">
        <v>26</v>
      </c>
      <c r="C814" t="s">
        <v>36</v>
      </c>
      <c r="D814">
        <v>18520</v>
      </c>
      <c r="E814">
        <v>1463</v>
      </c>
      <c r="F814">
        <v>17057</v>
      </c>
      <c r="G814" t="s">
        <v>38</v>
      </c>
      <c r="H814" t="s">
        <v>45</v>
      </c>
      <c r="I814" t="s">
        <v>42</v>
      </c>
      <c r="J814" s="2">
        <f>Table1[[#This Row],[Profit]]/Table1[[#This Row],[Sales]]*100</f>
        <v>92.100431965442766</v>
      </c>
      <c r="K814" t="str">
        <f>IF(Table1[[#This Row],[Sales]]&gt;=30000,"High", IF(Table1[[#This Row],[Sales]]&gt;=15000,"Medium","Low"))</f>
        <v>Medium</v>
      </c>
      <c r="L814" t="str">
        <f>TEXT(Table1[[#This Row],[Order_Date]],"MMM")</f>
        <v>Jan</v>
      </c>
      <c r="M814" t="str">
        <f>IF(Table1[[#This Row],[Profit]]&gt;=10000,"Excellent",IF(Table1[[#This Row],[Profit]]&gt;5000,"Good","Low"))</f>
        <v>Excellent</v>
      </c>
      <c r="N814" t="str">
        <f>TEXT(Table1[[#This Row],[Order_Date]],"YYYY")</f>
        <v>2026</v>
      </c>
    </row>
    <row r="815" spans="1:14" x14ac:dyDescent="0.25">
      <c r="A815" s="1">
        <v>45142</v>
      </c>
      <c r="B815" t="s">
        <v>22</v>
      </c>
      <c r="C815" t="s">
        <v>33</v>
      </c>
      <c r="D815">
        <v>10433</v>
      </c>
      <c r="E815">
        <v>3955</v>
      </c>
      <c r="F815">
        <v>6478</v>
      </c>
      <c r="G815" t="s">
        <v>38</v>
      </c>
      <c r="H815" t="s">
        <v>45</v>
      </c>
      <c r="I815" t="s">
        <v>42</v>
      </c>
      <c r="J815" s="2">
        <f>Table1[[#This Row],[Profit]]/Table1[[#This Row],[Sales]]*100</f>
        <v>62.091440621106109</v>
      </c>
      <c r="K815" t="str">
        <f>IF(Table1[[#This Row],[Sales]]&gt;=30000,"High", IF(Table1[[#This Row],[Sales]]&gt;=15000,"Medium","Low"))</f>
        <v>Low</v>
      </c>
      <c r="L815" t="str">
        <f>TEXT(Table1[[#This Row],[Order_Date]],"MMM")</f>
        <v>Aug</v>
      </c>
      <c r="M815" t="str">
        <f>IF(Table1[[#This Row],[Profit]]&gt;=10000,"Excellent",IF(Table1[[#This Row],[Profit]]&gt;5000,"Good","Low"))</f>
        <v>Good</v>
      </c>
      <c r="N815" t="str">
        <f>TEXT(Table1[[#This Row],[Order_Date]],"YYYY")</f>
        <v>2023</v>
      </c>
    </row>
    <row r="816" spans="1:14" x14ac:dyDescent="0.25">
      <c r="A816" s="1">
        <v>45813</v>
      </c>
      <c r="B816" t="s">
        <v>26</v>
      </c>
      <c r="C816" t="s">
        <v>18</v>
      </c>
      <c r="D816">
        <v>19753</v>
      </c>
      <c r="E816">
        <v>5682</v>
      </c>
      <c r="F816">
        <v>14071</v>
      </c>
      <c r="G816" t="s">
        <v>13</v>
      </c>
      <c r="H816" t="s">
        <v>14</v>
      </c>
      <c r="I816" t="s">
        <v>24</v>
      </c>
      <c r="J816" s="2">
        <f>Table1[[#This Row],[Profit]]/Table1[[#This Row],[Sales]]*100</f>
        <v>71.234749152027547</v>
      </c>
      <c r="K816" t="str">
        <f>IF(Table1[[#This Row],[Sales]]&gt;=30000,"High", IF(Table1[[#This Row],[Sales]]&gt;=15000,"Medium","Low"))</f>
        <v>Medium</v>
      </c>
      <c r="L816" t="str">
        <f>TEXT(Table1[[#This Row],[Order_Date]],"MMM")</f>
        <v>Jun</v>
      </c>
      <c r="M816" t="str">
        <f>IF(Table1[[#This Row],[Profit]]&gt;=10000,"Excellent",IF(Table1[[#This Row],[Profit]]&gt;5000,"Good","Low"))</f>
        <v>Excellent</v>
      </c>
      <c r="N816" t="str">
        <f>TEXT(Table1[[#This Row],[Order_Date]],"YYYY")</f>
        <v>2025</v>
      </c>
    </row>
    <row r="817" spans="1:14" x14ac:dyDescent="0.25">
      <c r="A817" s="1">
        <v>45842</v>
      </c>
      <c r="B817" t="s">
        <v>22</v>
      </c>
      <c r="C817" t="s">
        <v>18</v>
      </c>
      <c r="D817">
        <v>39839</v>
      </c>
      <c r="E817">
        <v>35523</v>
      </c>
      <c r="F817">
        <v>4316</v>
      </c>
      <c r="G817" t="s">
        <v>27</v>
      </c>
      <c r="H817" t="s">
        <v>34</v>
      </c>
      <c r="I817" t="s">
        <v>29</v>
      </c>
      <c r="J817" s="2">
        <f>Table1[[#This Row],[Profit]]/Table1[[#This Row],[Sales]]*100</f>
        <v>10.833605261176233</v>
      </c>
      <c r="K817" t="str">
        <f>IF(Table1[[#This Row],[Sales]]&gt;=30000,"High", IF(Table1[[#This Row],[Sales]]&gt;=15000,"Medium","Low"))</f>
        <v>High</v>
      </c>
      <c r="L817" t="str">
        <f>TEXT(Table1[[#This Row],[Order_Date]],"MMM")</f>
        <v>Jul</v>
      </c>
      <c r="M817" t="str">
        <f>IF(Table1[[#This Row],[Profit]]&gt;=10000,"Excellent",IF(Table1[[#This Row],[Profit]]&gt;5000,"Good","Low"))</f>
        <v>Low</v>
      </c>
      <c r="N817" t="str">
        <f>TEXT(Table1[[#This Row],[Order_Date]],"YYYY")</f>
        <v>2025</v>
      </c>
    </row>
    <row r="818" spans="1:14" x14ac:dyDescent="0.25">
      <c r="A818" s="1">
        <v>46026</v>
      </c>
      <c r="B818" t="s">
        <v>22</v>
      </c>
      <c r="C818" t="s">
        <v>18</v>
      </c>
      <c r="D818">
        <v>15190</v>
      </c>
      <c r="E818">
        <v>2904</v>
      </c>
      <c r="F818">
        <v>12286</v>
      </c>
      <c r="G818" t="s">
        <v>38</v>
      </c>
      <c r="H818" t="s">
        <v>23</v>
      </c>
      <c r="I818" t="s">
        <v>29</v>
      </c>
      <c r="J818" s="2">
        <f>Table1[[#This Row],[Profit]]/Table1[[#This Row],[Sales]]*100</f>
        <v>80.882159315339038</v>
      </c>
      <c r="K818" t="str">
        <f>IF(Table1[[#This Row],[Sales]]&gt;=30000,"High", IF(Table1[[#This Row],[Sales]]&gt;=15000,"Medium","Low"))</f>
        <v>Medium</v>
      </c>
      <c r="L818" t="str">
        <f>TEXT(Table1[[#This Row],[Order_Date]],"MMM")</f>
        <v>Jan</v>
      </c>
      <c r="M818" t="str">
        <f>IF(Table1[[#This Row],[Profit]]&gt;=10000,"Excellent",IF(Table1[[#This Row],[Profit]]&gt;5000,"Good","Low"))</f>
        <v>Excellent</v>
      </c>
      <c r="N818" t="str">
        <f>TEXT(Table1[[#This Row],[Order_Date]],"YYYY")</f>
        <v>2026</v>
      </c>
    </row>
    <row r="819" spans="1:14" x14ac:dyDescent="0.25">
      <c r="A819" s="1">
        <v>46132</v>
      </c>
      <c r="B819" t="s">
        <v>26</v>
      </c>
      <c r="C819" t="s">
        <v>41</v>
      </c>
      <c r="D819">
        <v>28354</v>
      </c>
      <c r="E819">
        <v>8856</v>
      </c>
      <c r="F819">
        <v>19498</v>
      </c>
      <c r="G819" t="s">
        <v>27</v>
      </c>
      <c r="H819" t="s">
        <v>31</v>
      </c>
      <c r="I819" t="s">
        <v>42</v>
      </c>
      <c r="J819" s="2">
        <f>Table1[[#This Row],[Profit]]/Table1[[#This Row],[Sales]]*100</f>
        <v>68.766311631515833</v>
      </c>
      <c r="K819" t="str">
        <f>IF(Table1[[#This Row],[Sales]]&gt;=30000,"High", IF(Table1[[#This Row],[Sales]]&gt;=15000,"Medium","Low"))</f>
        <v>Medium</v>
      </c>
      <c r="L819" t="str">
        <f>TEXT(Table1[[#This Row],[Order_Date]],"MMM")</f>
        <v>Apr</v>
      </c>
      <c r="M819" t="str">
        <f>IF(Table1[[#This Row],[Profit]]&gt;=10000,"Excellent",IF(Table1[[#This Row],[Profit]]&gt;5000,"Good","Low"))</f>
        <v>Excellent</v>
      </c>
      <c r="N819" t="str">
        <f>TEXT(Table1[[#This Row],[Order_Date]],"YYYY")</f>
        <v>2026</v>
      </c>
    </row>
    <row r="820" spans="1:14" x14ac:dyDescent="0.25">
      <c r="A820" s="1">
        <v>45395</v>
      </c>
      <c r="B820" t="s">
        <v>17</v>
      </c>
      <c r="C820" t="s">
        <v>18</v>
      </c>
      <c r="D820">
        <v>38398</v>
      </c>
      <c r="E820">
        <v>35126</v>
      </c>
      <c r="F820">
        <v>3272</v>
      </c>
      <c r="G820" t="s">
        <v>38</v>
      </c>
      <c r="H820" t="s">
        <v>31</v>
      </c>
      <c r="I820" t="s">
        <v>42</v>
      </c>
      <c r="J820" s="2">
        <f>Table1[[#This Row],[Profit]]/Table1[[#This Row],[Sales]]*100</f>
        <v>8.5212771498515547</v>
      </c>
      <c r="K820" t="str">
        <f>IF(Table1[[#This Row],[Sales]]&gt;=30000,"High", IF(Table1[[#This Row],[Sales]]&gt;=15000,"Medium","Low"))</f>
        <v>High</v>
      </c>
      <c r="L820" t="str">
        <f>TEXT(Table1[[#This Row],[Order_Date]],"MMM")</f>
        <v>Apr</v>
      </c>
      <c r="M820" t="str">
        <f>IF(Table1[[#This Row],[Profit]]&gt;=10000,"Excellent",IF(Table1[[#This Row],[Profit]]&gt;5000,"Good","Low"))</f>
        <v>Low</v>
      </c>
      <c r="N820" t="str">
        <f>TEXT(Table1[[#This Row],[Order_Date]],"YYYY")</f>
        <v>2024</v>
      </c>
    </row>
    <row r="821" spans="1:14" x14ac:dyDescent="0.25">
      <c r="A821" s="1">
        <v>45862</v>
      </c>
      <c r="B821" t="s">
        <v>17</v>
      </c>
      <c r="C821" t="s">
        <v>41</v>
      </c>
      <c r="D821">
        <v>5654</v>
      </c>
      <c r="E821">
        <v>912</v>
      </c>
      <c r="F821">
        <v>4742</v>
      </c>
      <c r="G821" t="s">
        <v>38</v>
      </c>
      <c r="H821" t="s">
        <v>31</v>
      </c>
      <c r="I821" t="s">
        <v>29</v>
      </c>
      <c r="J821" s="2">
        <f>Table1[[#This Row],[Profit]]/Table1[[#This Row],[Sales]]*100</f>
        <v>83.869826671383095</v>
      </c>
      <c r="K821" t="str">
        <f>IF(Table1[[#This Row],[Sales]]&gt;=30000,"High", IF(Table1[[#This Row],[Sales]]&gt;=15000,"Medium","Low"))</f>
        <v>Low</v>
      </c>
      <c r="L821" t="str">
        <f>TEXT(Table1[[#This Row],[Order_Date]],"MMM")</f>
        <v>Jul</v>
      </c>
      <c r="M821" t="str">
        <f>IF(Table1[[#This Row],[Profit]]&gt;=10000,"Excellent",IF(Table1[[#This Row],[Profit]]&gt;5000,"Good","Low"))</f>
        <v>Low</v>
      </c>
      <c r="N821" t="str">
        <f>TEXT(Table1[[#This Row],[Order_Date]],"YYYY")</f>
        <v>2025</v>
      </c>
    </row>
    <row r="822" spans="1:14" x14ac:dyDescent="0.25">
      <c r="A822" s="1">
        <v>45529</v>
      </c>
      <c r="B822" t="s">
        <v>44</v>
      </c>
      <c r="C822" t="s">
        <v>12</v>
      </c>
      <c r="D822">
        <v>48618</v>
      </c>
      <c r="E822">
        <v>29320</v>
      </c>
      <c r="F822">
        <v>19298</v>
      </c>
      <c r="G822" t="s">
        <v>19</v>
      </c>
      <c r="H822" t="s">
        <v>63</v>
      </c>
      <c r="I822" t="s">
        <v>42</v>
      </c>
      <c r="J822" s="2">
        <f>Table1[[#This Row],[Profit]]/Table1[[#This Row],[Sales]]*100</f>
        <v>39.693117775309553</v>
      </c>
      <c r="K822" t="str">
        <f>IF(Table1[[#This Row],[Sales]]&gt;=30000,"High", IF(Table1[[#This Row],[Sales]]&gt;=15000,"Medium","Low"))</f>
        <v>High</v>
      </c>
      <c r="L822" t="str">
        <f>TEXT(Table1[[#This Row],[Order_Date]],"MMM")</f>
        <v>Aug</v>
      </c>
      <c r="M822" t="str">
        <f>IF(Table1[[#This Row],[Profit]]&gt;=10000,"Excellent",IF(Table1[[#This Row],[Profit]]&gt;5000,"Good","Low"))</f>
        <v>Excellent</v>
      </c>
      <c r="N822" t="str">
        <f>TEXT(Table1[[#This Row],[Order_Date]],"YYYY")</f>
        <v>2024</v>
      </c>
    </row>
    <row r="823" spans="1:14" x14ac:dyDescent="0.25">
      <c r="A823" s="1">
        <v>45223</v>
      </c>
      <c r="B823" t="s">
        <v>11</v>
      </c>
      <c r="C823" t="s">
        <v>18</v>
      </c>
      <c r="D823">
        <v>22277</v>
      </c>
      <c r="E823">
        <v>10799</v>
      </c>
      <c r="F823">
        <v>11478</v>
      </c>
      <c r="G823" t="s">
        <v>19</v>
      </c>
      <c r="H823" t="s">
        <v>20</v>
      </c>
      <c r="I823" t="s">
        <v>15</v>
      </c>
      <c r="J823" s="2">
        <f>Table1[[#This Row],[Profit]]/Table1[[#This Row],[Sales]]*100</f>
        <v>51.523993356376529</v>
      </c>
      <c r="K823" t="str">
        <f>IF(Table1[[#This Row],[Sales]]&gt;=30000,"High", IF(Table1[[#This Row],[Sales]]&gt;=15000,"Medium","Low"))</f>
        <v>Medium</v>
      </c>
      <c r="L823" t="str">
        <f>TEXT(Table1[[#This Row],[Order_Date]],"MMM")</f>
        <v>Oct</v>
      </c>
      <c r="M823" t="str">
        <f>IF(Table1[[#This Row],[Profit]]&gt;=10000,"Excellent",IF(Table1[[#This Row],[Profit]]&gt;5000,"Good","Low"))</f>
        <v>Excellent</v>
      </c>
      <c r="N823" t="str">
        <f>TEXT(Table1[[#This Row],[Order_Date]],"YYYY")</f>
        <v>2023</v>
      </c>
    </row>
    <row r="824" spans="1:14" x14ac:dyDescent="0.25">
      <c r="A824" s="1">
        <v>45191</v>
      </c>
      <c r="B824" t="s">
        <v>17</v>
      </c>
      <c r="C824" t="s">
        <v>33</v>
      </c>
      <c r="D824">
        <v>9320</v>
      </c>
      <c r="E824">
        <v>3932</v>
      </c>
      <c r="F824">
        <v>5388</v>
      </c>
      <c r="G824" t="s">
        <v>27</v>
      </c>
      <c r="H824" t="s">
        <v>60</v>
      </c>
      <c r="I824" t="s">
        <v>15</v>
      </c>
      <c r="J824" s="2">
        <f>Table1[[#This Row],[Profit]]/Table1[[#This Row],[Sales]]*100</f>
        <v>57.811158798283259</v>
      </c>
      <c r="K824" t="str">
        <f>IF(Table1[[#This Row],[Sales]]&gt;=30000,"High", IF(Table1[[#This Row],[Sales]]&gt;=15000,"Medium","Low"))</f>
        <v>Low</v>
      </c>
      <c r="L824" t="str">
        <f>TEXT(Table1[[#This Row],[Order_Date]],"MMM")</f>
        <v>Sep</v>
      </c>
      <c r="M824" t="str">
        <f>IF(Table1[[#This Row],[Profit]]&gt;=10000,"Excellent",IF(Table1[[#This Row],[Profit]]&gt;5000,"Good","Low"))</f>
        <v>Good</v>
      </c>
      <c r="N824" t="str">
        <f>TEXT(Table1[[#This Row],[Order_Date]],"YYYY")</f>
        <v>2023</v>
      </c>
    </row>
    <row r="825" spans="1:14" x14ac:dyDescent="0.25">
      <c r="A825" s="1">
        <v>45173</v>
      </c>
      <c r="B825" t="s">
        <v>17</v>
      </c>
      <c r="C825" t="s">
        <v>12</v>
      </c>
      <c r="D825">
        <v>42676</v>
      </c>
      <c r="E825">
        <v>27637</v>
      </c>
      <c r="F825">
        <v>15039</v>
      </c>
      <c r="G825" t="s">
        <v>38</v>
      </c>
      <c r="H825" t="s">
        <v>45</v>
      </c>
      <c r="I825" t="s">
        <v>29</v>
      </c>
      <c r="J825" s="2">
        <f>Table1[[#This Row],[Profit]]/Table1[[#This Row],[Sales]]*100</f>
        <v>35.239947511481859</v>
      </c>
      <c r="K825" t="str">
        <f>IF(Table1[[#This Row],[Sales]]&gt;=30000,"High", IF(Table1[[#This Row],[Sales]]&gt;=15000,"Medium","Low"))</f>
        <v>High</v>
      </c>
      <c r="L825" t="str">
        <f>TEXT(Table1[[#This Row],[Order_Date]],"MMM")</f>
        <v>Sep</v>
      </c>
      <c r="M825" t="str">
        <f>IF(Table1[[#This Row],[Profit]]&gt;=10000,"Excellent",IF(Table1[[#This Row],[Profit]]&gt;5000,"Good","Low"))</f>
        <v>Excellent</v>
      </c>
      <c r="N825" t="str">
        <f>TEXT(Table1[[#This Row],[Order_Date]],"YYYY")</f>
        <v>2023</v>
      </c>
    </row>
    <row r="826" spans="1:14" x14ac:dyDescent="0.25">
      <c r="A826" s="1">
        <v>46121</v>
      </c>
      <c r="B826" t="s">
        <v>17</v>
      </c>
      <c r="C826" t="s">
        <v>18</v>
      </c>
      <c r="D826">
        <v>17298</v>
      </c>
      <c r="E826">
        <v>13505</v>
      </c>
      <c r="F826">
        <v>3793</v>
      </c>
      <c r="G826" t="s">
        <v>13</v>
      </c>
      <c r="H826" t="s">
        <v>78</v>
      </c>
      <c r="I826" t="s">
        <v>42</v>
      </c>
      <c r="J826" s="2">
        <f>Table1[[#This Row],[Profit]]/Table1[[#This Row],[Sales]]*100</f>
        <v>21.927390449762978</v>
      </c>
      <c r="K826" t="str">
        <f>IF(Table1[[#This Row],[Sales]]&gt;=30000,"High", IF(Table1[[#This Row],[Sales]]&gt;=15000,"Medium","Low"))</f>
        <v>Medium</v>
      </c>
      <c r="L826" t="str">
        <f>TEXT(Table1[[#This Row],[Order_Date]],"MMM")</f>
        <v>Apr</v>
      </c>
      <c r="M826" t="str">
        <f>IF(Table1[[#This Row],[Profit]]&gt;=10000,"Excellent",IF(Table1[[#This Row],[Profit]]&gt;5000,"Good","Low"))</f>
        <v>Low</v>
      </c>
      <c r="N826" t="str">
        <f>TEXT(Table1[[#This Row],[Order_Date]],"YYYY")</f>
        <v>2026</v>
      </c>
    </row>
    <row r="827" spans="1:14" x14ac:dyDescent="0.25">
      <c r="A827" s="1">
        <v>45773</v>
      </c>
      <c r="B827" t="s">
        <v>17</v>
      </c>
      <c r="C827" t="s">
        <v>18</v>
      </c>
      <c r="D827">
        <v>10327</v>
      </c>
      <c r="E827">
        <v>6189</v>
      </c>
      <c r="F827">
        <v>4138</v>
      </c>
      <c r="G827" t="s">
        <v>13</v>
      </c>
      <c r="H827" t="s">
        <v>60</v>
      </c>
      <c r="I827" t="s">
        <v>24</v>
      </c>
      <c r="J827" s="2">
        <f>Table1[[#This Row],[Profit]]/Table1[[#This Row],[Sales]]*100</f>
        <v>40.069720151060331</v>
      </c>
      <c r="K827" t="str">
        <f>IF(Table1[[#This Row],[Sales]]&gt;=30000,"High", IF(Table1[[#This Row],[Sales]]&gt;=15000,"Medium","Low"))</f>
        <v>Low</v>
      </c>
      <c r="L827" t="str">
        <f>TEXT(Table1[[#This Row],[Order_Date]],"MMM")</f>
        <v>Apr</v>
      </c>
      <c r="M827" t="str">
        <f>IF(Table1[[#This Row],[Profit]]&gt;=10000,"Excellent",IF(Table1[[#This Row],[Profit]]&gt;5000,"Good","Low"))</f>
        <v>Low</v>
      </c>
      <c r="N827" t="str">
        <f>TEXT(Table1[[#This Row],[Order_Date]],"YYYY")</f>
        <v>2025</v>
      </c>
    </row>
    <row r="828" spans="1:14" x14ac:dyDescent="0.25">
      <c r="A828" s="1">
        <v>45408</v>
      </c>
      <c r="B828" t="s">
        <v>44</v>
      </c>
      <c r="C828" t="s">
        <v>36</v>
      </c>
      <c r="D828">
        <v>9806</v>
      </c>
      <c r="E828">
        <v>6538</v>
      </c>
      <c r="F828">
        <v>3268</v>
      </c>
      <c r="G828" t="s">
        <v>27</v>
      </c>
      <c r="H828" t="s">
        <v>78</v>
      </c>
      <c r="I828" t="s">
        <v>42</v>
      </c>
      <c r="J828" s="2">
        <f>Table1[[#This Row],[Profit]]/Table1[[#This Row],[Sales]]*100</f>
        <v>33.326534774627781</v>
      </c>
      <c r="K828" t="str">
        <f>IF(Table1[[#This Row],[Sales]]&gt;=30000,"High", IF(Table1[[#This Row],[Sales]]&gt;=15000,"Medium","Low"))</f>
        <v>Low</v>
      </c>
      <c r="L828" t="str">
        <f>TEXT(Table1[[#This Row],[Order_Date]],"MMM")</f>
        <v>Apr</v>
      </c>
      <c r="M828" t="str">
        <f>IF(Table1[[#This Row],[Profit]]&gt;=10000,"Excellent",IF(Table1[[#This Row],[Profit]]&gt;5000,"Good","Low"))</f>
        <v>Low</v>
      </c>
      <c r="N828" t="str">
        <f>TEXT(Table1[[#This Row],[Order_Date]],"YYYY")</f>
        <v>2024</v>
      </c>
    </row>
    <row r="829" spans="1:14" x14ac:dyDescent="0.25">
      <c r="A829" s="1">
        <v>45466</v>
      </c>
      <c r="B829" t="s">
        <v>17</v>
      </c>
      <c r="C829" t="s">
        <v>36</v>
      </c>
      <c r="D829">
        <v>19210</v>
      </c>
      <c r="E829">
        <v>17581</v>
      </c>
      <c r="F829">
        <v>1629</v>
      </c>
      <c r="G829" t="s">
        <v>27</v>
      </c>
      <c r="H829" t="s">
        <v>63</v>
      </c>
      <c r="I829" t="s">
        <v>15</v>
      </c>
      <c r="J829" s="2">
        <f>Table1[[#This Row],[Profit]]/Table1[[#This Row],[Sales]]*100</f>
        <v>8.4799583550234257</v>
      </c>
      <c r="K829" t="str">
        <f>IF(Table1[[#This Row],[Sales]]&gt;=30000,"High", IF(Table1[[#This Row],[Sales]]&gt;=15000,"Medium","Low"))</f>
        <v>Medium</v>
      </c>
      <c r="L829" t="str">
        <f>TEXT(Table1[[#This Row],[Order_Date]],"MMM")</f>
        <v>Jun</v>
      </c>
      <c r="M829" t="str">
        <f>IF(Table1[[#This Row],[Profit]]&gt;=10000,"Excellent",IF(Table1[[#This Row],[Profit]]&gt;5000,"Good","Low"))</f>
        <v>Low</v>
      </c>
      <c r="N829" t="str">
        <f>TEXT(Table1[[#This Row],[Order_Date]],"YYYY")</f>
        <v>2024</v>
      </c>
    </row>
    <row r="830" spans="1:14" x14ac:dyDescent="0.25">
      <c r="A830" s="1">
        <v>45128</v>
      </c>
      <c r="B830" t="s">
        <v>44</v>
      </c>
      <c r="C830" t="s">
        <v>18</v>
      </c>
      <c r="D830">
        <v>10260</v>
      </c>
      <c r="E830">
        <v>2809</v>
      </c>
      <c r="F830">
        <v>7451</v>
      </c>
      <c r="G830" t="s">
        <v>38</v>
      </c>
      <c r="H830" t="s">
        <v>14</v>
      </c>
      <c r="I830" t="s">
        <v>29</v>
      </c>
      <c r="J830" s="2">
        <f>Table1[[#This Row],[Profit]]/Table1[[#This Row],[Sales]]*100</f>
        <v>72.621832358674467</v>
      </c>
      <c r="K830" t="str">
        <f>IF(Table1[[#This Row],[Sales]]&gt;=30000,"High", IF(Table1[[#This Row],[Sales]]&gt;=15000,"Medium","Low"))</f>
        <v>Low</v>
      </c>
      <c r="L830" t="str">
        <f>TEXT(Table1[[#This Row],[Order_Date]],"MMM")</f>
        <v>Jul</v>
      </c>
      <c r="M830" t="str">
        <f>IF(Table1[[#This Row],[Profit]]&gt;=10000,"Excellent",IF(Table1[[#This Row],[Profit]]&gt;5000,"Good","Low"))</f>
        <v>Good</v>
      </c>
      <c r="N830" t="str">
        <f>TEXT(Table1[[#This Row],[Order_Date]],"YYYY")</f>
        <v>2023</v>
      </c>
    </row>
    <row r="831" spans="1:14" x14ac:dyDescent="0.25">
      <c r="A831" s="1">
        <v>45959</v>
      </c>
      <c r="B831" t="s">
        <v>17</v>
      </c>
      <c r="C831" t="s">
        <v>33</v>
      </c>
      <c r="D831">
        <v>40706</v>
      </c>
      <c r="E831">
        <v>32338</v>
      </c>
      <c r="F831">
        <v>8368</v>
      </c>
      <c r="G831" t="s">
        <v>19</v>
      </c>
      <c r="H831" t="s">
        <v>23</v>
      </c>
      <c r="I831" t="s">
        <v>15</v>
      </c>
      <c r="J831" s="2">
        <f>Table1[[#This Row],[Profit]]/Table1[[#This Row],[Sales]]*100</f>
        <v>20.557166019751389</v>
      </c>
      <c r="K831" t="str">
        <f>IF(Table1[[#This Row],[Sales]]&gt;=30000,"High", IF(Table1[[#This Row],[Sales]]&gt;=15000,"Medium","Low"))</f>
        <v>High</v>
      </c>
      <c r="L831" t="str">
        <f>TEXT(Table1[[#This Row],[Order_Date]],"MMM")</f>
        <v>Oct</v>
      </c>
      <c r="M831" t="str">
        <f>IF(Table1[[#This Row],[Profit]]&gt;=10000,"Excellent",IF(Table1[[#This Row],[Profit]]&gt;5000,"Good","Low"))</f>
        <v>Good</v>
      </c>
      <c r="N831" t="str">
        <f>TEXT(Table1[[#This Row],[Order_Date]],"YYYY")</f>
        <v>2025</v>
      </c>
    </row>
    <row r="832" spans="1:14" x14ac:dyDescent="0.25">
      <c r="A832" s="1">
        <v>45850</v>
      </c>
      <c r="B832" t="s">
        <v>44</v>
      </c>
      <c r="C832" t="s">
        <v>33</v>
      </c>
      <c r="D832">
        <v>17568</v>
      </c>
      <c r="E832">
        <v>4026</v>
      </c>
      <c r="F832">
        <v>13542</v>
      </c>
      <c r="G832" t="s">
        <v>13</v>
      </c>
      <c r="H832" t="s">
        <v>31</v>
      </c>
      <c r="I832" t="s">
        <v>15</v>
      </c>
      <c r="J832" s="2">
        <f>Table1[[#This Row],[Profit]]/Table1[[#This Row],[Sales]]*100</f>
        <v>77.083333333333343</v>
      </c>
      <c r="K832" t="str">
        <f>IF(Table1[[#This Row],[Sales]]&gt;=30000,"High", IF(Table1[[#This Row],[Sales]]&gt;=15000,"Medium","Low"))</f>
        <v>Medium</v>
      </c>
      <c r="L832" t="str">
        <f>TEXT(Table1[[#This Row],[Order_Date]],"MMM")</f>
        <v>Jul</v>
      </c>
      <c r="M832" t="str">
        <f>IF(Table1[[#This Row],[Profit]]&gt;=10000,"Excellent",IF(Table1[[#This Row],[Profit]]&gt;5000,"Good","Low"))</f>
        <v>Excellent</v>
      </c>
      <c r="N832" t="str">
        <f>TEXT(Table1[[#This Row],[Order_Date]],"YYYY")</f>
        <v>2025</v>
      </c>
    </row>
    <row r="833" spans="1:14" x14ac:dyDescent="0.25">
      <c r="A833" s="1">
        <v>45468</v>
      </c>
      <c r="B833" t="s">
        <v>11</v>
      </c>
      <c r="C833" t="s">
        <v>36</v>
      </c>
      <c r="D833">
        <v>38836</v>
      </c>
      <c r="E833">
        <v>25898</v>
      </c>
      <c r="F833">
        <v>12938</v>
      </c>
      <c r="G833" t="s">
        <v>19</v>
      </c>
      <c r="H833" t="s">
        <v>60</v>
      </c>
      <c r="I833" t="s">
        <v>42</v>
      </c>
      <c r="J833" s="2">
        <f>Table1[[#This Row],[Profit]]/Table1[[#This Row],[Sales]]*100</f>
        <v>33.314450509836234</v>
      </c>
      <c r="K833" t="str">
        <f>IF(Table1[[#This Row],[Sales]]&gt;=30000,"High", IF(Table1[[#This Row],[Sales]]&gt;=15000,"Medium","Low"))</f>
        <v>High</v>
      </c>
      <c r="L833" t="str">
        <f>TEXT(Table1[[#This Row],[Order_Date]],"MMM")</f>
        <v>Jun</v>
      </c>
      <c r="M833" t="str">
        <f>IF(Table1[[#This Row],[Profit]]&gt;=10000,"Excellent",IF(Table1[[#This Row],[Profit]]&gt;5000,"Good","Low"))</f>
        <v>Excellent</v>
      </c>
      <c r="N833" t="str">
        <f>TEXT(Table1[[#This Row],[Order_Date]],"YYYY")</f>
        <v>2024</v>
      </c>
    </row>
    <row r="834" spans="1:14" x14ac:dyDescent="0.25">
      <c r="A834" s="1">
        <v>46008</v>
      </c>
      <c r="B834" t="s">
        <v>44</v>
      </c>
      <c r="C834" t="s">
        <v>36</v>
      </c>
      <c r="D834">
        <v>37032</v>
      </c>
      <c r="E834">
        <v>17297</v>
      </c>
      <c r="F834">
        <v>19735</v>
      </c>
      <c r="G834" t="s">
        <v>27</v>
      </c>
      <c r="H834" t="s">
        <v>14</v>
      </c>
      <c r="I834" t="s">
        <v>42</v>
      </c>
      <c r="J834" s="2">
        <f>Table1[[#This Row],[Profit]]/Table1[[#This Row],[Sales]]*100</f>
        <v>53.291747677684164</v>
      </c>
      <c r="K834" t="str">
        <f>IF(Table1[[#This Row],[Sales]]&gt;=30000,"High", IF(Table1[[#This Row],[Sales]]&gt;=15000,"Medium","Low"))</f>
        <v>High</v>
      </c>
      <c r="L834" t="str">
        <f>TEXT(Table1[[#This Row],[Order_Date]],"MMM")</f>
        <v>Dec</v>
      </c>
      <c r="M834" t="str">
        <f>IF(Table1[[#This Row],[Profit]]&gt;=10000,"Excellent",IF(Table1[[#This Row],[Profit]]&gt;5000,"Good","Low"))</f>
        <v>Excellent</v>
      </c>
      <c r="N834" t="str">
        <f>TEXT(Table1[[#This Row],[Order_Date]],"YYYY")</f>
        <v>2025</v>
      </c>
    </row>
    <row r="835" spans="1:14" x14ac:dyDescent="0.25">
      <c r="A835" s="1">
        <v>46129</v>
      </c>
      <c r="B835" t="s">
        <v>22</v>
      </c>
      <c r="C835" t="s">
        <v>18</v>
      </c>
      <c r="D835">
        <v>14818</v>
      </c>
      <c r="E835">
        <v>12304</v>
      </c>
      <c r="F835">
        <v>2514</v>
      </c>
      <c r="G835" t="s">
        <v>38</v>
      </c>
      <c r="H835" t="s">
        <v>78</v>
      </c>
      <c r="I835" t="s">
        <v>15</v>
      </c>
      <c r="J835" s="2">
        <f>Table1[[#This Row],[Profit]]/Table1[[#This Row],[Sales]]*100</f>
        <v>16.965852341746523</v>
      </c>
      <c r="K835" t="str">
        <f>IF(Table1[[#This Row],[Sales]]&gt;=30000,"High", IF(Table1[[#This Row],[Sales]]&gt;=15000,"Medium","Low"))</f>
        <v>Low</v>
      </c>
      <c r="L835" t="str">
        <f>TEXT(Table1[[#This Row],[Order_Date]],"MMM")</f>
        <v>Apr</v>
      </c>
      <c r="M835" t="str">
        <f>IF(Table1[[#This Row],[Profit]]&gt;=10000,"Excellent",IF(Table1[[#This Row],[Profit]]&gt;5000,"Good","Low"))</f>
        <v>Low</v>
      </c>
      <c r="N835" t="str">
        <f>TEXT(Table1[[#This Row],[Order_Date]],"YYYY")</f>
        <v>2026</v>
      </c>
    </row>
    <row r="836" spans="1:14" x14ac:dyDescent="0.25">
      <c r="A836" s="1">
        <v>45918</v>
      </c>
      <c r="B836" t="s">
        <v>11</v>
      </c>
      <c r="C836" t="s">
        <v>18</v>
      </c>
      <c r="D836">
        <v>41920</v>
      </c>
      <c r="E836">
        <v>32849</v>
      </c>
      <c r="F836">
        <v>9071</v>
      </c>
      <c r="G836" t="s">
        <v>19</v>
      </c>
      <c r="H836" t="s">
        <v>78</v>
      </c>
      <c r="I836" t="s">
        <v>15</v>
      </c>
      <c r="J836" s="2">
        <f>Table1[[#This Row],[Profit]]/Table1[[#This Row],[Sales]]*100</f>
        <v>21.638835877862594</v>
      </c>
      <c r="K836" t="str">
        <f>IF(Table1[[#This Row],[Sales]]&gt;=30000,"High", IF(Table1[[#This Row],[Sales]]&gt;=15000,"Medium","Low"))</f>
        <v>High</v>
      </c>
      <c r="L836" t="str">
        <f>TEXT(Table1[[#This Row],[Order_Date]],"MMM")</f>
        <v>Sep</v>
      </c>
      <c r="M836" t="str">
        <f>IF(Table1[[#This Row],[Profit]]&gt;=10000,"Excellent",IF(Table1[[#This Row],[Profit]]&gt;5000,"Good","Low"))</f>
        <v>Good</v>
      </c>
      <c r="N836" t="str">
        <f>TEXT(Table1[[#This Row],[Order_Date]],"YYYY")</f>
        <v>2025</v>
      </c>
    </row>
    <row r="837" spans="1:14" x14ac:dyDescent="0.25">
      <c r="A837" s="1">
        <v>45494</v>
      </c>
      <c r="B837" t="s">
        <v>17</v>
      </c>
      <c r="C837" t="s">
        <v>41</v>
      </c>
      <c r="D837">
        <v>9923</v>
      </c>
      <c r="E837">
        <v>8294</v>
      </c>
      <c r="F837">
        <v>1629</v>
      </c>
      <c r="G837" t="s">
        <v>13</v>
      </c>
      <c r="H837" t="s">
        <v>20</v>
      </c>
      <c r="I837" t="s">
        <v>29</v>
      </c>
      <c r="J837" s="2">
        <f>Table1[[#This Row],[Profit]]/Table1[[#This Row],[Sales]]*100</f>
        <v>16.416406328731231</v>
      </c>
      <c r="K837" t="str">
        <f>IF(Table1[[#This Row],[Sales]]&gt;=30000,"High", IF(Table1[[#This Row],[Sales]]&gt;=15000,"Medium","Low"))</f>
        <v>Low</v>
      </c>
      <c r="L837" t="str">
        <f>TEXT(Table1[[#This Row],[Order_Date]],"MMM")</f>
        <v>Jul</v>
      </c>
      <c r="M837" t="str">
        <f>IF(Table1[[#This Row],[Profit]]&gt;=10000,"Excellent",IF(Table1[[#This Row],[Profit]]&gt;5000,"Good","Low"))</f>
        <v>Low</v>
      </c>
      <c r="N837" t="str">
        <f>TEXT(Table1[[#This Row],[Order_Date]],"YYYY")</f>
        <v>2024</v>
      </c>
    </row>
    <row r="838" spans="1:14" x14ac:dyDescent="0.25">
      <c r="A838" s="1">
        <v>45298</v>
      </c>
      <c r="B838" t="s">
        <v>26</v>
      </c>
      <c r="C838" t="s">
        <v>36</v>
      </c>
      <c r="D838">
        <v>5828</v>
      </c>
      <c r="E838">
        <v>4172</v>
      </c>
      <c r="F838">
        <v>1656</v>
      </c>
      <c r="G838" t="s">
        <v>19</v>
      </c>
      <c r="H838" t="s">
        <v>31</v>
      </c>
      <c r="I838" t="s">
        <v>15</v>
      </c>
      <c r="J838" s="2">
        <f>Table1[[#This Row],[Profit]]/Table1[[#This Row],[Sales]]*100</f>
        <v>28.414550446122167</v>
      </c>
      <c r="K838" t="str">
        <f>IF(Table1[[#This Row],[Sales]]&gt;=30000,"High", IF(Table1[[#This Row],[Sales]]&gt;=15000,"Medium","Low"))</f>
        <v>Low</v>
      </c>
      <c r="L838" t="str">
        <f>TEXT(Table1[[#This Row],[Order_Date]],"MMM")</f>
        <v>Jan</v>
      </c>
      <c r="M838" t="str">
        <f>IF(Table1[[#This Row],[Profit]]&gt;=10000,"Excellent",IF(Table1[[#This Row],[Profit]]&gt;5000,"Good","Low"))</f>
        <v>Low</v>
      </c>
      <c r="N838" t="str">
        <f>TEXT(Table1[[#This Row],[Order_Date]],"YYYY")</f>
        <v>2024</v>
      </c>
    </row>
    <row r="839" spans="1:14" x14ac:dyDescent="0.25">
      <c r="A839" s="1">
        <v>45641</v>
      </c>
      <c r="B839" t="s">
        <v>11</v>
      </c>
      <c r="C839" t="s">
        <v>41</v>
      </c>
      <c r="D839">
        <v>29306</v>
      </c>
      <c r="E839">
        <v>18617</v>
      </c>
      <c r="F839">
        <v>10689</v>
      </c>
      <c r="G839" t="s">
        <v>38</v>
      </c>
      <c r="H839" t="s">
        <v>20</v>
      </c>
      <c r="I839" t="s">
        <v>29</v>
      </c>
      <c r="J839" s="2">
        <f>Table1[[#This Row],[Profit]]/Table1[[#This Row],[Sales]]*100</f>
        <v>36.47375963966423</v>
      </c>
      <c r="K839" t="str">
        <f>IF(Table1[[#This Row],[Sales]]&gt;=30000,"High", IF(Table1[[#This Row],[Sales]]&gt;=15000,"Medium","Low"))</f>
        <v>Medium</v>
      </c>
      <c r="L839" t="str">
        <f>TEXT(Table1[[#This Row],[Order_Date]],"MMM")</f>
        <v>Dec</v>
      </c>
      <c r="M839" t="str">
        <f>IF(Table1[[#This Row],[Profit]]&gt;=10000,"Excellent",IF(Table1[[#This Row],[Profit]]&gt;5000,"Good","Low"))</f>
        <v>Excellent</v>
      </c>
      <c r="N839" t="str">
        <f>TEXT(Table1[[#This Row],[Order_Date]],"YYYY")</f>
        <v>2024</v>
      </c>
    </row>
    <row r="840" spans="1:14" x14ac:dyDescent="0.25">
      <c r="A840" s="1">
        <v>45499</v>
      </c>
      <c r="B840" t="s">
        <v>11</v>
      </c>
      <c r="C840" t="s">
        <v>41</v>
      </c>
      <c r="D840">
        <v>9321</v>
      </c>
      <c r="E840">
        <v>6023</v>
      </c>
      <c r="F840">
        <v>3298</v>
      </c>
      <c r="G840" t="s">
        <v>13</v>
      </c>
      <c r="H840" t="s">
        <v>20</v>
      </c>
      <c r="I840" t="s">
        <v>53</v>
      </c>
      <c r="J840" s="2">
        <f>Table1[[#This Row],[Profit]]/Table1[[#This Row],[Sales]]*100</f>
        <v>35.382469692093125</v>
      </c>
      <c r="K840" t="str">
        <f>IF(Table1[[#This Row],[Sales]]&gt;=30000,"High", IF(Table1[[#This Row],[Sales]]&gt;=15000,"Medium","Low"))</f>
        <v>Low</v>
      </c>
      <c r="L840" t="str">
        <f>TEXT(Table1[[#This Row],[Order_Date]],"MMM")</f>
        <v>Jul</v>
      </c>
      <c r="M840" t="str">
        <f>IF(Table1[[#This Row],[Profit]]&gt;=10000,"Excellent",IF(Table1[[#This Row],[Profit]]&gt;5000,"Good","Low"))</f>
        <v>Low</v>
      </c>
      <c r="N840" t="str">
        <f>TEXT(Table1[[#This Row],[Order_Date]],"YYYY")</f>
        <v>2024</v>
      </c>
    </row>
    <row r="841" spans="1:14" x14ac:dyDescent="0.25">
      <c r="A841" s="1">
        <v>45343</v>
      </c>
      <c r="B841" t="s">
        <v>26</v>
      </c>
      <c r="C841" t="s">
        <v>33</v>
      </c>
      <c r="D841">
        <v>19755</v>
      </c>
      <c r="E841">
        <v>4346</v>
      </c>
      <c r="F841">
        <v>15409</v>
      </c>
      <c r="G841" t="s">
        <v>13</v>
      </c>
      <c r="H841" t="s">
        <v>20</v>
      </c>
      <c r="I841" t="s">
        <v>42</v>
      </c>
      <c r="J841" s="2">
        <f>Table1[[#This Row],[Profit]]/Table1[[#This Row],[Sales]]*100</f>
        <v>78.00050620096178</v>
      </c>
      <c r="K841" t="str">
        <f>IF(Table1[[#This Row],[Sales]]&gt;=30000,"High", IF(Table1[[#This Row],[Sales]]&gt;=15000,"Medium","Low"))</f>
        <v>Medium</v>
      </c>
      <c r="L841" t="str">
        <f>TEXT(Table1[[#This Row],[Order_Date]],"MMM")</f>
        <v>Feb</v>
      </c>
      <c r="M841" t="str">
        <f>IF(Table1[[#This Row],[Profit]]&gt;=10000,"Excellent",IF(Table1[[#This Row],[Profit]]&gt;5000,"Good","Low"))</f>
        <v>Excellent</v>
      </c>
      <c r="N841" t="str">
        <f>TEXT(Table1[[#This Row],[Order_Date]],"YYYY")</f>
        <v>2024</v>
      </c>
    </row>
    <row r="842" spans="1:14" x14ac:dyDescent="0.25">
      <c r="A842" s="1">
        <v>45568</v>
      </c>
      <c r="B842" t="s">
        <v>26</v>
      </c>
      <c r="C842" t="s">
        <v>36</v>
      </c>
      <c r="D842">
        <v>23148</v>
      </c>
      <c r="E842">
        <v>5234</v>
      </c>
      <c r="F842">
        <v>17914</v>
      </c>
      <c r="G842" t="s">
        <v>13</v>
      </c>
      <c r="H842" t="s">
        <v>23</v>
      </c>
      <c r="I842" t="s">
        <v>29</v>
      </c>
      <c r="J842" s="2">
        <f>Table1[[#This Row],[Profit]]/Table1[[#This Row],[Sales]]*100</f>
        <v>77.388975289441859</v>
      </c>
      <c r="K842" t="str">
        <f>IF(Table1[[#This Row],[Sales]]&gt;=30000,"High", IF(Table1[[#This Row],[Sales]]&gt;=15000,"Medium","Low"))</f>
        <v>Medium</v>
      </c>
      <c r="L842" t="str">
        <f>TEXT(Table1[[#This Row],[Order_Date]],"MMM")</f>
        <v>Oct</v>
      </c>
      <c r="M842" t="str">
        <f>IF(Table1[[#This Row],[Profit]]&gt;=10000,"Excellent",IF(Table1[[#This Row],[Profit]]&gt;5000,"Good","Low"))</f>
        <v>Excellent</v>
      </c>
      <c r="N842" t="str">
        <f>TEXT(Table1[[#This Row],[Order_Date]],"YYYY")</f>
        <v>2024</v>
      </c>
    </row>
    <row r="843" spans="1:14" x14ac:dyDescent="0.25">
      <c r="A843" s="1">
        <v>45198</v>
      </c>
      <c r="B843" t="s">
        <v>44</v>
      </c>
      <c r="C843" t="s">
        <v>12</v>
      </c>
      <c r="D843">
        <v>47459</v>
      </c>
      <c r="E843">
        <v>28683</v>
      </c>
      <c r="F843">
        <v>18776</v>
      </c>
      <c r="G843" t="s">
        <v>13</v>
      </c>
      <c r="H843" t="s">
        <v>28</v>
      </c>
      <c r="I843" t="s">
        <v>29</v>
      </c>
      <c r="J843" s="2">
        <f>Table1[[#This Row],[Profit]]/Table1[[#This Row],[Sales]]*100</f>
        <v>39.562569797088017</v>
      </c>
      <c r="K843" t="str">
        <f>IF(Table1[[#This Row],[Sales]]&gt;=30000,"High", IF(Table1[[#This Row],[Sales]]&gt;=15000,"Medium","Low"))</f>
        <v>High</v>
      </c>
      <c r="L843" t="str">
        <f>TEXT(Table1[[#This Row],[Order_Date]],"MMM")</f>
        <v>Sep</v>
      </c>
      <c r="M843" t="str">
        <f>IF(Table1[[#This Row],[Profit]]&gt;=10000,"Excellent",IF(Table1[[#This Row],[Profit]]&gt;5000,"Good","Low"))</f>
        <v>Excellent</v>
      </c>
      <c r="N843" t="str">
        <f>TEXT(Table1[[#This Row],[Order_Date]],"YYYY")</f>
        <v>2023</v>
      </c>
    </row>
    <row r="844" spans="1:14" x14ac:dyDescent="0.25">
      <c r="A844" s="1">
        <v>45924</v>
      </c>
      <c r="B844" t="s">
        <v>11</v>
      </c>
      <c r="C844" t="s">
        <v>18</v>
      </c>
      <c r="D844">
        <v>48689</v>
      </c>
      <c r="E844">
        <v>47716</v>
      </c>
      <c r="F844">
        <v>973</v>
      </c>
      <c r="G844" t="s">
        <v>19</v>
      </c>
      <c r="H844" t="s">
        <v>45</v>
      </c>
      <c r="I844" t="s">
        <v>42</v>
      </c>
      <c r="J844" s="2">
        <f>Table1[[#This Row],[Profit]]/Table1[[#This Row],[Sales]]*100</f>
        <v>1.9983979954404485</v>
      </c>
      <c r="K844" t="str">
        <f>IF(Table1[[#This Row],[Sales]]&gt;=30000,"High", IF(Table1[[#This Row],[Sales]]&gt;=15000,"Medium","Low"))</f>
        <v>High</v>
      </c>
      <c r="L844" t="str">
        <f>TEXT(Table1[[#This Row],[Order_Date]],"MMM")</f>
        <v>Sep</v>
      </c>
      <c r="M844" t="str">
        <f>IF(Table1[[#This Row],[Profit]]&gt;=10000,"Excellent",IF(Table1[[#This Row],[Profit]]&gt;5000,"Good","Low"))</f>
        <v>Low</v>
      </c>
      <c r="N844" t="str">
        <f>TEXT(Table1[[#This Row],[Order_Date]],"YYYY")</f>
        <v>2025</v>
      </c>
    </row>
    <row r="845" spans="1:14" x14ac:dyDescent="0.25">
      <c r="A845" s="1">
        <v>45955</v>
      </c>
      <c r="B845" t="s">
        <v>22</v>
      </c>
      <c r="C845" t="s">
        <v>12</v>
      </c>
      <c r="D845">
        <v>33543</v>
      </c>
      <c r="E845">
        <v>24299</v>
      </c>
      <c r="F845">
        <v>9244</v>
      </c>
      <c r="G845" t="s">
        <v>27</v>
      </c>
      <c r="H845" t="s">
        <v>20</v>
      </c>
      <c r="I845" t="s">
        <v>42</v>
      </c>
      <c r="J845" s="2">
        <f>Table1[[#This Row],[Profit]]/Table1[[#This Row],[Sales]]*100</f>
        <v>27.558656053423963</v>
      </c>
      <c r="K845" t="str">
        <f>IF(Table1[[#This Row],[Sales]]&gt;=30000,"High", IF(Table1[[#This Row],[Sales]]&gt;=15000,"Medium","Low"))</f>
        <v>High</v>
      </c>
      <c r="L845" t="str">
        <f>TEXT(Table1[[#This Row],[Order_Date]],"MMM")</f>
        <v>Oct</v>
      </c>
      <c r="M845" t="str">
        <f>IF(Table1[[#This Row],[Profit]]&gt;=10000,"Excellent",IF(Table1[[#This Row],[Profit]]&gt;5000,"Good","Low"))</f>
        <v>Good</v>
      </c>
      <c r="N845" t="str">
        <f>TEXT(Table1[[#This Row],[Order_Date]],"YYYY")</f>
        <v>2025</v>
      </c>
    </row>
    <row r="846" spans="1:14" x14ac:dyDescent="0.25">
      <c r="A846" s="1">
        <v>46104</v>
      </c>
      <c r="B846" t="s">
        <v>22</v>
      </c>
      <c r="C846" t="s">
        <v>18</v>
      </c>
      <c r="D846">
        <v>29740</v>
      </c>
      <c r="E846">
        <v>20934</v>
      </c>
      <c r="F846">
        <v>8806</v>
      </c>
      <c r="G846" t="s">
        <v>19</v>
      </c>
      <c r="H846" t="s">
        <v>34</v>
      </c>
      <c r="I846" t="s">
        <v>29</v>
      </c>
      <c r="J846" s="2">
        <f>Table1[[#This Row],[Profit]]/Table1[[#This Row],[Sales]]*100</f>
        <v>29.60995292535306</v>
      </c>
      <c r="K846" t="str">
        <f>IF(Table1[[#This Row],[Sales]]&gt;=30000,"High", IF(Table1[[#This Row],[Sales]]&gt;=15000,"Medium","Low"))</f>
        <v>Medium</v>
      </c>
      <c r="L846" t="str">
        <f>TEXT(Table1[[#This Row],[Order_Date]],"MMM")</f>
        <v>Mar</v>
      </c>
      <c r="M846" t="str">
        <f>IF(Table1[[#This Row],[Profit]]&gt;=10000,"Excellent",IF(Table1[[#This Row],[Profit]]&gt;5000,"Good","Low"))</f>
        <v>Good</v>
      </c>
      <c r="N846" t="str">
        <f>TEXT(Table1[[#This Row],[Order_Date]],"YYYY")</f>
        <v>2026</v>
      </c>
    </row>
    <row r="847" spans="1:14" x14ac:dyDescent="0.25">
      <c r="A847" s="1">
        <v>45410</v>
      </c>
      <c r="B847" t="s">
        <v>11</v>
      </c>
      <c r="C847" t="s">
        <v>33</v>
      </c>
      <c r="D847">
        <v>12728</v>
      </c>
      <c r="E847">
        <v>11673</v>
      </c>
      <c r="F847">
        <v>1055</v>
      </c>
      <c r="G847" t="s">
        <v>19</v>
      </c>
      <c r="H847" t="s">
        <v>14</v>
      </c>
      <c r="I847" t="s">
        <v>15</v>
      </c>
      <c r="J847" s="2">
        <f>Table1[[#This Row],[Profit]]/Table1[[#This Row],[Sales]]*100</f>
        <v>8.2888120678818353</v>
      </c>
      <c r="K847" t="str">
        <f>IF(Table1[[#This Row],[Sales]]&gt;=30000,"High", IF(Table1[[#This Row],[Sales]]&gt;=15000,"Medium","Low"))</f>
        <v>Low</v>
      </c>
      <c r="L847" t="str">
        <f>TEXT(Table1[[#This Row],[Order_Date]],"MMM")</f>
        <v>Apr</v>
      </c>
      <c r="M847" t="str">
        <f>IF(Table1[[#This Row],[Profit]]&gt;=10000,"Excellent",IF(Table1[[#This Row],[Profit]]&gt;5000,"Good","Low"))</f>
        <v>Low</v>
      </c>
      <c r="N847" t="str">
        <f>TEXT(Table1[[#This Row],[Order_Date]],"YYYY")</f>
        <v>2024</v>
      </c>
    </row>
    <row r="848" spans="1:14" x14ac:dyDescent="0.25">
      <c r="A848" s="1">
        <v>45415</v>
      </c>
      <c r="B848" t="s">
        <v>22</v>
      </c>
      <c r="C848" t="s">
        <v>41</v>
      </c>
      <c r="D848">
        <v>19459</v>
      </c>
      <c r="E848">
        <v>4338</v>
      </c>
      <c r="F848">
        <v>15121</v>
      </c>
      <c r="G848" t="s">
        <v>19</v>
      </c>
      <c r="H848" t="s">
        <v>20</v>
      </c>
      <c r="I848" t="s">
        <v>42</v>
      </c>
      <c r="J848" s="2">
        <f>Table1[[#This Row],[Profit]]/Table1[[#This Row],[Sales]]*100</f>
        <v>77.706973636877535</v>
      </c>
      <c r="K848" t="str">
        <f>IF(Table1[[#This Row],[Sales]]&gt;=30000,"High", IF(Table1[[#This Row],[Sales]]&gt;=15000,"Medium","Low"))</f>
        <v>Medium</v>
      </c>
      <c r="L848" t="str">
        <f>TEXT(Table1[[#This Row],[Order_Date]],"MMM")</f>
        <v>May</v>
      </c>
      <c r="M848" t="str">
        <f>IF(Table1[[#This Row],[Profit]]&gt;=10000,"Excellent",IF(Table1[[#This Row],[Profit]]&gt;5000,"Good","Low"))</f>
        <v>Excellent</v>
      </c>
      <c r="N848" t="str">
        <f>TEXT(Table1[[#This Row],[Order_Date]],"YYYY")</f>
        <v>2024</v>
      </c>
    </row>
    <row r="849" spans="1:14" x14ac:dyDescent="0.25">
      <c r="A849" s="1">
        <v>45394</v>
      </c>
      <c r="B849" t="s">
        <v>44</v>
      </c>
      <c r="C849" t="s">
        <v>33</v>
      </c>
      <c r="D849">
        <v>31556</v>
      </c>
      <c r="E849">
        <v>20291</v>
      </c>
      <c r="F849">
        <v>11265</v>
      </c>
      <c r="G849" t="s">
        <v>13</v>
      </c>
      <c r="H849" t="s">
        <v>78</v>
      </c>
      <c r="I849" t="s">
        <v>42</v>
      </c>
      <c r="J849" s="2">
        <f>Table1[[#This Row],[Profit]]/Table1[[#This Row],[Sales]]*100</f>
        <v>35.698440867030037</v>
      </c>
      <c r="K849" t="str">
        <f>IF(Table1[[#This Row],[Sales]]&gt;=30000,"High", IF(Table1[[#This Row],[Sales]]&gt;=15000,"Medium","Low"))</f>
        <v>High</v>
      </c>
      <c r="L849" t="str">
        <f>TEXT(Table1[[#This Row],[Order_Date]],"MMM")</f>
        <v>Apr</v>
      </c>
      <c r="M849" t="str">
        <f>IF(Table1[[#This Row],[Profit]]&gt;=10000,"Excellent",IF(Table1[[#This Row],[Profit]]&gt;5000,"Good","Low"))</f>
        <v>Excellent</v>
      </c>
      <c r="N849" t="str">
        <f>TEXT(Table1[[#This Row],[Order_Date]],"YYYY")</f>
        <v>2024</v>
      </c>
    </row>
    <row r="850" spans="1:14" x14ac:dyDescent="0.25">
      <c r="A850" s="1">
        <v>45661</v>
      </c>
      <c r="B850" t="s">
        <v>44</v>
      </c>
      <c r="C850" t="s">
        <v>41</v>
      </c>
      <c r="D850">
        <v>28899</v>
      </c>
      <c r="E850">
        <v>23465</v>
      </c>
      <c r="F850">
        <v>5434</v>
      </c>
      <c r="G850" t="s">
        <v>27</v>
      </c>
      <c r="H850" t="s">
        <v>23</v>
      </c>
      <c r="I850" t="s">
        <v>42</v>
      </c>
      <c r="J850" s="2">
        <f>Table1[[#This Row],[Profit]]/Table1[[#This Row],[Sales]]*100</f>
        <v>18.803418803418804</v>
      </c>
      <c r="K850" t="str">
        <f>IF(Table1[[#This Row],[Sales]]&gt;=30000,"High", IF(Table1[[#This Row],[Sales]]&gt;=15000,"Medium","Low"))</f>
        <v>Medium</v>
      </c>
      <c r="L850" t="str">
        <f>TEXT(Table1[[#This Row],[Order_Date]],"MMM")</f>
        <v>Jan</v>
      </c>
      <c r="M850" t="str">
        <f>IF(Table1[[#This Row],[Profit]]&gt;=10000,"Excellent",IF(Table1[[#This Row],[Profit]]&gt;5000,"Good","Low"))</f>
        <v>Good</v>
      </c>
      <c r="N850" t="str">
        <f>TEXT(Table1[[#This Row],[Order_Date]],"YYYY")</f>
        <v>2025</v>
      </c>
    </row>
    <row r="851" spans="1:14" x14ac:dyDescent="0.25">
      <c r="A851" s="1">
        <v>45668</v>
      </c>
      <c r="B851" t="s">
        <v>26</v>
      </c>
      <c r="C851" t="s">
        <v>12</v>
      </c>
      <c r="D851">
        <v>23789</v>
      </c>
      <c r="E851">
        <v>7011</v>
      </c>
      <c r="F851">
        <v>16778</v>
      </c>
      <c r="G851" t="s">
        <v>19</v>
      </c>
      <c r="H851" t="s">
        <v>20</v>
      </c>
      <c r="I851" t="s">
        <v>53</v>
      </c>
      <c r="J851" s="2">
        <f>Table1[[#This Row],[Profit]]/Table1[[#This Row],[Sales]]*100</f>
        <v>70.528395476901082</v>
      </c>
      <c r="K851" t="str">
        <f>IF(Table1[[#This Row],[Sales]]&gt;=30000,"High", IF(Table1[[#This Row],[Sales]]&gt;=15000,"Medium","Low"))</f>
        <v>Medium</v>
      </c>
      <c r="L851" t="str">
        <f>TEXT(Table1[[#This Row],[Order_Date]],"MMM")</f>
        <v>Jan</v>
      </c>
      <c r="M851" t="str">
        <f>IF(Table1[[#This Row],[Profit]]&gt;=10000,"Excellent",IF(Table1[[#This Row],[Profit]]&gt;5000,"Good","Low"))</f>
        <v>Excellent</v>
      </c>
      <c r="N851" t="str">
        <f>TEXT(Table1[[#This Row],[Order_Date]],"YYYY")</f>
        <v>2025</v>
      </c>
    </row>
    <row r="852" spans="1:14" x14ac:dyDescent="0.25">
      <c r="A852" s="1">
        <v>45888</v>
      </c>
      <c r="B852" t="s">
        <v>11</v>
      </c>
      <c r="C852" t="s">
        <v>33</v>
      </c>
      <c r="D852">
        <v>38179</v>
      </c>
      <c r="E852">
        <v>26492</v>
      </c>
      <c r="F852">
        <v>11687</v>
      </c>
      <c r="G852" t="s">
        <v>19</v>
      </c>
      <c r="H852" t="s">
        <v>45</v>
      </c>
      <c r="I852" t="s">
        <v>53</v>
      </c>
      <c r="J852" s="2">
        <f>Table1[[#This Row],[Profit]]/Table1[[#This Row],[Sales]]*100</f>
        <v>30.611068912229232</v>
      </c>
      <c r="K852" t="str">
        <f>IF(Table1[[#This Row],[Sales]]&gt;=30000,"High", IF(Table1[[#This Row],[Sales]]&gt;=15000,"Medium","Low"))</f>
        <v>High</v>
      </c>
      <c r="L852" t="str">
        <f>TEXT(Table1[[#This Row],[Order_Date]],"MMM")</f>
        <v>Aug</v>
      </c>
      <c r="M852" t="str">
        <f>IF(Table1[[#This Row],[Profit]]&gt;=10000,"Excellent",IF(Table1[[#This Row],[Profit]]&gt;5000,"Good","Low"))</f>
        <v>Excellent</v>
      </c>
      <c r="N852" t="str">
        <f>TEXT(Table1[[#This Row],[Order_Date]],"YYYY")</f>
        <v>2025</v>
      </c>
    </row>
    <row r="853" spans="1:14" x14ac:dyDescent="0.25">
      <c r="A853" s="1">
        <v>45429</v>
      </c>
      <c r="B853" t="s">
        <v>17</v>
      </c>
      <c r="C853" t="s">
        <v>36</v>
      </c>
      <c r="D853">
        <v>6170</v>
      </c>
      <c r="E853">
        <v>3648</v>
      </c>
      <c r="F853">
        <v>2522</v>
      </c>
      <c r="G853" t="s">
        <v>38</v>
      </c>
      <c r="H853" t="s">
        <v>63</v>
      </c>
      <c r="I853" t="s">
        <v>29</v>
      </c>
      <c r="J853" s="2">
        <f>Table1[[#This Row],[Profit]]/Table1[[#This Row],[Sales]]*100</f>
        <v>40.875202593192867</v>
      </c>
      <c r="K853" t="str">
        <f>IF(Table1[[#This Row],[Sales]]&gt;=30000,"High", IF(Table1[[#This Row],[Sales]]&gt;=15000,"Medium","Low"))</f>
        <v>Low</v>
      </c>
      <c r="L853" t="str">
        <f>TEXT(Table1[[#This Row],[Order_Date]],"MMM")</f>
        <v>May</v>
      </c>
      <c r="M853" t="str">
        <f>IF(Table1[[#This Row],[Profit]]&gt;=10000,"Excellent",IF(Table1[[#This Row],[Profit]]&gt;5000,"Good","Low"))</f>
        <v>Low</v>
      </c>
      <c r="N853" t="str">
        <f>TEXT(Table1[[#This Row],[Order_Date]],"YYYY")</f>
        <v>2024</v>
      </c>
    </row>
    <row r="854" spans="1:14" x14ac:dyDescent="0.25">
      <c r="A854" s="1">
        <v>46092</v>
      </c>
      <c r="B854" t="s">
        <v>11</v>
      </c>
      <c r="C854" t="s">
        <v>36</v>
      </c>
      <c r="D854">
        <v>44388</v>
      </c>
      <c r="E854">
        <v>30618</v>
      </c>
      <c r="F854">
        <v>13770</v>
      </c>
      <c r="G854" t="s">
        <v>38</v>
      </c>
      <c r="H854" t="s">
        <v>78</v>
      </c>
      <c r="I854" t="s">
        <v>24</v>
      </c>
      <c r="J854" s="2">
        <f>Table1[[#This Row],[Profit]]/Table1[[#This Row],[Sales]]*100</f>
        <v>31.021897810218981</v>
      </c>
      <c r="K854" t="str">
        <f>IF(Table1[[#This Row],[Sales]]&gt;=30000,"High", IF(Table1[[#This Row],[Sales]]&gt;=15000,"Medium","Low"))</f>
        <v>High</v>
      </c>
      <c r="L854" t="str">
        <f>TEXT(Table1[[#This Row],[Order_Date]],"MMM")</f>
        <v>Mar</v>
      </c>
      <c r="M854" t="str">
        <f>IF(Table1[[#This Row],[Profit]]&gt;=10000,"Excellent",IF(Table1[[#This Row],[Profit]]&gt;5000,"Good","Low"))</f>
        <v>Excellent</v>
      </c>
      <c r="N854" t="str">
        <f>TEXT(Table1[[#This Row],[Order_Date]],"YYYY")</f>
        <v>2026</v>
      </c>
    </row>
    <row r="855" spans="1:14" x14ac:dyDescent="0.25">
      <c r="A855" s="1">
        <v>45576</v>
      </c>
      <c r="B855" t="s">
        <v>22</v>
      </c>
      <c r="C855" t="s">
        <v>41</v>
      </c>
      <c r="D855">
        <v>47299</v>
      </c>
      <c r="E855">
        <v>34641</v>
      </c>
      <c r="F855">
        <v>12658</v>
      </c>
      <c r="G855" t="s">
        <v>27</v>
      </c>
      <c r="H855" t="s">
        <v>63</v>
      </c>
      <c r="I855" t="s">
        <v>15</v>
      </c>
      <c r="J855" s="2">
        <f>Table1[[#This Row],[Profit]]/Table1[[#This Row],[Sales]]*100</f>
        <v>26.761665151483115</v>
      </c>
      <c r="K855" t="str">
        <f>IF(Table1[[#This Row],[Sales]]&gt;=30000,"High", IF(Table1[[#This Row],[Sales]]&gt;=15000,"Medium","Low"))</f>
        <v>High</v>
      </c>
      <c r="L855" t="str">
        <f>TEXT(Table1[[#This Row],[Order_Date]],"MMM")</f>
        <v>Oct</v>
      </c>
      <c r="M855" t="str">
        <f>IF(Table1[[#This Row],[Profit]]&gt;=10000,"Excellent",IF(Table1[[#This Row],[Profit]]&gt;5000,"Good","Low"))</f>
        <v>Excellent</v>
      </c>
      <c r="N855" t="str">
        <f>TEXT(Table1[[#This Row],[Order_Date]],"YYYY")</f>
        <v>2024</v>
      </c>
    </row>
    <row r="856" spans="1:14" x14ac:dyDescent="0.25">
      <c r="A856" s="1">
        <v>45312</v>
      </c>
      <c r="B856" t="s">
        <v>44</v>
      </c>
      <c r="C856" t="s">
        <v>36</v>
      </c>
      <c r="D856">
        <v>48271</v>
      </c>
      <c r="E856">
        <v>38973</v>
      </c>
      <c r="F856">
        <v>9298</v>
      </c>
      <c r="G856" t="s">
        <v>19</v>
      </c>
      <c r="H856" t="s">
        <v>78</v>
      </c>
      <c r="I856" t="s">
        <v>42</v>
      </c>
      <c r="J856" s="2">
        <f>Table1[[#This Row],[Profit]]/Table1[[#This Row],[Sales]]*100</f>
        <v>19.262082824055852</v>
      </c>
      <c r="K856" t="str">
        <f>IF(Table1[[#This Row],[Sales]]&gt;=30000,"High", IF(Table1[[#This Row],[Sales]]&gt;=15000,"Medium","Low"))</f>
        <v>High</v>
      </c>
      <c r="L856" t="str">
        <f>TEXT(Table1[[#This Row],[Order_Date]],"MMM")</f>
        <v>Jan</v>
      </c>
      <c r="M856" t="str">
        <f>IF(Table1[[#This Row],[Profit]]&gt;=10000,"Excellent",IF(Table1[[#This Row],[Profit]]&gt;5000,"Good","Low"))</f>
        <v>Good</v>
      </c>
      <c r="N856" t="str">
        <f>TEXT(Table1[[#This Row],[Order_Date]],"YYYY")</f>
        <v>2024</v>
      </c>
    </row>
    <row r="857" spans="1:14" x14ac:dyDescent="0.25">
      <c r="A857" s="1">
        <v>45181</v>
      </c>
      <c r="B857" t="s">
        <v>44</v>
      </c>
      <c r="C857" t="s">
        <v>33</v>
      </c>
      <c r="D857">
        <v>48974</v>
      </c>
      <c r="E857">
        <v>37652</v>
      </c>
      <c r="F857">
        <v>11322</v>
      </c>
      <c r="G857" t="s">
        <v>13</v>
      </c>
      <c r="H857" t="s">
        <v>20</v>
      </c>
      <c r="I857" t="s">
        <v>29</v>
      </c>
      <c r="J857" s="2">
        <f>Table1[[#This Row],[Profit]]/Table1[[#This Row],[Sales]]*100</f>
        <v>23.11838934945073</v>
      </c>
      <c r="K857" t="str">
        <f>IF(Table1[[#This Row],[Sales]]&gt;=30000,"High", IF(Table1[[#This Row],[Sales]]&gt;=15000,"Medium","Low"))</f>
        <v>High</v>
      </c>
      <c r="L857" t="str">
        <f>TEXT(Table1[[#This Row],[Order_Date]],"MMM")</f>
        <v>Sep</v>
      </c>
      <c r="M857" t="str">
        <f>IF(Table1[[#This Row],[Profit]]&gt;=10000,"Excellent",IF(Table1[[#This Row],[Profit]]&gt;5000,"Good","Low"))</f>
        <v>Excellent</v>
      </c>
      <c r="N857" t="str">
        <f>TEXT(Table1[[#This Row],[Order_Date]],"YYYY")</f>
        <v>2023</v>
      </c>
    </row>
    <row r="858" spans="1:14" x14ac:dyDescent="0.25">
      <c r="A858" s="1">
        <v>45776</v>
      </c>
      <c r="B858" t="s">
        <v>11</v>
      </c>
      <c r="C858" t="s">
        <v>18</v>
      </c>
      <c r="D858">
        <v>15727</v>
      </c>
      <c r="E858">
        <v>5892</v>
      </c>
      <c r="F858">
        <v>9835</v>
      </c>
      <c r="G858" t="s">
        <v>38</v>
      </c>
      <c r="H858" t="s">
        <v>60</v>
      </c>
      <c r="I858" t="s">
        <v>24</v>
      </c>
      <c r="J858" s="2">
        <f>Table1[[#This Row],[Profit]]/Table1[[#This Row],[Sales]]*100</f>
        <v>62.535766516182356</v>
      </c>
      <c r="K858" t="str">
        <f>IF(Table1[[#This Row],[Sales]]&gt;=30000,"High", IF(Table1[[#This Row],[Sales]]&gt;=15000,"Medium","Low"))</f>
        <v>Medium</v>
      </c>
      <c r="L858" t="str">
        <f>TEXT(Table1[[#This Row],[Order_Date]],"MMM")</f>
        <v>Apr</v>
      </c>
      <c r="M858" t="str">
        <f>IF(Table1[[#This Row],[Profit]]&gt;=10000,"Excellent",IF(Table1[[#This Row],[Profit]]&gt;5000,"Good","Low"))</f>
        <v>Good</v>
      </c>
      <c r="N858" t="str">
        <f>TEXT(Table1[[#This Row],[Order_Date]],"YYYY")</f>
        <v>2025</v>
      </c>
    </row>
    <row r="859" spans="1:14" x14ac:dyDescent="0.25">
      <c r="A859" s="1">
        <v>45259</v>
      </c>
      <c r="B859" t="s">
        <v>11</v>
      </c>
      <c r="C859" t="s">
        <v>12</v>
      </c>
      <c r="D859">
        <v>31268</v>
      </c>
      <c r="E859">
        <v>24433</v>
      </c>
      <c r="F859">
        <v>6835</v>
      </c>
      <c r="G859" t="s">
        <v>19</v>
      </c>
      <c r="H859" t="s">
        <v>20</v>
      </c>
      <c r="I859" t="s">
        <v>15</v>
      </c>
      <c r="J859" s="2">
        <f>Table1[[#This Row],[Profit]]/Table1[[#This Row],[Sales]]*100</f>
        <v>21.859408980427276</v>
      </c>
      <c r="K859" t="str">
        <f>IF(Table1[[#This Row],[Sales]]&gt;=30000,"High", IF(Table1[[#This Row],[Sales]]&gt;=15000,"Medium","Low"))</f>
        <v>High</v>
      </c>
      <c r="L859" t="str">
        <f>TEXT(Table1[[#This Row],[Order_Date]],"MMM")</f>
        <v>Nov</v>
      </c>
      <c r="M859" t="str">
        <f>IF(Table1[[#This Row],[Profit]]&gt;=10000,"Excellent",IF(Table1[[#This Row],[Profit]]&gt;5000,"Good","Low"))</f>
        <v>Good</v>
      </c>
      <c r="N859" t="str">
        <f>TEXT(Table1[[#This Row],[Order_Date]],"YYYY")</f>
        <v>2023</v>
      </c>
    </row>
    <row r="860" spans="1:14" x14ac:dyDescent="0.25">
      <c r="A860" s="1">
        <v>46100</v>
      </c>
      <c r="B860" t="s">
        <v>44</v>
      </c>
      <c r="C860" t="s">
        <v>18</v>
      </c>
      <c r="D860">
        <v>39243</v>
      </c>
      <c r="E860">
        <v>33140</v>
      </c>
      <c r="F860">
        <v>6103</v>
      </c>
      <c r="G860" t="s">
        <v>27</v>
      </c>
      <c r="H860" t="s">
        <v>14</v>
      </c>
      <c r="I860" t="s">
        <v>24</v>
      </c>
      <c r="J860" s="2">
        <f>Table1[[#This Row],[Profit]]/Table1[[#This Row],[Sales]]*100</f>
        <v>15.551818158652498</v>
      </c>
      <c r="K860" t="str">
        <f>IF(Table1[[#This Row],[Sales]]&gt;=30000,"High", IF(Table1[[#This Row],[Sales]]&gt;=15000,"Medium","Low"))</f>
        <v>High</v>
      </c>
      <c r="L860" t="str">
        <f>TEXT(Table1[[#This Row],[Order_Date]],"MMM")</f>
        <v>Mar</v>
      </c>
      <c r="M860" t="str">
        <f>IF(Table1[[#This Row],[Profit]]&gt;=10000,"Excellent",IF(Table1[[#This Row],[Profit]]&gt;5000,"Good","Low"))</f>
        <v>Good</v>
      </c>
      <c r="N860" t="str">
        <f>TEXT(Table1[[#This Row],[Order_Date]],"YYYY")</f>
        <v>2026</v>
      </c>
    </row>
    <row r="861" spans="1:14" x14ac:dyDescent="0.25">
      <c r="A861" s="1">
        <v>45132</v>
      </c>
      <c r="B861" t="s">
        <v>26</v>
      </c>
      <c r="C861" t="s">
        <v>12</v>
      </c>
      <c r="D861">
        <v>7331</v>
      </c>
      <c r="E861">
        <v>1331</v>
      </c>
      <c r="F861">
        <v>6000</v>
      </c>
      <c r="G861" t="s">
        <v>19</v>
      </c>
      <c r="H861" t="s">
        <v>28</v>
      </c>
      <c r="I861" t="s">
        <v>24</v>
      </c>
      <c r="J861" s="2">
        <f>Table1[[#This Row],[Profit]]/Table1[[#This Row],[Sales]]*100</f>
        <v>81.844223161915153</v>
      </c>
      <c r="K861" t="str">
        <f>IF(Table1[[#This Row],[Sales]]&gt;=30000,"High", IF(Table1[[#This Row],[Sales]]&gt;=15000,"Medium","Low"))</f>
        <v>Low</v>
      </c>
      <c r="L861" t="str">
        <f>TEXT(Table1[[#This Row],[Order_Date]],"MMM")</f>
        <v>Jul</v>
      </c>
      <c r="M861" t="str">
        <f>IF(Table1[[#This Row],[Profit]]&gt;=10000,"Excellent",IF(Table1[[#This Row],[Profit]]&gt;5000,"Good","Low"))</f>
        <v>Good</v>
      </c>
      <c r="N861" t="str">
        <f>TEXT(Table1[[#This Row],[Order_Date]],"YYYY")</f>
        <v>2023</v>
      </c>
    </row>
    <row r="862" spans="1:14" x14ac:dyDescent="0.25">
      <c r="A862" s="1">
        <v>45956</v>
      </c>
      <c r="B862" t="s">
        <v>44</v>
      </c>
      <c r="C862" t="s">
        <v>33</v>
      </c>
      <c r="D862">
        <v>23285</v>
      </c>
      <c r="E862">
        <v>10686</v>
      </c>
      <c r="F862">
        <v>12599</v>
      </c>
      <c r="G862" t="s">
        <v>27</v>
      </c>
      <c r="H862" t="s">
        <v>20</v>
      </c>
      <c r="I862" t="s">
        <v>53</v>
      </c>
      <c r="J862" s="2">
        <f>Table1[[#This Row],[Profit]]/Table1[[#This Row],[Sales]]*100</f>
        <v>54.107794717629375</v>
      </c>
      <c r="K862" t="str">
        <f>IF(Table1[[#This Row],[Sales]]&gt;=30000,"High", IF(Table1[[#This Row],[Sales]]&gt;=15000,"Medium","Low"))</f>
        <v>Medium</v>
      </c>
      <c r="L862" t="str">
        <f>TEXT(Table1[[#This Row],[Order_Date]],"MMM")</f>
        <v>Oct</v>
      </c>
      <c r="M862" t="str">
        <f>IF(Table1[[#This Row],[Profit]]&gt;=10000,"Excellent",IF(Table1[[#This Row],[Profit]]&gt;5000,"Good","Low"))</f>
        <v>Excellent</v>
      </c>
      <c r="N862" t="str">
        <f>TEXT(Table1[[#This Row],[Order_Date]],"YYYY")</f>
        <v>2025</v>
      </c>
    </row>
    <row r="863" spans="1:14" x14ac:dyDescent="0.25">
      <c r="A863" s="1">
        <v>45853</v>
      </c>
      <c r="B863" t="s">
        <v>17</v>
      </c>
      <c r="C863" t="s">
        <v>18</v>
      </c>
      <c r="D863">
        <v>7913</v>
      </c>
      <c r="E863">
        <v>2999</v>
      </c>
      <c r="F863">
        <v>4914</v>
      </c>
      <c r="G863" t="s">
        <v>19</v>
      </c>
      <c r="H863" t="s">
        <v>60</v>
      </c>
      <c r="I863" t="s">
        <v>53</v>
      </c>
      <c r="J863" s="2">
        <f>Table1[[#This Row],[Profit]]/Table1[[#This Row],[Sales]]*100</f>
        <v>62.100341210665988</v>
      </c>
      <c r="K863" t="str">
        <f>IF(Table1[[#This Row],[Sales]]&gt;=30000,"High", IF(Table1[[#This Row],[Sales]]&gt;=15000,"Medium","Low"))</f>
        <v>Low</v>
      </c>
      <c r="L863" t="str">
        <f>TEXT(Table1[[#This Row],[Order_Date]],"MMM")</f>
        <v>Jul</v>
      </c>
      <c r="M863" t="str">
        <f>IF(Table1[[#This Row],[Profit]]&gt;=10000,"Excellent",IF(Table1[[#This Row],[Profit]]&gt;5000,"Good","Low"))</f>
        <v>Low</v>
      </c>
      <c r="N863" t="str">
        <f>TEXT(Table1[[#This Row],[Order_Date]],"YYYY")</f>
        <v>2025</v>
      </c>
    </row>
    <row r="864" spans="1:14" x14ac:dyDescent="0.25">
      <c r="A864" s="1">
        <v>45888</v>
      </c>
      <c r="B864" t="s">
        <v>26</v>
      </c>
      <c r="C864" t="s">
        <v>18</v>
      </c>
      <c r="D864">
        <v>16353</v>
      </c>
      <c r="E864">
        <v>4248</v>
      </c>
      <c r="F864">
        <v>12105</v>
      </c>
      <c r="G864" t="s">
        <v>19</v>
      </c>
      <c r="H864" t="s">
        <v>60</v>
      </c>
      <c r="I864" t="s">
        <v>53</v>
      </c>
      <c r="J864" s="2">
        <f>Table1[[#This Row],[Profit]]/Table1[[#This Row],[Sales]]*100</f>
        <v>74.023115024766099</v>
      </c>
      <c r="K864" t="str">
        <f>IF(Table1[[#This Row],[Sales]]&gt;=30000,"High", IF(Table1[[#This Row],[Sales]]&gt;=15000,"Medium","Low"))</f>
        <v>Medium</v>
      </c>
      <c r="L864" t="str">
        <f>TEXT(Table1[[#This Row],[Order_Date]],"MMM")</f>
        <v>Aug</v>
      </c>
      <c r="M864" t="str">
        <f>IF(Table1[[#This Row],[Profit]]&gt;=10000,"Excellent",IF(Table1[[#This Row],[Profit]]&gt;5000,"Good","Low"))</f>
        <v>Excellent</v>
      </c>
      <c r="N864" t="str">
        <f>TEXT(Table1[[#This Row],[Order_Date]],"YYYY")</f>
        <v>2025</v>
      </c>
    </row>
    <row r="865" spans="1:14" x14ac:dyDescent="0.25">
      <c r="A865" s="1">
        <v>45474</v>
      </c>
      <c r="B865" t="s">
        <v>22</v>
      </c>
      <c r="C865" t="s">
        <v>12</v>
      </c>
      <c r="D865">
        <v>32675</v>
      </c>
      <c r="E865">
        <v>29699</v>
      </c>
      <c r="F865">
        <v>2976</v>
      </c>
      <c r="G865" t="s">
        <v>27</v>
      </c>
      <c r="H865" t="s">
        <v>14</v>
      </c>
      <c r="I865" t="s">
        <v>42</v>
      </c>
      <c r="J865" s="2">
        <f>Table1[[#This Row],[Profit]]/Table1[[#This Row],[Sales]]*100</f>
        <v>9.1078806426931909</v>
      </c>
      <c r="K865" t="str">
        <f>IF(Table1[[#This Row],[Sales]]&gt;=30000,"High", IF(Table1[[#This Row],[Sales]]&gt;=15000,"Medium","Low"))</f>
        <v>High</v>
      </c>
      <c r="L865" t="str">
        <f>TEXT(Table1[[#This Row],[Order_Date]],"MMM")</f>
        <v>Jul</v>
      </c>
      <c r="M865" t="str">
        <f>IF(Table1[[#This Row],[Profit]]&gt;=10000,"Excellent",IF(Table1[[#This Row],[Profit]]&gt;5000,"Good","Low"))</f>
        <v>Low</v>
      </c>
      <c r="N865" t="str">
        <f>TEXT(Table1[[#This Row],[Order_Date]],"YYYY")</f>
        <v>2024</v>
      </c>
    </row>
    <row r="866" spans="1:14" x14ac:dyDescent="0.25">
      <c r="A866" s="1">
        <v>45352</v>
      </c>
      <c r="B866" t="s">
        <v>17</v>
      </c>
      <c r="C866" t="s">
        <v>18</v>
      </c>
      <c r="D866">
        <v>48024</v>
      </c>
      <c r="E866">
        <v>38283</v>
      </c>
      <c r="F866">
        <v>9741</v>
      </c>
      <c r="G866" t="s">
        <v>19</v>
      </c>
      <c r="H866" t="s">
        <v>28</v>
      </c>
      <c r="I866" t="s">
        <v>53</v>
      </c>
      <c r="J866" s="2">
        <f>Table1[[#This Row],[Profit]]/Table1[[#This Row],[Sales]]*100</f>
        <v>20.283608195902051</v>
      </c>
      <c r="K866" t="str">
        <f>IF(Table1[[#This Row],[Sales]]&gt;=30000,"High", IF(Table1[[#This Row],[Sales]]&gt;=15000,"Medium","Low"))</f>
        <v>High</v>
      </c>
      <c r="L866" t="str">
        <f>TEXT(Table1[[#This Row],[Order_Date]],"MMM")</f>
        <v>Mar</v>
      </c>
      <c r="M866" t="str">
        <f>IF(Table1[[#This Row],[Profit]]&gt;=10000,"Excellent",IF(Table1[[#This Row],[Profit]]&gt;5000,"Good","Low"))</f>
        <v>Good</v>
      </c>
      <c r="N866" t="str">
        <f>TEXT(Table1[[#This Row],[Order_Date]],"YYYY")</f>
        <v>2024</v>
      </c>
    </row>
    <row r="867" spans="1:14" x14ac:dyDescent="0.25">
      <c r="A867" s="1">
        <v>45567</v>
      </c>
      <c r="B867" t="s">
        <v>22</v>
      </c>
      <c r="C867" t="s">
        <v>18</v>
      </c>
      <c r="D867">
        <v>9261</v>
      </c>
      <c r="E867">
        <v>4417</v>
      </c>
      <c r="F867">
        <v>4844</v>
      </c>
      <c r="G867" t="s">
        <v>13</v>
      </c>
      <c r="H867" t="s">
        <v>60</v>
      </c>
      <c r="I867" t="s">
        <v>53</v>
      </c>
      <c r="J867" s="2">
        <f>Table1[[#This Row],[Profit]]/Table1[[#This Row],[Sales]]*100</f>
        <v>52.305366591080883</v>
      </c>
      <c r="K867" t="str">
        <f>IF(Table1[[#This Row],[Sales]]&gt;=30000,"High", IF(Table1[[#This Row],[Sales]]&gt;=15000,"Medium","Low"))</f>
        <v>Low</v>
      </c>
      <c r="L867" t="str">
        <f>TEXT(Table1[[#This Row],[Order_Date]],"MMM")</f>
        <v>Oct</v>
      </c>
      <c r="M867" t="str">
        <f>IF(Table1[[#This Row],[Profit]]&gt;=10000,"Excellent",IF(Table1[[#This Row],[Profit]]&gt;5000,"Good","Low"))</f>
        <v>Low</v>
      </c>
      <c r="N867" t="str">
        <f>TEXT(Table1[[#This Row],[Order_Date]],"YYYY")</f>
        <v>2024</v>
      </c>
    </row>
    <row r="868" spans="1:14" x14ac:dyDescent="0.25">
      <c r="A868" s="1">
        <v>45502</v>
      </c>
      <c r="B868" t="s">
        <v>26</v>
      </c>
      <c r="C868" t="s">
        <v>12</v>
      </c>
      <c r="D868">
        <v>6744</v>
      </c>
      <c r="E868">
        <v>1531</v>
      </c>
      <c r="F868">
        <v>5213</v>
      </c>
      <c r="G868" t="s">
        <v>13</v>
      </c>
      <c r="H868" t="s">
        <v>63</v>
      </c>
      <c r="I868" t="s">
        <v>42</v>
      </c>
      <c r="J868" s="2">
        <f>Table1[[#This Row],[Profit]]/Table1[[#This Row],[Sales]]*100</f>
        <v>77.298339264531435</v>
      </c>
      <c r="K868" t="str">
        <f>IF(Table1[[#This Row],[Sales]]&gt;=30000,"High", IF(Table1[[#This Row],[Sales]]&gt;=15000,"Medium","Low"))</f>
        <v>Low</v>
      </c>
      <c r="L868" t="str">
        <f>TEXT(Table1[[#This Row],[Order_Date]],"MMM")</f>
        <v>Jul</v>
      </c>
      <c r="M868" t="str">
        <f>IF(Table1[[#This Row],[Profit]]&gt;=10000,"Excellent",IF(Table1[[#This Row],[Profit]]&gt;5000,"Good","Low"))</f>
        <v>Good</v>
      </c>
      <c r="N868" t="str">
        <f>TEXT(Table1[[#This Row],[Order_Date]],"YYYY")</f>
        <v>2024</v>
      </c>
    </row>
    <row r="869" spans="1:14" x14ac:dyDescent="0.25">
      <c r="A869" s="1">
        <v>45599</v>
      </c>
      <c r="B869" t="s">
        <v>44</v>
      </c>
      <c r="C869" t="s">
        <v>33</v>
      </c>
      <c r="D869">
        <v>33407</v>
      </c>
      <c r="E869">
        <v>18769</v>
      </c>
      <c r="F869">
        <v>14638</v>
      </c>
      <c r="G869" t="s">
        <v>38</v>
      </c>
      <c r="H869" t="s">
        <v>63</v>
      </c>
      <c r="I869" t="s">
        <v>42</v>
      </c>
      <c r="J869" s="2">
        <f>Table1[[#This Row],[Profit]]/Table1[[#This Row],[Sales]]*100</f>
        <v>43.817164067411021</v>
      </c>
      <c r="K869" t="str">
        <f>IF(Table1[[#This Row],[Sales]]&gt;=30000,"High", IF(Table1[[#This Row],[Sales]]&gt;=15000,"Medium","Low"))</f>
        <v>High</v>
      </c>
      <c r="L869" t="str">
        <f>TEXT(Table1[[#This Row],[Order_Date]],"MMM")</f>
        <v>Nov</v>
      </c>
      <c r="M869" t="str">
        <f>IF(Table1[[#This Row],[Profit]]&gt;=10000,"Excellent",IF(Table1[[#This Row],[Profit]]&gt;5000,"Good","Low"))</f>
        <v>Excellent</v>
      </c>
      <c r="N869" t="str">
        <f>TEXT(Table1[[#This Row],[Order_Date]],"YYYY")</f>
        <v>2024</v>
      </c>
    </row>
    <row r="870" spans="1:14" x14ac:dyDescent="0.25">
      <c r="A870" s="1">
        <v>45598</v>
      </c>
      <c r="B870" t="s">
        <v>26</v>
      </c>
      <c r="C870" t="s">
        <v>41</v>
      </c>
      <c r="D870">
        <v>16685</v>
      </c>
      <c r="E870">
        <v>14988</v>
      </c>
      <c r="F870">
        <v>1697</v>
      </c>
      <c r="G870" t="s">
        <v>38</v>
      </c>
      <c r="H870" t="s">
        <v>34</v>
      </c>
      <c r="I870" t="s">
        <v>15</v>
      </c>
      <c r="J870" s="2">
        <f>Table1[[#This Row],[Profit]]/Table1[[#This Row],[Sales]]*100</f>
        <v>10.170812106682648</v>
      </c>
      <c r="K870" t="str">
        <f>IF(Table1[[#This Row],[Sales]]&gt;=30000,"High", IF(Table1[[#This Row],[Sales]]&gt;=15000,"Medium","Low"))</f>
        <v>Medium</v>
      </c>
      <c r="L870" t="str">
        <f>TEXT(Table1[[#This Row],[Order_Date]],"MMM")</f>
        <v>Nov</v>
      </c>
      <c r="M870" t="str">
        <f>IF(Table1[[#This Row],[Profit]]&gt;=10000,"Excellent",IF(Table1[[#This Row],[Profit]]&gt;5000,"Good","Low"))</f>
        <v>Low</v>
      </c>
      <c r="N870" t="str">
        <f>TEXT(Table1[[#This Row],[Order_Date]],"YYYY")</f>
        <v>2024</v>
      </c>
    </row>
    <row r="871" spans="1:14" x14ac:dyDescent="0.25">
      <c r="A871" s="1">
        <v>45282</v>
      </c>
      <c r="B871" t="s">
        <v>17</v>
      </c>
      <c r="C871" t="s">
        <v>12</v>
      </c>
      <c r="D871">
        <v>16620</v>
      </c>
      <c r="E871">
        <v>608</v>
      </c>
      <c r="F871">
        <v>16012</v>
      </c>
      <c r="G871" t="s">
        <v>38</v>
      </c>
      <c r="H871" t="s">
        <v>31</v>
      </c>
      <c r="I871" t="s">
        <v>29</v>
      </c>
      <c r="J871" s="2">
        <f>Table1[[#This Row],[Profit]]/Table1[[#This Row],[Sales]]*100</f>
        <v>96.341756919374248</v>
      </c>
      <c r="K871" t="str">
        <f>IF(Table1[[#This Row],[Sales]]&gt;=30000,"High", IF(Table1[[#This Row],[Sales]]&gt;=15000,"Medium","Low"))</f>
        <v>Medium</v>
      </c>
      <c r="L871" t="str">
        <f>TEXT(Table1[[#This Row],[Order_Date]],"MMM")</f>
        <v>Dec</v>
      </c>
      <c r="M871" t="str">
        <f>IF(Table1[[#This Row],[Profit]]&gt;=10000,"Excellent",IF(Table1[[#This Row],[Profit]]&gt;5000,"Good","Low"))</f>
        <v>Excellent</v>
      </c>
      <c r="N871" t="str">
        <f>TEXT(Table1[[#This Row],[Order_Date]],"YYYY")</f>
        <v>2023</v>
      </c>
    </row>
    <row r="872" spans="1:14" x14ac:dyDescent="0.25">
      <c r="A872" s="1">
        <v>45368</v>
      </c>
      <c r="B872" t="s">
        <v>44</v>
      </c>
      <c r="C872" t="s">
        <v>12</v>
      </c>
      <c r="D872">
        <v>20186</v>
      </c>
      <c r="E872">
        <v>15668</v>
      </c>
      <c r="F872">
        <v>4518</v>
      </c>
      <c r="G872" t="s">
        <v>27</v>
      </c>
      <c r="H872" t="s">
        <v>31</v>
      </c>
      <c r="I872" t="s">
        <v>42</v>
      </c>
      <c r="J872" s="2">
        <f>Table1[[#This Row],[Profit]]/Table1[[#This Row],[Sales]]*100</f>
        <v>22.381848806103243</v>
      </c>
      <c r="K872" t="str">
        <f>IF(Table1[[#This Row],[Sales]]&gt;=30000,"High", IF(Table1[[#This Row],[Sales]]&gt;=15000,"Medium","Low"))</f>
        <v>Medium</v>
      </c>
      <c r="L872" t="str">
        <f>TEXT(Table1[[#This Row],[Order_Date]],"MMM")</f>
        <v>Mar</v>
      </c>
      <c r="M872" t="str">
        <f>IF(Table1[[#This Row],[Profit]]&gt;=10000,"Excellent",IF(Table1[[#This Row],[Profit]]&gt;5000,"Good","Low"))</f>
        <v>Low</v>
      </c>
      <c r="N872" t="str">
        <f>TEXT(Table1[[#This Row],[Order_Date]],"YYYY")</f>
        <v>2024</v>
      </c>
    </row>
    <row r="873" spans="1:14" x14ac:dyDescent="0.25">
      <c r="A873" s="1">
        <v>45578</v>
      </c>
      <c r="B873" t="s">
        <v>44</v>
      </c>
      <c r="C873" t="s">
        <v>41</v>
      </c>
      <c r="D873">
        <v>39412</v>
      </c>
      <c r="E873">
        <v>19428</v>
      </c>
      <c r="F873">
        <v>19984</v>
      </c>
      <c r="G873" t="s">
        <v>38</v>
      </c>
      <c r="H873" t="s">
        <v>23</v>
      </c>
      <c r="I873" t="s">
        <v>15</v>
      </c>
      <c r="J873" s="2">
        <f>Table1[[#This Row],[Profit]]/Table1[[#This Row],[Sales]]*100</f>
        <v>50.70536892317061</v>
      </c>
      <c r="K873" t="str">
        <f>IF(Table1[[#This Row],[Sales]]&gt;=30000,"High", IF(Table1[[#This Row],[Sales]]&gt;=15000,"Medium","Low"))</f>
        <v>High</v>
      </c>
      <c r="L873" t="str">
        <f>TEXT(Table1[[#This Row],[Order_Date]],"MMM")</f>
        <v>Oct</v>
      </c>
      <c r="M873" t="str">
        <f>IF(Table1[[#This Row],[Profit]]&gt;=10000,"Excellent",IF(Table1[[#This Row],[Profit]]&gt;5000,"Good","Low"))</f>
        <v>Excellent</v>
      </c>
      <c r="N873" t="str">
        <f>TEXT(Table1[[#This Row],[Order_Date]],"YYYY")</f>
        <v>2024</v>
      </c>
    </row>
    <row r="874" spans="1:14" x14ac:dyDescent="0.25">
      <c r="A874" s="1">
        <v>45739</v>
      </c>
      <c r="B874" t="s">
        <v>22</v>
      </c>
      <c r="C874" t="s">
        <v>18</v>
      </c>
      <c r="D874">
        <v>32451</v>
      </c>
      <c r="E874">
        <v>28040</v>
      </c>
      <c r="F874">
        <v>4411</v>
      </c>
      <c r="G874" t="s">
        <v>38</v>
      </c>
      <c r="H874" t="s">
        <v>45</v>
      </c>
      <c r="I874" t="s">
        <v>24</v>
      </c>
      <c r="J874" s="2">
        <f>Table1[[#This Row],[Profit]]/Table1[[#This Row],[Sales]]*100</f>
        <v>13.592801454500631</v>
      </c>
      <c r="K874" t="str">
        <f>IF(Table1[[#This Row],[Sales]]&gt;=30000,"High", IF(Table1[[#This Row],[Sales]]&gt;=15000,"Medium","Low"))</f>
        <v>High</v>
      </c>
      <c r="L874" t="str">
        <f>TEXT(Table1[[#This Row],[Order_Date]],"MMM")</f>
        <v>Mar</v>
      </c>
      <c r="M874" t="str">
        <f>IF(Table1[[#This Row],[Profit]]&gt;=10000,"Excellent",IF(Table1[[#This Row],[Profit]]&gt;5000,"Good","Low"))</f>
        <v>Low</v>
      </c>
      <c r="N874" t="str">
        <f>TEXT(Table1[[#This Row],[Order_Date]],"YYYY")</f>
        <v>2025</v>
      </c>
    </row>
    <row r="875" spans="1:14" x14ac:dyDescent="0.25">
      <c r="A875" s="1">
        <v>45694</v>
      </c>
      <c r="B875" t="s">
        <v>22</v>
      </c>
      <c r="C875" t="s">
        <v>41</v>
      </c>
      <c r="D875">
        <v>23642</v>
      </c>
      <c r="E875">
        <v>5347</v>
      </c>
      <c r="F875">
        <v>18295</v>
      </c>
      <c r="G875" t="s">
        <v>27</v>
      </c>
      <c r="H875" t="s">
        <v>20</v>
      </c>
      <c r="I875" t="s">
        <v>15</v>
      </c>
      <c r="J875" s="2">
        <f>Table1[[#This Row],[Profit]]/Table1[[#This Row],[Sales]]*100</f>
        <v>77.383470095592585</v>
      </c>
      <c r="K875" t="str">
        <f>IF(Table1[[#This Row],[Sales]]&gt;=30000,"High", IF(Table1[[#This Row],[Sales]]&gt;=15000,"Medium","Low"))</f>
        <v>Medium</v>
      </c>
      <c r="L875" t="str">
        <f>TEXT(Table1[[#This Row],[Order_Date]],"MMM")</f>
        <v>Feb</v>
      </c>
      <c r="M875" t="str">
        <f>IF(Table1[[#This Row],[Profit]]&gt;=10000,"Excellent",IF(Table1[[#This Row],[Profit]]&gt;5000,"Good","Low"))</f>
        <v>Excellent</v>
      </c>
      <c r="N875" t="str">
        <f>TEXT(Table1[[#This Row],[Order_Date]],"YYYY")</f>
        <v>2025</v>
      </c>
    </row>
    <row r="876" spans="1:14" x14ac:dyDescent="0.25">
      <c r="A876" s="1">
        <v>45931</v>
      </c>
      <c r="B876" t="s">
        <v>11</v>
      </c>
      <c r="C876" t="s">
        <v>18</v>
      </c>
      <c r="D876">
        <v>41677</v>
      </c>
      <c r="E876">
        <v>34246</v>
      </c>
      <c r="F876">
        <v>7431</v>
      </c>
      <c r="G876" t="s">
        <v>19</v>
      </c>
      <c r="H876" t="s">
        <v>63</v>
      </c>
      <c r="I876" t="s">
        <v>24</v>
      </c>
      <c r="J876" s="2">
        <f>Table1[[#This Row],[Profit]]/Table1[[#This Row],[Sales]]*100</f>
        <v>17.829978165414978</v>
      </c>
      <c r="K876" t="str">
        <f>IF(Table1[[#This Row],[Sales]]&gt;=30000,"High", IF(Table1[[#This Row],[Sales]]&gt;=15000,"Medium","Low"))</f>
        <v>High</v>
      </c>
      <c r="L876" t="str">
        <f>TEXT(Table1[[#This Row],[Order_Date]],"MMM")</f>
        <v>Oct</v>
      </c>
      <c r="M876" t="str">
        <f>IF(Table1[[#This Row],[Profit]]&gt;=10000,"Excellent",IF(Table1[[#This Row],[Profit]]&gt;5000,"Good","Low"))</f>
        <v>Good</v>
      </c>
      <c r="N876" t="str">
        <f>TEXT(Table1[[#This Row],[Order_Date]],"YYYY")</f>
        <v>2025</v>
      </c>
    </row>
    <row r="877" spans="1:14" x14ac:dyDescent="0.25">
      <c r="A877" s="1">
        <v>45789</v>
      </c>
      <c r="B877" t="s">
        <v>11</v>
      </c>
      <c r="C877" t="s">
        <v>36</v>
      </c>
      <c r="D877">
        <v>36343</v>
      </c>
      <c r="E877">
        <v>29464</v>
      </c>
      <c r="F877">
        <v>6879</v>
      </c>
      <c r="G877" t="s">
        <v>13</v>
      </c>
      <c r="H877" t="s">
        <v>78</v>
      </c>
      <c r="I877" t="s">
        <v>53</v>
      </c>
      <c r="J877" s="2">
        <f>Table1[[#This Row],[Profit]]/Table1[[#This Row],[Sales]]*100</f>
        <v>18.927991635253004</v>
      </c>
      <c r="K877" t="str">
        <f>IF(Table1[[#This Row],[Sales]]&gt;=30000,"High", IF(Table1[[#This Row],[Sales]]&gt;=15000,"Medium","Low"))</f>
        <v>High</v>
      </c>
      <c r="L877" t="str">
        <f>TEXT(Table1[[#This Row],[Order_Date]],"MMM")</f>
        <v>May</v>
      </c>
      <c r="M877" t="str">
        <f>IF(Table1[[#This Row],[Profit]]&gt;=10000,"Excellent",IF(Table1[[#This Row],[Profit]]&gt;5000,"Good","Low"))</f>
        <v>Good</v>
      </c>
      <c r="N877" t="str">
        <f>TEXT(Table1[[#This Row],[Order_Date]],"YYYY")</f>
        <v>2025</v>
      </c>
    </row>
    <row r="878" spans="1:14" x14ac:dyDescent="0.25">
      <c r="A878" s="1">
        <v>45157</v>
      </c>
      <c r="B878" t="s">
        <v>26</v>
      </c>
      <c r="C878" t="s">
        <v>18</v>
      </c>
      <c r="D878">
        <v>5952</v>
      </c>
      <c r="E878">
        <v>1115</v>
      </c>
      <c r="F878">
        <v>4837</v>
      </c>
      <c r="G878" t="s">
        <v>19</v>
      </c>
      <c r="H878" t="s">
        <v>45</v>
      </c>
      <c r="I878" t="s">
        <v>42</v>
      </c>
      <c r="J878" s="2">
        <f>Table1[[#This Row],[Profit]]/Table1[[#This Row],[Sales]]*100</f>
        <v>81.266801075268816</v>
      </c>
      <c r="K878" t="str">
        <f>IF(Table1[[#This Row],[Sales]]&gt;=30000,"High", IF(Table1[[#This Row],[Sales]]&gt;=15000,"Medium","Low"))</f>
        <v>Low</v>
      </c>
      <c r="L878" t="str">
        <f>TEXT(Table1[[#This Row],[Order_Date]],"MMM")</f>
        <v>Aug</v>
      </c>
      <c r="M878" t="str">
        <f>IF(Table1[[#This Row],[Profit]]&gt;=10000,"Excellent",IF(Table1[[#This Row],[Profit]]&gt;5000,"Good","Low"))</f>
        <v>Low</v>
      </c>
      <c r="N878" t="str">
        <f>TEXT(Table1[[#This Row],[Order_Date]],"YYYY")</f>
        <v>2023</v>
      </c>
    </row>
    <row r="879" spans="1:14" x14ac:dyDescent="0.25">
      <c r="A879" s="1">
        <v>45910</v>
      </c>
      <c r="B879" t="s">
        <v>26</v>
      </c>
      <c r="C879" t="s">
        <v>41</v>
      </c>
      <c r="D879">
        <v>34942</v>
      </c>
      <c r="E879">
        <v>29696</v>
      </c>
      <c r="F879">
        <v>5246</v>
      </c>
      <c r="G879" t="s">
        <v>19</v>
      </c>
      <c r="H879" t="s">
        <v>78</v>
      </c>
      <c r="I879" t="s">
        <v>24</v>
      </c>
      <c r="J879" s="2">
        <f>Table1[[#This Row],[Profit]]/Table1[[#This Row],[Sales]]*100</f>
        <v>15.013450861427508</v>
      </c>
      <c r="K879" t="str">
        <f>IF(Table1[[#This Row],[Sales]]&gt;=30000,"High", IF(Table1[[#This Row],[Sales]]&gt;=15000,"Medium","Low"))</f>
        <v>High</v>
      </c>
      <c r="L879" t="str">
        <f>TEXT(Table1[[#This Row],[Order_Date]],"MMM")</f>
        <v>Sep</v>
      </c>
      <c r="M879" t="str">
        <f>IF(Table1[[#This Row],[Profit]]&gt;=10000,"Excellent",IF(Table1[[#This Row],[Profit]]&gt;5000,"Good","Low"))</f>
        <v>Good</v>
      </c>
      <c r="N879" t="str">
        <f>TEXT(Table1[[#This Row],[Order_Date]],"YYYY")</f>
        <v>2025</v>
      </c>
    </row>
    <row r="880" spans="1:14" x14ac:dyDescent="0.25">
      <c r="A880" s="1">
        <v>45128</v>
      </c>
      <c r="B880" t="s">
        <v>11</v>
      </c>
      <c r="C880" t="s">
        <v>18</v>
      </c>
      <c r="D880">
        <v>18005</v>
      </c>
      <c r="E880">
        <v>4097</v>
      </c>
      <c r="F880">
        <v>13908</v>
      </c>
      <c r="G880" t="s">
        <v>13</v>
      </c>
      <c r="H880" t="s">
        <v>23</v>
      </c>
      <c r="I880" t="s">
        <v>24</v>
      </c>
      <c r="J880" s="2">
        <f>Table1[[#This Row],[Profit]]/Table1[[#This Row],[Sales]]*100</f>
        <v>77.245209663982223</v>
      </c>
      <c r="K880" t="str">
        <f>IF(Table1[[#This Row],[Sales]]&gt;=30000,"High", IF(Table1[[#This Row],[Sales]]&gt;=15000,"Medium","Low"))</f>
        <v>Medium</v>
      </c>
      <c r="L880" t="str">
        <f>TEXT(Table1[[#This Row],[Order_Date]],"MMM")</f>
        <v>Jul</v>
      </c>
      <c r="M880" t="str">
        <f>IF(Table1[[#This Row],[Profit]]&gt;=10000,"Excellent",IF(Table1[[#This Row],[Profit]]&gt;5000,"Good","Low"))</f>
        <v>Excellent</v>
      </c>
      <c r="N880" t="str">
        <f>TEXT(Table1[[#This Row],[Order_Date]],"YYYY")</f>
        <v>2023</v>
      </c>
    </row>
    <row r="881" spans="1:14" x14ac:dyDescent="0.25">
      <c r="A881" s="1">
        <v>46057</v>
      </c>
      <c r="B881" t="s">
        <v>11</v>
      </c>
      <c r="C881" t="s">
        <v>12</v>
      </c>
      <c r="D881">
        <v>10476</v>
      </c>
      <c r="E881">
        <v>8508</v>
      </c>
      <c r="F881">
        <v>1968</v>
      </c>
      <c r="G881" t="s">
        <v>27</v>
      </c>
      <c r="H881" t="s">
        <v>60</v>
      </c>
      <c r="I881" t="s">
        <v>42</v>
      </c>
      <c r="J881" s="2">
        <f>Table1[[#This Row],[Profit]]/Table1[[#This Row],[Sales]]*100</f>
        <v>18.785796105383735</v>
      </c>
      <c r="K881" t="str">
        <f>IF(Table1[[#This Row],[Sales]]&gt;=30000,"High", IF(Table1[[#This Row],[Sales]]&gt;=15000,"Medium","Low"))</f>
        <v>Low</v>
      </c>
      <c r="L881" t="str">
        <f>TEXT(Table1[[#This Row],[Order_Date]],"MMM")</f>
        <v>Feb</v>
      </c>
      <c r="M881" t="str">
        <f>IF(Table1[[#This Row],[Profit]]&gt;=10000,"Excellent",IF(Table1[[#This Row],[Profit]]&gt;5000,"Good","Low"))</f>
        <v>Low</v>
      </c>
      <c r="N881" t="str">
        <f>TEXT(Table1[[#This Row],[Order_Date]],"YYYY")</f>
        <v>2026</v>
      </c>
    </row>
    <row r="882" spans="1:14" x14ac:dyDescent="0.25">
      <c r="A882" s="1">
        <v>46127</v>
      </c>
      <c r="B882" t="s">
        <v>17</v>
      </c>
      <c r="C882" t="s">
        <v>12</v>
      </c>
      <c r="D882">
        <v>36680</v>
      </c>
      <c r="E882">
        <v>33000</v>
      </c>
      <c r="F882">
        <v>3680</v>
      </c>
      <c r="G882" t="s">
        <v>13</v>
      </c>
      <c r="H882" t="s">
        <v>14</v>
      </c>
      <c r="I882" t="s">
        <v>15</v>
      </c>
      <c r="J882" s="2">
        <f>Table1[[#This Row],[Profit]]/Table1[[#This Row],[Sales]]*100</f>
        <v>10.032715376226827</v>
      </c>
      <c r="K882" t="str">
        <f>IF(Table1[[#This Row],[Sales]]&gt;=30000,"High", IF(Table1[[#This Row],[Sales]]&gt;=15000,"Medium","Low"))</f>
        <v>High</v>
      </c>
      <c r="L882" t="str">
        <f>TEXT(Table1[[#This Row],[Order_Date]],"MMM")</f>
        <v>Apr</v>
      </c>
      <c r="M882" t="str">
        <f>IF(Table1[[#This Row],[Profit]]&gt;=10000,"Excellent",IF(Table1[[#This Row],[Profit]]&gt;5000,"Good","Low"))</f>
        <v>Low</v>
      </c>
      <c r="N882" t="str">
        <f>TEXT(Table1[[#This Row],[Order_Date]],"YYYY")</f>
        <v>2026</v>
      </c>
    </row>
    <row r="883" spans="1:14" x14ac:dyDescent="0.25">
      <c r="A883" s="1">
        <v>45806</v>
      </c>
      <c r="B883" t="s">
        <v>26</v>
      </c>
      <c r="C883" t="s">
        <v>33</v>
      </c>
      <c r="D883">
        <v>28667</v>
      </c>
      <c r="E883">
        <v>10861</v>
      </c>
      <c r="F883">
        <v>17806</v>
      </c>
      <c r="G883" t="s">
        <v>38</v>
      </c>
      <c r="H883" t="s">
        <v>63</v>
      </c>
      <c r="I883" t="s">
        <v>53</v>
      </c>
      <c r="J883" s="2">
        <f>Table1[[#This Row],[Profit]]/Table1[[#This Row],[Sales]]*100</f>
        <v>62.113231241497189</v>
      </c>
      <c r="K883" t="str">
        <f>IF(Table1[[#This Row],[Sales]]&gt;=30000,"High", IF(Table1[[#This Row],[Sales]]&gt;=15000,"Medium","Low"))</f>
        <v>Medium</v>
      </c>
      <c r="L883" t="str">
        <f>TEXT(Table1[[#This Row],[Order_Date]],"MMM")</f>
        <v>May</v>
      </c>
      <c r="M883" t="str">
        <f>IF(Table1[[#This Row],[Profit]]&gt;=10000,"Excellent",IF(Table1[[#This Row],[Profit]]&gt;5000,"Good","Low"))</f>
        <v>Excellent</v>
      </c>
      <c r="N883" t="str">
        <f>TEXT(Table1[[#This Row],[Order_Date]],"YYYY")</f>
        <v>2025</v>
      </c>
    </row>
    <row r="884" spans="1:14" x14ac:dyDescent="0.25">
      <c r="A884" s="1">
        <v>46194</v>
      </c>
      <c r="B884" t="s">
        <v>44</v>
      </c>
      <c r="C884" t="s">
        <v>36</v>
      </c>
      <c r="D884">
        <v>35866</v>
      </c>
      <c r="E884">
        <v>21226</v>
      </c>
      <c r="F884">
        <v>14640</v>
      </c>
      <c r="G884" t="s">
        <v>13</v>
      </c>
      <c r="H884" t="s">
        <v>34</v>
      </c>
      <c r="I884" t="s">
        <v>15</v>
      </c>
      <c r="J884" s="2">
        <f>Table1[[#This Row],[Profit]]/Table1[[#This Row],[Sales]]*100</f>
        <v>40.818602576256062</v>
      </c>
      <c r="K884" t="str">
        <f>IF(Table1[[#This Row],[Sales]]&gt;=30000,"High", IF(Table1[[#This Row],[Sales]]&gt;=15000,"Medium","Low"))</f>
        <v>High</v>
      </c>
      <c r="L884" t="str">
        <f>TEXT(Table1[[#This Row],[Order_Date]],"MMM")</f>
        <v>Jun</v>
      </c>
      <c r="M884" t="str">
        <f>IF(Table1[[#This Row],[Profit]]&gt;=10000,"Excellent",IF(Table1[[#This Row],[Profit]]&gt;5000,"Good","Low"))</f>
        <v>Excellent</v>
      </c>
      <c r="N884" t="str">
        <f>TEXT(Table1[[#This Row],[Order_Date]],"YYYY")</f>
        <v>2026</v>
      </c>
    </row>
    <row r="885" spans="1:14" x14ac:dyDescent="0.25">
      <c r="A885" s="1">
        <v>45703</v>
      </c>
      <c r="B885" t="s">
        <v>22</v>
      </c>
      <c r="C885" t="s">
        <v>41</v>
      </c>
      <c r="D885">
        <v>7409</v>
      </c>
      <c r="E885">
        <v>3794</v>
      </c>
      <c r="F885">
        <v>3615</v>
      </c>
      <c r="G885" t="s">
        <v>19</v>
      </c>
      <c r="H885" t="s">
        <v>23</v>
      </c>
      <c r="I885" t="s">
        <v>42</v>
      </c>
      <c r="J885" s="2">
        <f>Table1[[#This Row],[Profit]]/Table1[[#This Row],[Sales]]*100</f>
        <v>48.792009717910652</v>
      </c>
      <c r="K885" t="str">
        <f>IF(Table1[[#This Row],[Sales]]&gt;=30000,"High", IF(Table1[[#This Row],[Sales]]&gt;=15000,"Medium","Low"))</f>
        <v>Low</v>
      </c>
      <c r="L885" t="str">
        <f>TEXT(Table1[[#This Row],[Order_Date]],"MMM")</f>
        <v>Feb</v>
      </c>
      <c r="M885" t="str">
        <f>IF(Table1[[#This Row],[Profit]]&gt;=10000,"Excellent",IF(Table1[[#This Row],[Profit]]&gt;5000,"Good","Low"))</f>
        <v>Low</v>
      </c>
      <c r="N885" t="str">
        <f>TEXT(Table1[[#This Row],[Order_Date]],"YYYY")</f>
        <v>2025</v>
      </c>
    </row>
    <row r="886" spans="1:14" x14ac:dyDescent="0.25">
      <c r="A886" s="1">
        <v>45546</v>
      </c>
      <c r="B886" t="s">
        <v>22</v>
      </c>
      <c r="C886" t="s">
        <v>33</v>
      </c>
      <c r="D886">
        <v>24249</v>
      </c>
      <c r="E886">
        <v>17755</v>
      </c>
      <c r="F886">
        <v>6494</v>
      </c>
      <c r="G886" t="s">
        <v>13</v>
      </c>
      <c r="H886" t="s">
        <v>23</v>
      </c>
      <c r="I886" t="s">
        <v>53</v>
      </c>
      <c r="J886" s="2">
        <f>Table1[[#This Row],[Profit]]/Table1[[#This Row],[Sales]]*100</f>
        <v>26.780485793228586</v>
      </c>
      <c r="K886" t="str">
        <f>IF(Table1[[#This Row],[Sales]]&gt;=30000,"High", IF(Table1[[#This Row],[Sales]]&gt;=15000,"Medium","Low"))</f>
        <v>Medium</v>
      </c>
      <c r="L886" t="str">
        <f>TEXT(Table1[[#This Row],[Order_Date]],"MMM")</f>
        <v>Sep</v>
      </c>
      <c r="M886" t="str">
        <f>IF(Table1[[#This Row],[Profit]]&gt;=10000,"Excellent",IF(Table1[[#This Row],[Profit]]&gt;5000,"Good","Low"))</f>
        <v>Good</v>
      </c>
      <c r="N886" t="str">
        <f>TEXT(Table1[[#This Row],[Order_Date]],"YYYY")</f>
        <v>2024</v>
      </c>
    </row>
    <row r="887" spans="1:14" x14ac:dyDescent="0.25">
      <c r="A887" s="1">
        <v>45655</v>
      </c>
      <c r="B887" t="s">
        <v>22</v>
      </c>
      <c r="C887" t="s">
        <v>33</v>
      </c>
      <c r="D887">
        <v>19220</v>
      </c>
      <c r="E887">
        <v>812</v>
      </c>
      <c r="F887">
        <v>18408</v>
      </c>
      <c r="G887" t="s">
        <v>19</v>
      </c>
      <c r="H887" t="s">
        <v>14</v>
      </c>
      <c r="I887" t="s">
        <v>53</v>
      </c>
      <c r="J887" s="2">
        <f>Table1[[#This Row],[Profit]]/Table1[[#This Row],[Sales]]*100</f>
        <v>95.775234131113422</v>
      </c>
      <c r="K887" t="str">
        <f>IF(Table1[[#This Row],[Sales]]&gt;=30000,"High", IF(Table1[[#This Row],[Sales]]&gt;=15000,"Medium","Low"))</f>
        <v>Medium</v>
      </c>
      <c r="L887" t="str">
        <f>TEXT(Table1[[#This Row],[Order_Date]],"MMM")</f>
        <v>Dec</v>
      </c>
      <c r="M887" t="str">
        <f>IF(Table1[[#This Row],[Profit]]&gt;=10000,"Excellent",IF(Table1[[#This Row],[Profit]]&gt;5000,"Good","Low"))</f>
        <v>Excellent</v>
      </c>
      <c r="N887" t="str">
        <f>TEXT(Table1[[#This Row],[Order_Date]],"YYYY")</f>
        <v>2024</v>
      </c>
    </row>
    <row r="888" spans="1:14" x14ac:dyDescent="0.25">
      <c r="A888" s="1">
        <v>45519</v>
      </c>
      <c r="B888" t="s">
        <v>11</v>
      </c>
      <c r="C888" t="s">
        <v>33</v>
      </c>
      <c r="D888">
        <v>6630</v>
      </c>
      <c r="E888">
        <v>15</v>
      </c>
      <c r="F888">
        <v>6615</v>
      </c>
      <c r="G888" t="s">
        <v>27</v>
      </c>
      <c r="H888" t="s">
        <v>31</v>
      </c>
      <c r="I888" t="s">
        <v>29</v>
      </c>
      <c r="J888" s="2">
        <f>Table1[[#This Row],[Profit]]/Table1[[#This Row],[Sales]]*100</f>
        <v>99.773755656108591</v>
      </c>
      <c r="K888" t="str">
        <f>IF(Table1[[#This Row],[Sales]]&gt;=30000,"High", IF(Table1[[#This Row],[Sales]]&gt;=15000,"Medium","Low"))</f>
        <v>Low</v>
      </c>
      <c r="L888" t="str">
        <f>TEXT(Table1[[#This Row],[Order_Date]],"MMM")</f>
        <v>Aug</v>
      </c>
      <c r="M888" t="str">
        <f>IF(Table1[[#This Row],[Profit]]&gt;=10000,"Excellent",IF(Table1[[#This Row],[Profit]]&gt;5000,"Good","Low"))</f>
        <v>Good</v>
      </c>
      <c r="N888" t="str">
        <f>TEXT(Table1[[#This Row],[Order_Date]],"YYYY")</f>
        <v>2024</v>
      </c>
    </row>
    <row r="889" spans="1:14" x14ac:dyDescent="0.25">
      <c r="A889" s="1">
        <v>45122</v>
      </c>
      <c r="B889" t="s">
        <v>11</v>
      </c>
      <c r="C889" t="s">
        <v>36</v>
      </c>
      <c r="D889">
        <v>14497</v>
      </c>
      <c r="E889">
        <v>4114</v>
      </c>
      <c r="F889">
        <v>10383</v>
      </c>
      <c r="G889" t="s">
        <v>38</v>
      </c>
      <c r="H889" t="s">
        <v>60</v>
      </c>
      <c r="I889" t="s">
        <v>15</v>
      </c>
      <c r="J889" s="2">
        <f>Table1[[#This Row],[Profit]]/Table1[[#This Row],[Sales]]*100</f>
        <v>71.621714837552602</v>
      </c>
      <c r="K889" t="str">
        <f>IF(Table1[[#This Row],[Sales]]&gt;=30000,"High", IF(Table1[[#This Row],[Sales]]&gt;=15000,"Medium","Low"))</f>
        <v>Low</v>
      </c>
      <c r="L889" t="str">
        <f>TEXT(Table1[[#This Row],[Order_Date]],"MMM")</f>
        <v>Jul</v>
      </c>
      <c r="M889" t="str">
        <f>IF(Table1[[#This Row],[Profit]]&gt;=10000,"Excellent",IF(Table1[[#This Row],[Profit]]&gt;5000,"Good","Low"))</f>
        <v>Excellent</v>
      </c>
      <c r="N889" t="str">
        <f>TEXT(Table1[[#This Row],[Order_Date]],"YYYY")</f>
        <v>2023</v>
      </c>
    </row>
    <row r="890" spans="1:14" x14ac:dyDescent="0.25">
      <c r="A890" s="1">
        <v>45905</v>
      </c>
      <c r="B890" t="s">
        <v>44</v>
      </c>
      <c r="C890" t="s">
        <v>33</v>
      </c>
      <c r="D890">
        <v>13995</v>
      </c>
      <c r="E890">
        <v>827</v>
      </c>
      <c r="F890">
        <v>13168</v>
      </c>
      <c r="G890" t="s">
        <v>27</v>
      </c>
      <c r="H890" t="s">
        <v>63</v>
      </c>
      <c r="I890" t="s">
        <v>53</v>
      </c>
      <c r="J890" s="2">
        <f>Table1[[#This Row],[Profit]]/Table1[[#This Row],[Sales]]*100</f>
        <v>94.090746695248299</v>
      </c>
      <c r="K890" t="str">
        <f>IF(Table1[[#This Row],[Sales]]&gt;=30000,"High", IF(Table1[[#This Row],[Sales]]&gt;=15000,"Medium","Low"))</f>
        <v>Low</v>
      </c>
      <c r="L890" t="str">
        <f>TEXT(Table1[[#This Row],[Order_Date]],"MMM")</f>
        <v>Sep</v>
      </c>
      <c r="M890" t="str">
        <f>IF(Table1[[#This Row],[Profit]]&gt;=10000,"Excellent",IF(Table1[[#This Row],[Profit]]&gt;5000,"Good","Low"))</f>
        <v>Excellent</v>
      </c>
      <c r="N890" t="str">
        <f>TEXT(Table1[[#This Row],[Order_Date]],"YYYY")</f>
        <v>2025</v>
      </c>
    </row>
    <row r="891" spans="1:14" x14ac:dyDescent="0.25">
      <c r="A891" s="1">
        <v>45329</v>
      </c>
      <c r="B891" t="s">
        <v>22</v>
      </c>
      <c r="C891" t="s">
        <v>36</v>
      </c>
      <c r="D891">
        <v>20261</v>
      </c>
      <c r="E891">
        <v>10753</v>
      </c>
      <c r="F891">
        <v>9508</v>
      </c>
      <c r="G891" t="s">
        <v>13</v>
      </c>
      <c r="H891" t="s">
        <v>31</v>
      </c>
      <c r="I891" t="s">
        <v>15</v>
      </c>
      <c r="J891" s="2">
        <f>Table1[[#This Row],[Profit]]/Table1[[#This Row],[Sales]]*100</f>
        <v>46.927594886728194</v>
      </c>
      <c r="K891" t="str">
        <f>IF(Table1[[#This Row],[Sales]]&gt;=30000,"High", IF(Table1[[#This Row],[Sales]]&gt;=15000,"Medium","Low"))</f>
        <v>Medium</v>
      </c>
      <c r="L891" t="str">
        <f>TEXT(Table1[[#This Row],[Order_Date]],"MMM")</f>
        <v>Feb</v>
      </c>
      <c r="M891" t="str">
        <f>IF(Table1[[#This Row],[Profit]]&gt;=10000,"Excellent",IF(Table1[[#This Row],[Profit]]&gt;5000,"Good","Low"))</f>
        <v>Good</v>
      </c>
      <c r="N891" t="str">
        <f>TEXT(Table1[[#This Row],[Order_Date]],"YYYY")</f>
        <v>2024</v>
      </c>
    </row>
    <row r="892" spans="1:14" x14ac:dyDescent="0.25">
      <c r="A892" s="1">
        <v>45359</v>
      </c>
      <c r="B892" t="s">
        <v>11</v>
      </c>
      <c r="C892" t="s">
        <v>41</v>
      </c>
      <c r="D892">
        <v>36688</v>
      </c>
      <c r="E892">
        <v>17283</v>
      </c>
      <c r="F892">
        <v>19405</v>
      </c>
      <c r="G892" t="s">
        <v>38</v>
      </c>
      <c r="H892" t="s">
        <v>28</v>
      </c>
      <c r="I892" t="s">
        <v>53</v>
      </c>
      <c r="J892" s="2">
        <f>Table1[[#This Row],[Profit]]/Table1[[#This Row],[Sales]]*100</f>
        <v>52.891953772350632</v>
      </c>
      <c r="K892" t="str">
        <f>IF(Table1[[#This Row],[Sales]]&gt;=30000,"High", IF(Table1[[#This Row],[Sales]]&gt;=15000,"Medium","Low"))</f>
        <v>High</v>
      </c>
      <c r="L892" t="str">
        <f>TEXT(Table1[[#This Row],[Order_Date]],"MMM")</f>
        <v>Mar</v>
      </c>
      <c r="M892" t="str">
        <f>IF(Table1[[#This Row],[Profit]]&gt;=10000,"Excellent",IF(Table1[[#This Row],[Profit]]&gt;5000,"Good","Low"))</f>
        <v>Excellent</v>
      </c>
      <c r="N892" t="str">
        <f>TEXT(Table1[[#This Row],[Order_Date]],"YYYY")</f>
        <v>2024</v>
      </c>
    </row>
    <row r="893" spans="1:14" x14ac:dyDescent="0.25">
      <c r="A893" s="1">
        <v>45735</v>
      </c>
      <c r="B893" t="s">
        <v>22</v>
      </c>
      <c r="C893" t="s">
        <v>33</v>
      </c>
      <c r="D893">
        <v>19207</v>
      </c>
      <c r="E893">
        <v>1609</v>
      </c>
      <c r="F893">
        <v>17598</v>
      </c>
      <c r="G893" t="s">
        <v>13</v>
      </c>
      <c r="H893" t="s">
        <v>23</v>
      </c>
      <c r="I893" t="s">
        <v>15</v>
      </c>
      <c r="J893" s="2">
        <f>Table1[[#This Row],[Profit]]/Table1[[#This Row],[Sales]]*100</f>
        <v>91.622845837455088</v>
      </c>
      <c r="K893" t="str">
        <f>IF(Table1[[#This Row],[Sales]]&gt;=30000,"High", IF(Table1[[#This Row],[Sales]]&gt;=15000,"Medium","Low"))</f>
        <v>Medium</v>
      </c>
      <c r="L893" t="str">
        <f>TEXT(Table1[[#This Row],[Order_Date]],"MMM")</f>
        <v>Mar</v>
      </c>
      <c r="M893" t="str">
        <f>IF(Table1[[#This Row],[Profit]]&gt;=10000,"Excellent",IF(Table1[[#This Row],[Profit]]&gt;5000,"Good","Low"))</f>
        <v>Excellent</v>
      </c>
      <c r="N893" t="str">
        <f>TEXT(Table1[[#This Row],[Order_Date]],"YYYY")</f>
        <v>2025</v>
      </c>
    </row>
    <row r="894" spans="1:14" x14ac:dyDescent="0.25">
      <c r="A894" s="1">
        <v>46102</v>
      </c>
      <c r="B894" t="s">
        <v>17</v>
      </c>
      <c r="C894" t="s">
        <v>41</v>
      </c>
      <c r="D894">
        <v>45438</v>
      </c>
      <c r="E894">
        <v>40726</v>
      </c>
      <c r="F894">
        <v>4712</v>
      </c>
      <c r="G894" t="s">
        <v>38</v>
      </c>
      <c r="H894" t="s">
        <v>31</v>
      </c>
      <c r="I894" t="s">
        <v>29</v>
      </c>
      <c r="J894" s="2">
        <f>Table1[[#This Row],[Profit]]/Table1[[#This Row],[Sales]]*100</f>
        <v>10.370174743606674</v>
      </c>
      <c r="K894" t="str">
        <f>IF(Table1[[#This Row],[Sales]]&gt;=30000,"High", IF(Table1[[#This Row],[Sales]]&gt;=15000,"Medium","Low"))</f>
        <v>High</v>
      </c>
      <c r="L894" t="str">
        <f>TEXT(Table1[[#This Row],[Order_Date]],"MMM")</f>
        <v>Mar</v>
      </c>
      <c r="M894" t="str">
        <f>IF(Table1[[#This Row],[Profit]]&gt;=10000,"Excellent",IF(Table1[[#This Row],[Profit]]&gt;5000,"Good","Low"))</f>
        <v>Low</v>
      </c>
      <c r="N894" t="str">
        <f>TEXT(Table1[[#This Row],[Order_Date]],"YYYY")</f>
        <v>2026</v>
      </c>
    </row>
    <row r="895" spans="1:14" x14ac:dyDescent="0.25">
      <c r="A895" s="1">
        <v>45527</v>
      </c>
      <c r="B895" t="s">
        <v>17</v>
      </c>
      <c r="C895" t="s">
        <v>18</v>
      </c>
      <c r="D895">
        <v>24170</v>
      </c>
      <c r="E895">
        <v>6502</v>
      </c>
      <c r="F895">
        <v>17668</v>
      </c>
      <c r="G895" t="s">
        <v>13</v>
      </c>
      <c r="H895" t="s">
        <v>28</v>
      </c>
      <c r="I895" t="s">
        <v>24</v>
      </c>
      <c r="J895" s="2">
        <f>Table1[[#This Row],[Profit]]/Table1[[#This Row],[Sales]]*100</f>
        <v>73.098882912701697</v>
      </c>
      <c r="K895" t="str">
        <f>IF(Table1[[#This Row],[Sales]]&gt;=30000,"High", IF(Table1[[#This Row],[Sales]]&gt;=15000,"Medium","Low"))</f>
        <v>Medium</v>
      </c>
      <c r="L895" t="str">
        <f>TEXT(Table1[[#This Row],[Order_Date]],"MMM")</f>
        <v>Aug</v>
      </c>
      <c r="M895" t="str">
        <f>IF(Table1[[#This Row],[Profit]]&gt;=10000,"Excellent",IF(Table1[[#This Row],[Profit]]&gt;5000,"Good","Low"))</f>
        <v>Excellent</v>
      </c>
      <c r="N895" t="str">
        <f>TEXT(Table1[[#This Row],[Order_Date]],"YYYY")</f>
        <v>2024</v>
      </c>
    </row>
    <row r="896" spans="1:14" x14ac:dyDescent="0.25">
      <c r="A896" s="1">
        <v>45378</v>
      </c>
      <c r="B896" t="s">
        <v>22</v>
      </c>
      <c r="C896" t="s">
        <v>33</v>
      </c>
      <c r="D896">
        <v>16265</v>
      </c>
      <c r="E896">
        <v>617</v>
      </c>
      <c r="F896">
        <v>15648</v>
      </c>
      <c r="G896" t="s">
        <v>27</v>
      </c>
      <c r="H896" t="s">
        <v>34</v>
      </c>
      <c r="I896" t="s">
        <v>29</v>
      </c>
      <c r="J896" s="2">
        <f>Table1[[#This Row],[Profit]]/Table1[[#This Row],[Sales]]*100</f>
        <v>96.206578542883491</v>
      </c>
      <c r="K896" t="str">
        <f>IF(Table1[[#This Row],[Sales]]&gt;=30000,"High", IF(Table1[[#This Row],[Sales]]&gt;=15000,"Medium","Low"))</f>
        <v>Medium</v>
      </c>
      <c r="L896" t="str">
        <f>TEXT(Table1[[#This Row],[Order_Date]],"MMM")</f>
        <v>Mar</v>
      </c>
      <c r="M896" t="str">
        <f>IF(Table1[[#This Row],[Profit]]&gt;=10000,"Excellent",IF(Table1[[#This Row],[Profit]]&gt;5000,"Good","Low"))</f>
        <v>Excellent</v>
      </c>
      <c r="N896" t="str">
        <f>TEXT(Table1[[#This Row],[Order_Date]],"YYYY")</f>
        <v>2024</v>
      </c>
    </row>
    <row r="897" spans="1:14" x14ac:dyDescent="0.25">
      <c r="A897" s="1">
        <v>45621</v>
      </c>
      <c r="B897" t="s">
        <v>17</v>
      </c>
      <c r="C897" t="s">
        <v>12</v>
      </c>
      <c r="D897">
        <v>19412</v>
      </c>
      <c r="E897">
        <v>543</v>
      </c>
      <c r="F897">
        <v>18869</v>
      </c>
      <c r="G897" t="s">
        <v>13</v>
      </c>
      <c r="H897" t="s">
        <v>28</v>
      </c>
      <c r="I897" t="s">
        <v>53</v>
      </c>
      <c r="J897" s="2">
        <f>Table1[[#This Row],[Profit]]/Table1[[#This Row],[Sales]]*100</f>
        <v>97.202761178652381</v>
      </c>
      <c r="K897" t="str">
        <f>IF(Table1[[#This Row],[Sales]]&gt;=30000,"High", IF(Table1[[#This Row],[Sales]]&gt;=15000,"Medium","Low"))</f>
        <v>Medium</v>
      </c>
      <c r="L897" t="str">
        <f>TEXT(Table1[[#This Row],[Order_Date]],"MMM")</f>
        <v>Nov</v>
      </c>
      <c r="M897" t="str">
        <f>IF(Table1[[#This Row],[Profit]]&gt;=10000,"Excellent",IF(Table1[[#This Row],[Profit]]&gt;5000,"Good","Low"))</f>
        <v>Excellent</v>
      </c>
      <c r="N897" t="str">
        <f>TEXT(Table1[[#This Row],[Order_Date]],"YYYY")</f>
        <v>2024</v>
      </c>
    </row>
    <row r="898" spans="1:14" x14ac:dyDescent="0.25">
      <c r="A898" s="1">
        <v>46195</v>
      </c>
      <c r="B898" t="s">
        <v>17</v>
      </c>
      <c r="C898" t="s">
        <v>36</v>
      </c>
      <c r="D898">
        <v>45362</v>
      </c>
      <c r="E898">
        <v>26138</v>
      </c>
      <c r="F898">
        <v>19224</v>
      </c>
      <c r="G898" t="s">
        <v>38</v>
      </c>
      <c r="H898" t="s">
        <v>78</v>
      </c>
      <c r="I898" t="s">
        <v>24</v>
      </c>
      <c r="J898" s="2">
        <f>Table1[[#This Row],[Profit]]/Table1[[#This Row],[Sales]]*100</f>
        <v>42.37908381464662</v>
      </c>
      <c r="K898" t="str">
        <f>IF(Table1[[#This Row],[Sales]]&gt;=30000,"High", IF(Table1[[#This Row],[Sales]]&gt;=15000,"Medium","Low"))</f>
        <v>High</v>
      </c>
      <c r="L898" t="str">
        <f>TEXT(Table1[[#This Row],[Order_Date]],"MMM")</f>
        <v>Jun</v>
      </c>
      <c r="M898" t="str">
        <f>IF(Table1[[#This Row],[Profit]]&gt;=10000,"Excellent",IF(Table1[[#This Row],[Profit]]&gt;5000,"Good","Low"))</f>
        <v>Excellent</v>
      </c>
      <c r="N898" t="str">
        <f>TEXT(Table1[[#This Row],[Order_Date]],"YYYY")</f>
        <v>2026</v>
      </c>
    </row>
    <row r="899" spans="1:14" x14ac:dyDescent="0.25">
      <c r="A899" s="1">
        <v>45935</v>
      </c>
      <c r="B899" t="s">
        <v>22</v>
      </c>
      <c r="C899" t="s">
        <v>36</v>
      </c>
      <c r="D899">
        <v>45621</v>
      </c>
      <c r="E899">
        <v>27486</v>
      </c>
      <c r="F899">
        <v>18135</v>
      </c>
      <c r="G899" t="s">
        <v>19</v>
      </c>
      <c r="H899" t="s">
        <v>31</v>
      </c>
      <c r="I899" t="s">
        <v>53</v>
      </c>
      <c r="J899" s="2">
        <f>Table1[[#This Row],[Profit]]/Table1[[#This Row],[Sales]]*100</f>
        <v>39.751430262379166</v>
      </c>
      <c r="K899" t="str">
        <f>IF(Table1[[#This Row],[Sales]]&gt;=30000,"High", IF(Table1[[#This Row],[Sales]]&gt;=15000,"Medium","Low"))</f>
        <v>High</v>
      </c>
      <c r="L899" t="str">
        <f>TEXT(Table1[[#This Row],[Order_Date]],"MMM")</f>
        <v>Oct</v>
      </c>
      <c r="M899" t="str">
        <f>IF(Table1[[#This Row],[Profit]]&gt;=10000,"Excellent",IF(Table1[[#This Row],[Profit]]&gt;5000,"Good","Low"))</f>
        <v>Excellent</v>
      </c>
      <c r="N899" t="str">
        <f>TEXT(Table1[[#This Row],[Order_Date]],"YYYY")</f>
        <v>2025</v>
      </c>
    </row>
    <row r="900" spans="1:14" x14ac:dyDescent="0.25">
      <c r="A900" s="1">
        <v>45624</v>
      </c>
      <c r="B900" t="s">
        <v>17</v>
      </c>
      <c r="C900" t="s">
        <v>36</v>
      </c>
      <c r="D900">
        <v>42876</v>
      </c>
      <c r="E900">
        <v>34791</v>
      </c>
      <c r="F900">
        <v>8085</v>
      </c>
      <c r="G900" t="s">
        <v>19</v>
      </c>
      <c r="H900" t="s">
        <v>14</v>
      </c>
      <c r="I900" t="s">
        <v>29</v>
      </c>
      <c r="J900" s="2">
        <f>Table1[[#This Row],[Profit]]/Table1[[#This Row],[Sales]]*100</f>
        <v>18.85670305065771</v>
      </c>
      <c r="K900" t="str">
        <f>IF(Table1[[#This Row],[Sales]]&gt;=30000,"High", IF(Table1[[#This Row],[Sales]]&gt;=15000,"Medium","Low"))</f>
        <v>High</v>
      </c>
      <c r="L900" t="str">
        <f>TEXT(Table1[[#This Row],[Order_Date]],"MMM")</f>
        <v>Nov</v>
      </c>
      <c r="M900" t="str">
        <f>IF(Table1[[#This Row],[Profit]]&gt;=10000,"Excellent",IF(Table1[[#This Row],[Profit]]&gt;5000,"Good","Low"))</f>
        <v>Good</v>
      </c>
      <c r="N900" t="str">
        <f>TEXT(Table1[[#This Row],[Order_Date]],"YYYY")</f>
        <v>2024</v>
      </c>
    </row>
    <row r="901" spans="1:14" x14ac:dyDescent="0.25">
      <c r="A901" s="1">
        <v>46170</v>
      </c>
      <c r="B901" t="s">
        <v>17</v>
      </c>
      <c r="C901" t="s">
        <v>12</v>
      </c>
      <c r="D901">
        <v>43229</v>
      </c>
      <c r="E901">
        <v>25519</v>
      </c>
      <c r="F901">
        <v>17710</v>
      </c>
      <c r="G901" t="s">
        <v>19</v>
      </c>
      <c r="H901" t="s">
        <v>63</v>
      </c>
      <c r="I901" t="s">
        <v>29</v>
      </c>
      <c r="J901" s="2">
        <f>Table1[[#This Row],[Profit]]/Table1[[#This Row],[Sales]]*100</f>
        <v>40.967868791783296</v>
      </c>
      <c r="K901" t="str">
        <f>IF(Table1[[#This Row],[Sales]]&gt;=30000,"High", IF(Table1[[#This Row],[Sales]]&gt;=15000,"Medium","Low"))</f>
        <v>High</v>
      </c>
      <c r="L901" t="str">
        <f>TEXT(Table1[[#This Row],[Order_Date]],"MMM")</f>
        <v>May</v>
      </c>
      <c r="M901" t="str">
        <f>IF(Table1[[#This Row],[Profit]]&gt;=10000,"Excellent",IF(Table1[[#This Row],[Profit]]&gt;5000,"Good","Low"))</f>
        <v>Excellent</v>
      </c>
      <c r="N901" t="str">
        <f>TEXT(Table1[[#This Row],[Order_Date]],"YYYY")</f>
        <v>2026</v>
      </c>
    </row>
    <row r="902" spans="1:14" x14ac:dyDescent="0.25">
      <c r="A902" s="1">
        <v>46110</v>
      </c>
      <c r="B902" t="s">
        <v>17</v>
      </c>
      <c r="C902" t="s">
        <v>33</v>
      </c>
      <c r="D902">
        <v>33945</v>
      </c>
      <c r="E902">
        <v>21474</v>
      </c>
      <c r="F902">
        <v>12471</v>
      </c>
      <c r="G902" t="s">
        <v>38</v>
      </c>
      <c r="H902" t="s">
        <v>23</v>
      </c>
      <c r="I902" t="s">
        <v>29</v>
      </c>
      <c r="J902" s="2">
        <f>Table1[[#This Row],[Profit]]/Table1[[#This Row],[Sales]]*100</f>
        <v>36.738842244807778</v>
      </c>
      <c r="K902" t="str">
        <f>IF(Table1[[#This Row],[Sales]]&gt;=30000,"High", IF(Table1[[#This Row],[Sales]]&gt;=15000,"Medium","Low"))</f>
        <v>High</v>
      </c>
      <c r="L902" t="str">
        <f>TEXT(Table1[[#This Row],[Order_Date]],"MMM")</f>
        <v>Mar</v>
      </c>
      <c r="M902" t="str">
        <f>IF(Table1[[#This Row],[Profit]]&gt;=10000,"Excellent",IF(Table1[[#This Row],[Profit]]&gt;5000,"Good","Low"))</f>
        <v>Excellent</v>
      </c>
      <c r="N902" t="str">
        <f>TEXT(Table1[[#This Row],[Order_Date]],"YYYY")</f>
        <v>2026</v>
      </c>
    </row>
    <row r="903" spans="1:14" x14ac:dyDescent="0.25">
      <c r="A903" s="1">
        <v>46099</v>
      </c>
      <c r="B903" t="s">
        <v>11</v>
      </c>
      <c r="C903" t="s">
        <v>41</v>
      </c>
      <c r="D903">
        <v>8072</v>
      </c>
      <c r="E903">
        <v>6797</v>
      </c>
      <c r="F903">
        <v>1275</v>
      </c>
      <c r="G903" t="s">
        <v>19</v>
      </c>
      <c r="H903" t="s">
        <v>60</v>
      </c>
      <c r="I903" t="s">
        <v>29</v>
      </c>
      <c r="J903" s="2">
        <f>Table1[[#This Row],[Profit]]/Table1[[#This Row],[Sales]]*100</f>
        <v>15.795341922695737</v>
      </c>
      <c r="K903" t="str">
        <f>IF(Table1[[#This Row],[Sales]]&gt;=30000,"High", IF(Table1[[#This Row],[Sales]]&gt;=15000,"Medium","Low"))</f>
        <v>Low</v>
      </c>
      <c r="L903" t="str">
        <f>TEXT(Table1[[#This Row],[Order_Date]],"MMM")</f>
        <v>Mar</v>
      </c>
      <c r="M903" t="str">
        <f>IF(Table1[[#This Row],[Profit]]&gt;=10000,"Excellent",IF(Table1[[#This Row],[Profit]]&gt;5000,"Good","Low"))</f>
        <v>Low</v>
      </c>
      <c r="N903" t="str">
        <f>TEXT(Table1[[#This Row],[Order_Date]],"YYYY")</f>
        <v>2026</v>
      </c>
    </row>
    <row r="904" spans="1:14" x14ac:dyDescent="0.25">
      <c r="A904" s="1">
        <v>45612</v>
      </c>
      <c r="B904" t="s">
        <v>22</v>
      </c>
      <c r="C904" t="s">
        <v>18</v>
      </c>
      <c r="D904">
        <v>32531</v>
      </c>
      <c r="E904">
        <v>15990</v>
      </c>
      <c r="F904">
        <v>16541</v>
      </c>
      <c r="G904" t="s">
        <v>13</v>
      </c>
      <c r="H904" t="s">
        <v>20</v>
      </c>
      <c r="I904" t="s">
        <v>24</v>
      </c>
      <c r="J904" s="2">
        <f>Table1[[#This Row],[Profit]]/Table1[[#This Row],[Sales]]*100</f>
        <v>50.846884510159541</v>
      </c>
      <c r="K904" t="str">
        <f>IF(Table1[[#This Row],[Sales]]&gt;=30000,"High", IF(Table1[[#This Row],[Sales]]&gt;=15000,"Medium","Low"))</f>
        <v>High</v>
      </c>
      <c r="L904" t="str">
        <f>TEXT(Table1[[#This Row],[Order_Date]],"MMM")</f>
        <v>Nov</v>
      </c>
      <c r="M904" t="str">
        <f>IF(Table1[[#This Row],[Profit]]&gt;=10000,"Excellent",IF(Table1[[#This Row],[Profit]]&gt;5000,"Good","Low"))</f>
        <v>Excellent</v>
      </c>
      <c r="N904" t="str">
        <f>TEXT(Table1[[#This Row],[Order_Date]],"YYYY")</f>
        <v>2024</v>
      </c>
    </row>
    <row r="905" spans="1:14" x14ac:dyDescent="0.25">
      <c r="A905" s="1">
        <v>45253</v>
      </c>
      <c r="B905" t="s">
        <v>17</v>
      </c>
      <c r="C905" t="s">
        <v>18</v>
      </c>
      <c r="D905">
        <v>41101</v>
      </c>
      <c r="E905">
        <v>33225</v>
      </c>
      <c r="F905">
        <v>7876</v>
      </c>
      <c r="G905" t="s">
        <v>38</v>
      </c>
      <c r="H905" t="s">
        <v>31</v>
      </c>
      <c r="I905" t="s">
        <v>29</v>
      </c>
      <c r="J905" s="2">
        <f>Table1[[#This Row],[Profit]]/Table1[[#This Row],[Sales]]*100</f>
        <v>19.162550789518505</v>
      </c>
      <c r="K905" t="str">
        <f>IF(Table1[[#This Row],[Sales]]&gt;=30000,"High", IF(Table1[[#This Row],[Sales]]&gt;=15000,"Medium","Low"))</f>
        <v>High</v>
      </c>
      <c r="L905" t="str">
        <f>TEXT(Table1[[#This Row],[Order_Date]],"MMM")</f>
        <v>Nov</v>
      </c>
      <c r="M905" t="str">
        <f>IF(Table1[[#This Row],[Profit]]&gt;=10000,"Excellent",IF(Table1[[#This Row],[Profit]]&gt;5000,"Good","Low"))</f>
        <v>Good</v>
      </c>
      <c r="N905" t="str">
        <f>TEXT(Table1[[#This Row],[Order_Date]],"YYYY")</f>
        <v>2023</v>
      </c>
    </row>
    <row r="906" spans="1:14" x14ac:dyDescent="0.25">
      <c r="A906" s="1">
        <v>45158</v>
      </c>
      <c r="B906" t="s">
        <v>11</v>
      </c>
      <c r="C906" t="s">
        <v>33</v>
      </c>
      <c r="D906">
        <v>19817</v>
      </c>
      <c r="E906">
        <v>14517</v>
      </c>
      <c r="F906">
        <v>5300</v>
      </c>
      <c r="G906" t="s">
        <v>27</v>
      </c>
      <c r="H906" t="s">
        <v>23</v>
      </c>
      <c r="I906" t="s">
        <v>24</v>
      </c>
      <c r="J906" s="2">
        <f>Table1[[#This Row],[Profit]]/Table1[[#This Row],[Sales]]*100</f>
        <v>26.744714134329111</v>
      </c>
      <c r="K906" t="str">
        <f>IF(Table1[[#This Row],[Sales]]&gt;=30000,"High", IF(Table1[[#This Row],[Sales]]&gt;=15000,"Medium","Low"))</f>
        <v>Medium</v>
      </c>
      <c r="L906" t="str">
        <f>TEXT(Table1[[#This Row],[Order_Date]],"MMM")</f>
        <v>Aug</v>
      </c>
      <c r="M906" t="str">
        <f>IF(Table1[[#This Row],[Profit]]&gt;=10000,"Excellent",IF(Table1[[#This Row],[Profit]]&gt;5000,"Good","Low"))</f>
        <v>Good</v>
      </c>
      <c r="N906" t="str">
        <f>TEXT(Table1[[#This Row],[Order_Date]],"YYYY")</f>
        <v>2023</v>
      </c>
    </row>
    <row r="907" spans="1:14" x14ac:dyDescent="0.25">
      <c r="A907" s="1">
        <v>45515</v>
      </c>
      <c r="B907" t="s">
        <v>26</v>
      </c>
      <c r="C907" t="s">
        <v>33</v>
      </c>
      <c r="D907">
        <v>42608</v>
      </c>
      <c r="E907">
        <v>24445</v>
      </c>
      <c r="F907">
        <v>18163</v>
      </c>
      <c r="G907" t="s">
        <v>19</v>
      </c>
      <c r="H907" t="s">
        <v>20</v>
      </c>
      <c r="I907" t="s">
        <v>15</v>
      </c>
      <c r="J907" s="2">
        <f>Table1[[#This Row],[Profit]]/Table1[[#This Row],[Sales]]*100</f>
        <v>42.628144949305295</v>
      </c>
      <c r="K907" t="str">
        <f>IF(Table1[[#This Row],[Sales]]&gt;=30000,"High", IF(Table1[[#This Row],[Sales]]&gt;=15000,"Medium","Low"))</f>
        <v>High</v>
      </c>
      <c r="L907" t="str">
        <f>TEXT(Table1[[#This Row],[Order_Date]],"MMM")</f>
        <v>Aug</v>
      </c>
      <c r="M907" t="str">
        <f>IF(Table1[[#This Row],[Profit]]&gt;=10000,"Excellent",IF(Table1[[#This Row],[Profit]]&gt;5000,"Good","Low"))</f>
        <v>Excellent</v>
      </c>
      <c r="N907" t="str">
        <f>TEXT(Table1[[#This Row],[Order_Date]],"YYYY")</f>
        <v>2024</v>
      </c>
    </row>
    <row r="908" spans="1:14" x14ac:dyDescent="0.25">
      <c r="A908" s="1">
        <v>45974</v>
      </c>
      <c r="B908" t="s">
        <v>22</v>
      </c>
      <c r="C908" t="s">
        <v>41</v>
      </c>
      <c r="D908">
        <v>28179</v>
      </c>
      <c r="E908">
        <v>19697</v>
      </c>
      <c r="F908">
        <v>8482</v>
      </c>
      <c r="G908" t="s">
        <v>19</v>
      </c>
      <c r="H908" t="s">
        <v>45</v>
      </c>
      <c r="I908" t="s">
        <v>15</v>
      </c>
      <c r="J908" s="2">
        <f>Table1[[#This Row],[Profit]]/Table1[[#This Row],[Sales]]*100</f>
        <v>30.100429397778488</v>
      </c>
      <c r="K908" t="str">
        <f>IF(Table1[[#This Row],[Sales]]&gt;=30000,"High", IF(Table1[[#This Row],[Sales]]&gt;=15000,"Medium","Low"))</f>
        <v>Medium</v>
      </c>
      <c r="L908" t="str">
        <f>TEXT(Table1[[#This Row],[Order_Date]],"MMM")</f>
        <v>Nov</v>
      </c>
      <c r="M908" t="str">
        <f>IF(Table1[[#This Row],[Profit]]&gt;=10000,"Excellent",IF(Table1[[#This Row],[Profit]]&gt;5000,"Good","Low"))</f>
        <v>Good</v>
      </c>
      <c r="N908" t="str">
        <f>TEXT(Table1[[#This Row],[Order_Date]],"YYYY")</f>
        <v>2025</v>
      </c>
    </row>
    <row r="909" spans="1:14" x14ac:dyDescent="0.25">
      <c r="A909" s="1">
        <v>45202</v>
      </c>
      <c r="B909" t="s">
        <v>22</v>
      </c>
      <c r="C909" t="s">
        <v>12</v>
      </c>
      <c r="D909">
        <v>34580</v>
      </c>
      <c r="E909">
        <v>32894</v>
      </c>
      <c r="F909">
        <v>1686</v>
      </c>
      <c r="G909" t="s">
        <v>38</v>
      </c>
      <c r="H909" t="s">
        <v>28</v>
      </c>
      <c r="I909" t="s">
        <v>42</v>
      </c>
      <c r="J909" s="2">
        <f>Table1[[#This Row],[Profit]]/Table1[[#This Row],[Sales]]*100</f>
        <v>4.8756506651243496</v>
      </c>
      <c r="K909" t="str">
        <f>IF(Table1[[#This Row],[Sales]]&gt;=30000,"High", IF(Table1[[#This Row],[Sales]]&gt;=15000,"Medium","Low"))</f>
        <v>High</v>
      </c>
      <c r="L909" t="str">
        <f>TEXT(Table1[[#This Row],[Order_Date]],"MMM")</f>
        <v>Oct</v>
      </c>
      <c r="M909" t="str">
        <f>IF(Table1[[#This Row],[Profit]]&gt;=10000,"Excellent",IF(Table1[[#This Row],[Profit]]&gt;5000,"Good","Low"))</f>
        <v>Low</v>
      </c>
      <c r="N909" t="str">
        <f>TEXT(Table1[[#This Row],[Order_Date]],"YYYY")</f>
        <v>2023</v>
      </c>
    </row>
    <row r="910" spans="1:14" x14ac:dyDescent="0.25">
      <c r="A910" s="1">
        <v>45693</v>
      </c>
      <c r="B910" t="s">
        <v>11</v>
      </c>
      <c r="C910" t="s">
        <v>41</v>
      </c>
      <c r="D910">
        <v>7551</v>
      </c>
      <c r="E910">
        <v>2603</v>
      </c>
      <c r="F910">
        <v>4948</v>
      </c>
      <c r="G910" t="s">
        <v>27</v>
      </c>
      <c r="H910" t="s">
        <v>23</v>
      </c>
      <c r="I910" t="s">
        <v>24</v>
      </c>
      <c r="J910" s="2">
        <f>Table1[[#This Row],[Profit]]/Table1[[#This Row],[Sales]]*100</f>
        <v>65.527744669580187</v>
      </c>
      <c r="K910" t="str">
        <f>IF(Table1[[#This Row],[Sales]]&gt;=30000,"High", IF(Table1[[#This Row],[Sales]]&gt;=15000,"Medium","Low"))</f>
        <v>Low</v>
      </c>
      <c r="L910" t="str">
        <f>TEXT(Table1[[#This Row],[Order_Date]],"MMM")</f>
        <v>Feb</v>
      </c>
      <c r="M910" t="str">
        <f>IF(Table1[[#This Row],[Profit]]&gt;=10000,"Excellent",IF(Table1[[#This Row],[Profit]]&gt;5000,"Good","Low"))</f>
        <v>Low</v>
      </c>
      <c r="N910" t="str">
        <f>TEXT(Table1[[#This Row],[Order_Date]],"YYYY")</f>
        <v>2025</v>
      </c>
    </row>
    <row r="911" spans="1:14" x14ac:dyDescent="0.25">
      <c r="A911" s="1">
        <v>46151</v>
      </c>
      <c r="B911" t="s">
        <v>22</v>
      </c>
      <c r="C911" t="s">
        <v>41</v>
      </c>
      <c r="D911">
        <v>33435</v>
      </c>
      <c r="E911">
        <v>27397</v>
      </c>
      <c r="F911">
        <v>6038</v>
      </c>
      <c r="G911" t="s">
        <v>19</v>
      </c>
      <c r="H911" t="s">
        <v>20</v>
      </c>
      <c r="I911" t="s">
        <v>29</v>
      </c>
      <c r="J911" s="2">
        <f>Table1[[#This Row],[Profit]]/Table1[[#This Row],[Sales]]*100</f>
        <v>18.058920293106027</v>
      </c>
      <c r="K911" t="str">
        <f>IF(Table1[[#This Row],[Sales]]&gt;=30000,"High", IF(Table1[[#This Row],[Sales]]&gt;=15000,"Medium","Low"))</f>
        <v>High</v>
      </c>
      <c r="L911" t="str">
        <f>TEXT(Table1[[#This Row],[Order_Date]],"MMM")</f>
        <v>May</v>
      </c>
      <c r="M911" t="str">
        <f>IF(Table1[[#This Row],[Profit]]&gt;=10000,"Excellent",IF(Table1[[#This Row],[Profit]]&gt;5000,"Good","Low"))</f>
        <v>Good</v>
      </c>
      <c r="N911" t="str">
        <f>TEXT(Table1[[#This Row],[Order_Date]],"YYYY")</f>
        <v>2026</v>
      </c>
    </row>
    <row r="912" spans="1:14" x14ac:dyDescent="0.25">
      <c r="A912" s="1">
        <v>45849</v>
      </c>
      <c r="B912" t="s">
        <v>22</v>
      </c>
      <c r="C912" t="s">
        <v>41</v>
      </c>
      <c r="D912">
        <v>39322</v>
      </c>
      <c r="E912">
        <v>28156</v>
      </c>
      <c r="F912">
        <v>11166</v>
      </c>
      <c r="G912" t="s">
        <v>19</v>
      </c>
      <c r="H912" t="s">
        <v>78</v>
      </c>
      <c r="I912" t="s">
        <v>29</v>
      </c>
      <c r="J912" s="2">
        <f>Table1[[#This Row],[Profit]]/Table1[[#This Row],[Sales]]*100</f>
        <v>28.396317583032399</v>
      </c>
      <c r="K912" t="str">
        <f>IF(Table1[[#This Row],[Sales]]&gt;=30000,"High", IF(Table1[[#This Row],[Sales]]&gt;=15000,"Medium","Low"))</f>
        <v>High</v>
      </c>
      <c r="L912" t="str">
        <f>TEXT(Table1[[#This Row],[Order_Date]],"MMM")</f>
        <v>Jul</v>
      </c>
      <c r="M912" t="str">
        <f>IF(Table1[[#This Row],[Profit]]&gt;=10000,"Excellent",IF(Table1[[#This Row],[Profit]]&gt;5000,"Good","Low"))</f>
        <v>Excellent</v>
      </c>
      <c r="N912" t="str">
        <f>TEXT(Table1[[#This Row],[Order_Date]],"YYYY")</f>
        <v>2025</v>
      </c>
    </row>
    <row r="913" spans="1:14" x14ac:dyDescent="0.25">
      <c r="A913" s="1">
        <v>46148</v>
      </c>
      <c r="B913" t="s">
        <v>17</v>
      </c>
      <c r="C913" t="s">
        <v>41</v>
      </c>
      <c r="D913">
        <v>49207</v>
      </c>
      <c r="E913">
        <v>36619</v>
      </c>
      <c r="F913">
        <v>12588</v>
      </c>
      <c r="G913" t="s">
        <v>27</v>
      </c>
      <c r="H913" t="s">
        <v>34</v>
      </c>
      <c r="I913" t="s">
        <v>53</v>
      </c>
      <c r="J913" s="2">
        <f>Table1[[#This Row],[Profit]]/Table1[[#This Row],[Sales]]*100</f>
        <v>25.581726177169916</v>
      </c>
      <c r="K913" t="str">
        <f>IF(Table1[[#This Row],[Sales]]&gt;=30000,"High", IF(Table1[[#This Row],[Sales]]&gt;=15000,"Medium","Low"))</f>
        <v>High</v>
      </c>
      <c r="L913" t="str">
        <f>TEXT(Table1[[#This Row],[Order_Date]],"MMM")</f>
        <v>May</v>
      </c>
      <c r="M913" t="str">
        <f>IF(Table1[[#This Row],[Profit]]&gt;=10000,"Excellent",IF(Table1[[#This Row],[Profit]]&gt;5000,"Good","Low"))</f>
        <v>Excellent</v>
      </c>
      <c r="N913" t="str">
        <f>TEXT(Table1[[#This Row],[Order_Date]],"YYYY")</f>
        <v>2026</v>
      </c>
    </row>
    <row r="914" spans="1:14" x14ac:dyDescent="0.25">
      <c r="A914" s="1">
        <v>45974</v>
      </c>
      <c r="B914" t="s">
        <v>11</v>
      </c>
      <c r="C914" t="s">
        <v>41</v>
      </c>
      <c r="D914">
        <v>27186</v>
      </c>
      <c r="E914">
        <v>8393</v>
      </c>
      <c r="F914">
        <v>18793</v>
      </c>
      <c r="G914" t="s">
        <v>19</v>
      </c>
      <c r="H914" t="s">
        <v>60</v>
      </c>
      <c r="I914" t="s">
        <v>53</v>
      </c>
      <c r="J914" s="2">
        <f>Table1[[#This Row],[Profit]]/Table1[[#This Row],[Sales]]*100</f>
        <v>69.127492091517695</v>
      </c>
      <c r="K914" t="str">
        <f>IF(Table1[[#This Row],[Sales]]&gt;=30000,"High", IF(Table1[[#This Row],[Sales]]&gt;=15000,"Medium","Low"))</f>
        <v>Medium</v>
      </c>
      <c r="L914" t="str">
        <f>TEXT(Table1[[#This Row],[Order_Date]],"MMM")</f>
        <v>Nov</v>
      </c>
      <c r="M914" t="str">
        <f>IF(Table1[[#This Row],[Profit]]&gt;=10000,"Excellent",IF(Table1[[#This Row],[Profit]]&gt;5000,"Good","Low"))</f>
        <v>Excellent</v>
      </c>
      <c r="N914" t="str">
        <f>TEXT(Table1[[#This Row],[Order_Date]],"YYYY")</f>
        <v>2025</v>
      </c>
    </row>
    <row r="915" spans="1:14" x14ac:dyDescent="0.25">
      <c r="A915" s="1">
        <v>45425</v>
      </c>
      <c r="B915" t="s">
        <v>17</v>
      </c>
      <c r="C915" t="s">
        <v>33</v>
      </c>
      <c r="D915">
        <v>34462</v>
      </c>
      <c r="E915">
        <v>29196</v>
      </c>
      <c r="F915">
        <v>5266</v>
      </c>
      <c r="G915" t="s">
        <v>19</v>
      </c>
      <c r="H915" t="s">
        <v>60</v>
      </c>
      <c r="I915" t="s">
        <v>29</v>
      </c>
      <c r="J915" s="2">
        <f>Table1[[#This Row],[Profit]]/Table1[[#This Row],[Sales]]*100</f>
        <v>15.280598920550171</v>
      </c>
      <c r="K915" t="str">
        <f>IF(Table1[[#This Row],[Sales]]&gt;=30000,"High", IF(Table1[[#This Row],[Sales]]&gt;=15000,"Medium","Low"))</f>
        <v>High</v>
      </c>
      <c r="L915" t="str">
        <f>TEXT(Table1[[#This Row],[Order_Date]],"MMM")</f>
        <v>May</v>
      </c>
      <c r="M915" t="str">
        <f>IF(Table1[[#This Row],[Profit]]&gt;=10000,"Excellent",IF(Table1[[#This Row],[Profit]]&gt;5000,"Good","Low"))</f>
        <v>Good</v>
      </c>
      <c r="N915" t="str">
        <f>TEXT(Table1[[#This Row],[Order_Date]],"YYYY")</f>
        <v>2024</v>
      </c>
    </row>
    <row r="916" spans="1:14" x14ac:dyDescent="0.25">
      <c r="A916" s="1">
        <v>46149</v>
      </c>
      <c r="B916" t="s">
        <v>17</v>
      </c>
      <c r="C916" t="s">
        <v>33</v>
      </c>
      <c r="D916">
        <v>17120</v>
      </c>
      <c r="E916">
        <v>11054</v>
      </c>
      <c r="F916">
        <v>6066</v>
      </c>
      <c r="G916" t="s">
        <v>27</v>
      </c>
      <c r="H916" t="s">
        <v>28</v>
      </c>
      <c r="I916" t="s">
        <v>42</v>
      </c>
      <c r="J916" s="2">
        <f>Table1[[#This Row],[Profit]]/Table1[[#This Row],[Sales]]*100</f>
        <v>35.432242990654203</v>
      </c>
      <c r="K916" t="str">
        <f>IF(Table1[[#This Row],[Sales]]&gt;=30000,"High", IF(Table1[[#This Row],[Sales]]&gt;=15000,"Medium","Low"))</f>
        <v>Medium</v>
      </c>
      <c r="L916" t="str">
        <f>TEXT(Table1[[#This Row],[Order_Date]],"MMM")</f>
        <v>May</v>
      </c>
      <c r="M916" t="str">
        <f>IF(Table1[[#This Row],[Profit]]&gt;=10000,"Excellent",IF(Table1[[#This Row],[Profit]]&gt;5000,"Good","Low"))</f>
        <v>Good</v>
      </c>
      <c r="N916" t="str">
        <f>TEXT(Table1[[#This Row],[Order_Date]],"YYYY")</f>
        <v>2026</v>
      </c>
    </row>
    <row r="917" spans="1:14" x14ac:dyDescent="0.25">
      <c r="A917" s="1">
        <v>45807</v>
      </c>
      <c r="B917" t="s">
        <v>22</v>
      </c>
      <c r="C917" t="s">
        <v>36</v>
      </c>
      <c r="D917">
        <v>37997</v>
      </c>
      <c r="E917">
        <v>34111</v>
      </c>
      <c r="F917">
        <v>3886</v>
      </c>
      <c r="G917" t="s">
        <v>27</v>
      </c>
      <c r="H917" t="s">
        <v>20</v>
      </c>
      <c r="I917" t="s">
        <v>42</v>
      </c>
      <c r="J917" s="2">
        <f>Table1[[#This Row],[Profit]]/Table1[[#This Row],[Sales]]*100</f>
        <v>10.227123193936363</v>
      </c>
      <c r="K917" t="str">
        <f>IF(Table1[[#This Row],[Sales]]&gt;=30000,"High", IF(Table1[[#This Row],[Sales]]&gt;=15000,"Medium","Low"))</f>
        <v>High</v>
      </c>
      <c r="L917" t="str">
        <f>TEXT(Table1[[#This Row],[Order_Date]],"MMM")</f>
        <v>May</v>
      </c>
      <c r="M917" t="str">
        <f>IF(Table1[[#This Row],[Profit]]&gt;=10000,"Excellent",IF(Table1[[#This Row],[Profit]]&gt;5000,"Good","Low"))</f>
        <v>Low</v>
      </c>
      <c r="N917" t="str">
        <f>TEXT(Table1[[#This Row],[Order_Date]],"YYYY")</f>
        <v>2025</v>
      </c>
    </row>
    <row r="918" spans="1:14" x14ac:dyDescent="0.25">
      <c r="A918" s="1">
        <v>45648</v>
      </c>
      <c r="B918" t="s">
        <v>17</v>
      </c>
      <c r="C918" t="s">
        <v>41</v>
      </c>
      <c r="D918">
        <v>38503</v>
      </c>
      <c r="E918">
        <v>22030</v>
      </c>
      <c r="F918">
        <v>16473</v>
      </c>
      <c r="G918" t="s">
        <v>27</v>
      </c>
      <c r="H918" t="s">
        <v>63</v>
      </c>
      <c r="I918" t="s">
        <v>29</v>
      </c>
      <c r="J918" s="2">
        <f>Table1[[#This Row],[Profit]]/Table1[[#This Row],[Sales]]*100</f>
        <v>42.783679193829052</v>
      </c>
      <c r="K918" t="str">
        <f>IF(Table1[[#This Row],[Sales]]&gt;=30000,"High", IF(Table1[[#This Row],[Sales]]&gt;=15000,"Medium","Low"))</f>
        <v>High</v>
      </c>
      <c r="L918" t="str">
        <f>TEXT(Table1[[#This Row],[Order_Date]],"MMM")</f>
        <v>Dec</v>
      </c>
      <c r="M918" t="str">
        <f>IF(Table1[[#This Row],[Profit]]&gt;=10000,"Excellent",IF(Table1[[#This Row],[Profit]]&gt;5000,"Good","Low"))</f>
        <v>Excellent</v>
      </c>
      <c r="N918" t="str">
        <f>TEXT(Table1[[#This Row],[Order_Date]],"YYYY")</f>
        <v>2024</v>
      </c>
    </row>
    <row r="919" spans="1:14" x14ac:dyDescent="0.25">
      <c r="A919" s="1">
        <v>45258</v>
      </c>
      <c r="B919" t="s">
        <v>22</v>
      </c>
      <c r="C919" t="s">
        <v>12</v>
      </c>
      <c r="D919">
        <v>11600</v>
      </c>
      <c r="E919">
        <v>7766</v>
      </c>
      <c r="F919">
        <v>3834</v>
      </c>
      <c r="G919" t="s">
        <v>27</v>
      </c>
      <c r="H919" t="s">
        <v>20</v>
      </c>
      <c r="I919" t="s">
        <v>15</v>
      </c>
      <c r="J919" s="2">
        <f>Table1[[#This Row],[Profit]]/Table1[[#This Row],[Sales]]*100</f>
        <v>33.051724137931032</v>
      </c>
      <c r="K919" t="str">
        <f>IF(Table1[[#This Row],[Sales]]&gt;=30000,"High", IF(Table1[[#This Row],[Sales]]&gt;=15000,"Medium","Low"))</f>
        <v>Low</v>
      </c>
      <c r="L919" t="str">
        <f>TEXT(Table1[[#This Row],[Order_Date]],"MMM")</f>
        <v>Nov</v>
      </c>
      <c r="M919" t="str">
        <f>IF(Table1[[#This Row],[Profit]]&gt;=10000,"Excellent",IF(Table1[[#This Row],[Profit]]&gt;5000,"Good","Low"))</f>
        <v>Low</v>
      </c>
      <c r="N919" t="str">
        <f>TEXT(Table1[[#This Row],[Order_Date]],"YYYY")</f>
        <v>2023</v>
      </c>
    </row>
    <row r="920" spans="1:14" x14ac:dyDescent="0.25">
      <c r="A920" s="1">
        <v>45506</v>
      </c>
      <c r="B920" t="s">
        <v>44</v>
      </c>
      <c r="C920" t="s">
        <v>33</v>
      </c>
      <c r="D920">
        <v>8092</v>
      </c>
      <c r="E920">
        <v>3012</v>
      </c>
      <c r="F920">
        <v>5080</v>
      </c>
      <c r="G920" t="s">
        <v>27</v>
      </c>
      <c r="H920" t="s">
        <v>20</v>
      </c>
      <c r="I920" t="s">
        <v>24</v>
      </c>
      <c r="J920" s="2">
        <f>Table1[[#This Row],[Profit]]/Table1[[#This Row],[Sales]]*100</f>
        <v>62.778052397429562</v>
      </c>
      <c r="K920" t="str">
        <f>IF(Table1[[#This Row],[Sales]]&gt;=30000,"High", IF(Table1[[#This Row],[Sales]]&gt;=15000,"Medium","Low"))</f>
        <v>Low</v>
      </c>
      <c r="L920" t="str">
        <f>TEXT(Table1[[#This Row],[Order_Date]],"MMM")</f>
        <v>Aug</v>
      </c>
      <c r="M920" t="str">
        <f>IF(Table1[[#This Row],[Profit]]&gt;=10000,"Excellent",IF(Table1[[#This Row],[Profit]]&gt;5000,"Good","Low"))</f>
        <v>Good</v>
      </c>
      <c r="N920" t="str">
        <f>TEXT(Table1[[#This Row],[Order_Date]],"YYYY")</f>
        <v>2024</v>
      </c>
    </row>
    <row r="921" spans="1:14" x14ac:dyDescent="0.25">
      <c r="A921" s="1">
        <v>45469</v>
      </c>
      <c r="B921" t="s">
        <v>44</v>
      </c>
      <c r="C921" t="s">
        <v>12</v>
      </c>
      <c r="D921">
        <v>8785</v>
      </c>
      <c r="E921">
        <v>4082</v>
      </c>
      <c r="F921">
        <v>4703</v>
      </c>
      <c r="G921" t="s">
        <v>38</v>
      </c>
      <c r="H921" t="s">
        <v>60</v>
      </c>
      <c r="I921" t="s">
        <v>53</v>
      </c>
      <c r="J921" s="2">
        <f>Table1[[#This Row],[Profit]]/Table1[[#This Row],[Sales]]*100</f>
        <v>53.534433693796245</v>
      </c>
      <c r="K921" t="str">
        <f>IF(Table1[[#This Row],[Sales]]&gt;=30000,"High", IF(Table1[[#This Row],[Sales]]&gt;=15000,"Medium","Low"))</f>
        <v>Low</v>
      </c>
      <c r="L921" t="str">
        <f>TEXT(Table1[[#This Row],[Order_Date]],"MMM")</f>
        <v>Jun</v>
      </c>
      <c r="M921" t="str">
        <f>IF(Table1[[#This Row],[Profit]]&gt;=10000,"Excellent",IF(Table1[[#This Row],[Profit]]&gt;5000,"Good","Low"))</f>
        <v>Low</v>
      </c>
      <c r="N921" t="str">
        <f>TEXT(Table1[[#This Row],[Order_Date]],"YYYY")</f>
        <v>2024</v>
      </c>
    </row>
    <row r="922" spans="1:14" x14ac:dyDescent="0.25">
      <c r="A922" s="1">
        <v>46161</v>
      </c>
      <c r="B922" t="s">
        <v>11</v>
      </c>
      <c r="C922" t="s">
        <v>41</v>
      </c>
      <c r="D922">
        <v>39977</v>
      </c>
      <c r="E922">
        <v>23404</v>
      </c>
      <c r="F922">
        <v>16573</v>
      </c>
      <c r="G922" t="s">
        <v>19</v>
      </c>
      <c r="H922" t="s">
        <v>28</v>
      </c>
      <c r="I922" t="s">
        <v>24</v>
      </c>
      <c r="J922" s="2">
        <f>Table1[[#This Row],[Profit]]/Table1[[#This Row],[Sales]]*100</f>
        <v>41.456337394001551</v>
      </c>
      <c r="K922" t="str">
        <f>IF(Table1[[#This Row],[Sales]]&gt;=30000,"High", IF(Table1[[#This Row],[Sales]]&gt;=15000,"Medium","Low"))</f>
        <v>High</v>
      </c>
      <c r="L922" t="str">
        <f>TEXT(Table1[[#This Row],[Order_Date]],"MMM")</f>
        <v>May</v>
      </c>
      <c r="M922" t="str">
        <f>IF(Table1[[#This Row],[Profit]]&gt;=10000,"Excellent",IF(Table1[[#This Row],[Profit]]&gt;5000,"Good","Low"))</f>
        <v>Excellent</v>
      </c>
      <c r="N922" t="str">
        <f>TEXT(Table1[[#This Row],[Order_Date]],"YYYY")</f>
        <v>2026</v>
      </c>
    </row>
    <row r="923" spans="1:14" x14ac:dyDescent="0.25">
      <c r="A923" s="1">
        <v>46183</v>
      </c>
      <c r="B923" t="s">
        <v>44</v>
      </c>
      <c r="C923" t="s">
        <v>33</v>
      </c>
      <c r="D923">
        <v>42727</v>
      </c>
      <c r="E923">
        <v>42157</v>
      </c>
      <c r="F923">
        <v>570</v>
      </c>
      <c r="G923" t="s">
        <v>13</v>
      </c>
      <c r="H923" t="s">
        <v>60</v>
      </c>
      <c r="I923" t="s">
        <v>42</v>
      </c>
      <c r="J923" s="2">
        <f>Table1[[#This Row],[Profit]]/Table1[[#This Row],[Sales]]*100</f>
        <v>1.3340510684110749</v>
      </c>
      <c r="K923" t="str">
        <f>IF(Table1[[#This Row],[Sales]]&gt;=30000,"High", IF(Table1[[#This Row],[Sales]]&gt;=15000,"Medium","Low"))</f>
        <v>High</v>
      </c>
      <c r="L923" t="str">
        <f>TEXT(Table1[[#This Row],[Order_Date]],"MMM")</f>
        <v>Jun</v>
      </c>
      <c r="M923" t="str">
        <f>IF(Table1[[#This Row],[Profit]]&gt;=10000,"Excellent",IF(Table1[[#This Row],[Profit]]&gt;5000,"Good","Low"))</f>
        <v>Low</v>
      </c>
      <c r="N923" t="str">
        <f>TEXT(Table1[[#This Row],[Order_Date]],"YYYY")</f>
        <v>2026</v>
      </c>
    </row>
    <row r="924" spans="1:14" x14ac:dyDescent="0.25">
      <c r="A924" s="1">
        <v>45901</v>
      </c>
      <c r="B924" t="s">
        <v>26</v>
      </c>
      <c r="C924" t="s">
        <v>18</v>
      </c>
      <c r="D924">
        <v>33073</v>
      </c>
      <c r="E924">
        <v>25664</v>
      </c>
      <c r="F924">
        <v>7409</v>
      </c>
      <c r="G924" t="s">
        <v>19</v>
      </c>
      <c r="H924" t="s">
        <v>31</v>
      </c>
      <c r="I924" t="s">
        <v>53</v>
      </c>
      <c r="J924" s="2">
        <f>Table1[[#This Row],[Profit]]/Table1[[#This Row],[Sales]]*100</f>
        <v>22.401959302149791</v>
      </c>
      <c r="K924" t="str">
        <f>IF(Table1[[#This Row],[Sales]]&gt;=30000,"High", IF(Table1[[#This Row],[Sales]]&gt;=15000,"Medium","Low"))</f>
        <v>High</v>
      </c>
      <c r="L924" t="str">
        <f>TEXT(Table1[[#This Row],[Order_Date]],"MMM")</f>
        <v>Sep</v>
      </c>
      <c r="M924" t="str">
        <f>IF(Table1[[#This Row],[Profit]]&gt;=10000,"Excellent",IF(Table1[[#This Row],[Profit]]&gt;5000,"Good","Low"))</f>
        <v>Good</v>
      </c>
      <c r="N924" t="str">
        <f>TEXT(Table1[[#This Row],[Order_Date]],"YYYY")</f>
        <v>2025</v>
      </c>
    </row>
    <row r="925" spans="1:14" x14ac:dyDescent="0.25">
      <c r="A925" s="1">
        <v>45508</v>
      </c>
      <c r="B925" t="s">
        <v>17</v>
      </c>
      <c r="C925" t="s">
        <v>12</v>
      </c>
      <c r="D925">
        <v>40372</v>
      </c>
      <c r="E925">
        <v>35787</v>
      </c>
      <c r="F925">
        <v>4585</v>
      </c>
      <c r="G925" t="s">
        <v>27</v>
      </c>
      <c r="H925" t="s">
        <v>34</v>
      </c>
      <c r="I925" t="s">
        <v>29</v>
      </c>
      <c r="J925" s="2">
        <f>Table1[[#This Row],[Profit]]/Table1[[#This Row],[Sales]]*100</f>
        <v>11.356881006638265</v>
      </c>
      <c r="K925" t="str">
        <f>IF(Table1[[#This Row],[Sales]]&gt;=30000,"High", IF(Table1[[#This Row],[Sales]]&gt;=15000,"Medium","Low"))</f>
        <v>High</v>
      </c>
      <c r="L925" t="str">
        <f>TEXT(Table1[[#This Row],[Order_Date]],"MMM")</f>
        <v>Aug</v>
      </c>
      <c r="M925" t="str">
        <f>IF(Table1[[#This Row],[Profit]]&gt;=10000,"Excellent",IF(Table1[[#This Row],[Profit]]&gt;5000,"Good","Low"))</f>
        <v>Low</v>
      </c>
      <c r="N925" t="str">
        <f>TEXT(Table1[[#This Row],[Order_Date]],"YYYY")</f>
        <v>2024</v>
      </c>
    </row>
    <row r="926" spans="1:14" x14ac:dyDescent="0.25">
      <c r="A926" s="1">
        <v>45504</v>
      </c>
      <c r="B926" t="s">
        <v>26</v>
      </c>
      <c r="C926" t="s">
        <v>33</v>
      </c>
      <c r="D926">
        <v>12736</v>
      </c>
      <c r="E926">
        <v>3148</v>
      </c>
      <c r="F926">
        <v>9588</v>
      </c>
      <c r="G926" t="s">
        <v>13</v>
      </c>
      <c r="H926" t="s">
        <v>45</v>
      </c>
      <c r="I926" t="s">
        <v>29</v>
      </c>
      <c r="J926" s="2">
        <f>Table1[[#This Row],[Profit]]/Table1[[#This Row],[Sales]]*100</f>
        <v>75.282663316582912</v>
      </c>
      <c r="K926" t="str">
        <f>IF(Table1[[#This Row],[Sales]]&gt;=30000,"High", IF(Table1[[#This Row],[Sales]]&gt;=15000,"Medium","Low"))</f>
        <v>Low</v>
      </c>
      <c r="L926" t="str">
        <f>TEXT(Table1[[#This Row],[Order_Date]],"MMM")</f>
        <v>Jul</v>
      </c>
      <c r="M926" t="str">
        <f>IF(Table1[[#This Row],[Profit]]&gt;=10000,"Excellent",IF(Table1[[#This Row],[Profit]]&gt;5000,"Good","Low"))</f>
        <v>Good</v>
      </c>
      <c r="N926" t="str">
        <f>TEXT(Table1[[#This Row],[Order_Date]],"YYYY")</f>
        <v>2024</v>
      </c>
    </row>
    <row r="927" spans="1:14" x14ac:dyDescent="0.25">
      <c r="A927" s="1">
        <v>45662</v>
      </c>
      <c r="B927" t="s">
        <v>11</v>
      </c>
      <c r="C927" t="s">
        <v>36</v>
      </c>
      <c r="D927">
        <v>43926</v>
      </c>
      <c r="E927">
        <v>38261</v>
      </c>
      <c r="F927">
        <v>5665</v>
      </c>
      <c r="G927" t="s">
        <v>13</v>
      </c>
      <c r="H927" t="s">
        <v>28</v>
      </c>
      <c r="I927" t="s">
        <v>42</v>
      </c>
      <c r="J927" s="2">
        <f>Table1[[#This Row],[Profit]]/Table1[[#This Row],[Sales]]*100</f>
        <v>12.896689887538132</v>
      </c>
      <c r="K927" t="str">
        <f>IF(Table1[[#This Row],[Sales]]&gt;=30000,"High", IF(Table1[[#This Row],[Sales]]&gt;=15000,"Medium","Low"))</f>
        <v>High</v>
      </c>
      <c r="L927" t="str">
        <f>TEXT(Table1[[#This Row],[Order_Date]],"MMM")</f>
        <v>Jan</v>
      </c>
      <c r="M927" t="str">
        <f>IF(Table1[[#This Row],[Profit]]&gt;=10000,"Excellent",IF(Table1[[#This Row],[Profit]]&gt;5000,"Good","Low"))</f>
        <v>Good</v>
      </c>
      <c r="N927" t="str">
        <f>TEXT(Table1[[#This Row],[Order_Date]],"YYYY")</f>
        <v>2025</v>
      </c>
    </row>
    <row r="928" spans="1:14" x14ac:dyDescent="0.25">
      <c r="A928" s="1">
        <v>45812</v>
      </c>
      <c r="B928" t="s">
        <v>26</v>
      </c>
      <c r="C928" t="s">
        <v>12</v>
      </c>
      <c r="D928">
        <v>7228</v>
      </c>
      <c r="E928">
        <v>2949</v>
      </c>
      <c r="F928">
        <v>4279</v>
      </c>
      <c r="G928" t="s">
        <v>13</v>
      </c>
      <c r="H928" t="s">
        <v>63</v>
      </c>
      <c r="I928" t="s">
        <v>24</v>
      </c>
      <c r="J928" s="2">
        <f>Table1[[#This Row],[Profit]]/Table1[[#This Row],[Sales]]*100</f>
        <v>59.200332042058655</v>
      </c>
      <c r="K928" t="str">
        <f>IF(Table1[[#This Row],[Sales]]&gt;=30000,"High", IF(Table1[[#This Row],[Sales]]&gt;=15000,"Medium","Low"))</f>
        <v>Low</v>
      </c>
      <c r="L928" t="str">
        <f>TEXT(Table1[[#This Row],[Order_Date]],"MMM")</f>
        <v>Jun</v>
      </c>
      <c r="M928" t="str">
        <f>IF(Table1[[#This Row],[Profit]]&gt;=10000,"Excellent",IF(Table1[[#This Row],[Profit]]&gt;5000,"Good","Low"))</f>
        <v>Low</v>
      </c>
      <c r="N928" t="str">
        <f>TEXT(Table1[[#This Row],[Order_Date]],"YYYY")</f>
        <v>2025</v>
      </c>
    </row>
    <row r="929" spans="1:14" x14ac:dyDescent="0.25">
      <c r="A929" s="1">
        <v>45639</v>
      </c>
      <c r="B929" t="s">
        <v>22</v>
      </c>
      <c r="C929" t="s">
        <v>33</v>
      </c>
      <c r="D929">
        <v>39522</v>
      </c>
      <c r="E929">
        <v>21232</v>
      </c>
      <c r="F929">
        <v>18290</v>
      </c>
      <c r="G929" t="s">
        <v>27</v>
      </c>
      <c r="H929" t="s">
        <v>28</v>
      </c>
      <c r="I929" t="s">
        <v>15</v>
      </c>
      <c r="J929" s="2">
        <f>Table1[[#This Row],[Profit]]/Table1[[#This Row],[Sales]]*100</f>
        <v>46.278022367289104</v>
      </c>
      <c r="K929" t="str">
        <f>IF(Table1[[#This Row],[Sales]]&gt;=30000,"High", IF(Table1[[#This Row],[Sales]]&gt;=15000,"Medium","Low"))</f>
        <v>High</v>
      </c>
      <c r="L929" t="str">
        <f>TEXT(Table1[[#This Row],[Order_Date]],"MMM")</f>
        <v>Dec</v>
      </c>
      <c r="M929" t="str">
        <f>IF(Table1[[#This Row],[Profit]]&gt;=10000,"Excellent",IF(Table1[[#This Row],[Profit]]&gt;5000,"Good","Low"))</f>
        <v>Excellent</v>
      </c>
      <c r="N929" t="str">
        <f>TEXT(Table1[[#This Row],[Order_Date]],"YYYY")</f>
        <v>2024</v>
      </c>
    </row>
    <row r="930" spans="1:14" x14ac:dyDescent="0.25">
      <c r="A930" s="1">
        <v>45951</v>
      </c>
      <c r="B930" t="s">
        <v>22</v>
      </c>
      <c r="C930" t="s">
        <v>18</v>
      </c>
      <c r="D930">
        <v>34135</v>
      </c>
      <c r="E930">
        <v>28355</v>
      </c>
      <c r="F930">
        <v>5780</v>
      </c>
      <c r="G930" t="s">
        <v>27</v>
      </c>
      <c r="H930" t="s">
        <v>60</v>
      </c>
      <c r="I930" t="s">
        <v>29</v>
      </c>
      <c r="J930" s="2">
        <f>Table1[[#This Row],[Profit]]/Table1[[#This Row],[Sales]]*100</f>
        <v>16.932766954738536</v>
      </c>
      <c r="K930" t="str">
        <f>IF(Table1[[#This Row],[Sales]]&gt;=30000,"High", IF(Table1[[#This Row],[Sales]]&gt;=15000,"Medium","Low"))</f>
        <v>High</v>
      </c>
      <c r="L930" t="str">
        <f>TEXT(Table1[[#This Row],[Order_Date]],"MMM")</f>
        <v>Oct</v>
      </c>
      <c r="M930" t="str">
        <f>IF(Table1[[#This Row],[Profit]]&gt;=10000,"Excellent",IF(Table1[[#This Row],[Profit]]&gt;5000,"Good","Low"))</f>
        <v>Good</v>
      </c>
      <c r="N930" t="str">
        <f>TEXT(Table1[[#This Row],[Order_Date]],"YYYY")</f>
        <v>2025</v>
      </c>
    </row>
    <row r="931" spans="1:14" x14ac:dyDescent="0.25">
      <c r="A931" s="1">
        <v>45314</v>
      </c>
      <c r="B931" t="s">
        <v>22</v>
      </c>
      <c r="C931" t="s">
        <v>41</v>
      </c>
      <c r="D931">
        <v>28703</v>
      </c>
      <c r="E931">
        <v>9181</v>
      </c>
      <c r="F931">
        <v>19522</v>
      </c>
      <c r="G931" t="s">
        <v>38</v>
      </c>
      <c r="H931" t="s">
        <v>31</v>
      </c>
      <c r="I931" t="s">
        <v>15</v>
      </c>
      <c r="J931" s="2">
        <f>Table1[[#This Row],[Profit]]/Table1[[#This Row],[Sales]]*100</f>
        <v>68.013796467268222</v>
      </c>
      <c r="K931" t="str">
        <f>IF(Table1[[#This Row],[Sales]]&gt;=30000,"High", IF(Table1[[#This Row],[Sales]]&gt;=15000,"Medium","Low"))</f>
        <v>Medium</v>
      </c>
      <c r="L931" t="str">
        <f>TEXT(Table1[[#This Row],[Order_Date]],"MMM")</f>
        <v>Jan</v>
      </c>
      <c r="M931" t="str">
        <f>IF(Table1[[#This Row],[Profit]]&gt;=10000,"Excellent",IF(Table1[[#This Row],[Profit]]&gt;5000,"Good","Low"))</f>
        <v>Excellent</v>
      </c>
      <c r="N931" t="str">
        <f>TEXT(Table1[[#This Row],[Order_Date]],"YYYY")</f>
        <v>2024</v>
      </c>
    </row>
    <row r="932" spans="1:14" x14ac:dyDescent="0.25">
      <c r="A932" s="1">
        <v>46097</v>
      </c>
      <c r="B932" t="s">
        <v>11</v>
      </c>
      <c r="C932" t="s">
        <v>41</v>
      </c>
      <c r="D932">
        <v>27017</v>
      </c>
      <c r="E932">
        <v>9205</v>
      </c>
      <c r="F932">
        <v>17812</v>
      </c>
      <c r="G932" t="s">
        <v>19</v>
      </c>
      <c r="H932" t="s">
        <v>34</v>
      </c>
      <c r="I932" t="s">
        <v>42</v>
      </c>
      <c r="J932" s="2">
        <f>Table1[[#This Row],[Profit]]/Table1[[#This Row],[Sales]]*100</f>
        <v>65.928859606914173</v>
      </c>
      <c r="K932" t="str">
        <f>IF(Table1[[#This Row],[Sales]]&gt;=30000,"High", IF(Table1[[#This Row],[Sales]]&gt;=15000,"Medium","Low"))</f>
        <v>Medium</v>
      </c>
      <c r="L932" t="str">
        <f>TEXT(Table1[[#This Row],[Order_Date]],"MMM")</f>
        <v>Mar</v>
      </c>
      <c r="M932" t="str">
        <f>IF(Table1[[#This Row],[Profit]]&gt;=10000,"Excellent",IF(Table1[[#This Row],[Profit]]&gt;5000,"Good","Low"))</f>
        <v>Excellent</v>
      </c>
      <c r="N932" t="str">
        <f>TEXT(Table1[[#This Row],[Order_Date]],"YYYY")</f>
        <v>2026</v>
      </c>
    </row>
    <row r="933" spans="1:14" x14ac:dyDescent="0.25">
      <c r="A933" s="1">
        <v>45952</v>
      </c>
      <c r="B933" t="s">
        <v>11</v>
      </c>
      <c r="C933" t="s">
        <v>41</v>
      </c>
      <c r="D933">
        <v>21130</v>
      </c>
      <c r="E933">
        <v>6573</v>
      </c>
      <c r="F933">
        <v>14557</v>
      </c>
      <c r="G933" t="s">
        <v>38</v>
      </c>
      <c r="H933" t="s">
        <v>78</v>
      </c>
      <c r="I933" t="s">
        <v>15</v>
      </c>
      <c r="J933" s="2">
        <f>Table1[[#This Row],[Profit]]/Table1[[#This Row],[Sales]]*100</f>
        <v>68.892569805963092</v>
      </c>
      <c r="K933" t="str">
        <f>IF(Table1[[#This Row],[Sales]]&gt;=30000,"High", IF(Table1[[#This Row],[Sales]]&gt;=15000,"Medium","Low"))</f>
        <v>Medium</v>
      </c>
      <c r="L933" t="str">
        <f>TEXT(Table1[[#This Row],[Order_Date]],"MMM")</f>
        <v>Oct</v>
      </c>
      <c r="M933" t="str">
        <f>IF(Table1[[#This Row],[Profit]]&gt;=10000,"Excellent",IF(Table1[[#This Row],[Profit]]&gt;5000,"Good","Low"))</f>
        <v>Excellent</v>
      </c>
      <c r="N933" t="str">
        <f>TEXT(Table1[[#This Row],[Order_Date]],"YYYY")</f>
        <v>2025</v>
      </c>
    </row>
    <row r="934" spans="1:14" x14ac:dyDescent="0.25">
      <c r="A934" s="1">
        <v>45659</v>
      </c>
      <c r="B934" t="s">
        <v>44</v>
      </c>
      <c r="C934" t="s">
        <v>12</v>
      </c>
      <c r="D934">
        <v>10713</v>
      </c>
      <c r="E934">
        <v>1611</v>
      </c>
      <c r="F934">
        <v>9102</v>
      </c>
      <c r="G934" t="s">
        <v>19</v>
      </c>
      <c r="H934" t="s">
        <v>63</v>
      </c>
      <c r="I934" t="s">
        <v>53</v>
      </c>
      <c r="J934" s="2">
        <f>Table1[[#This Row],[Profit]]/Table1[[#This Row],[Sales]]*100</f>
        <v>84.962195463455615</v>
      </c>
      <c r="K934" t="str">
        <f>IF(Table1[[#This Row],[Sales]]&gt;=30000,"High", IF(Table1[[#This Row],[Sales]]&gt;=15000,"Medium","Low"))</f>
        <v>Low</v>
      </c>
      <c r="L934" t="str">
        <f>TEXT(Table1[[#This Row],[Order_Date]],"MMM")</f>
        <v>Jan</v>
      </c>
      <c r="M934" t="str">
        <f>IF(Table1[[#This Row],[Profit]]&gt;=10000,"Excellent",IF(Table1[[#This Row],[Profit]]&gt;5000,"Good","Low"))</f>
        <v>Good</v>
      </c>
      <c r="N934" t="str">
        <f>TEXT(Table1[[#This Row],[Order_Date]],"YYYY")</f>
        <v>2025</v>
      </c>
    </row>
    <row r="935" spans="1:14" x14ac:dyDescent="0.25">
      <c r="A935" s="1">
        <v>45673</v>
      </c>
      <c r="B935" t="s">
        <v>44</v>
      </c>
      <c r="C935" t="s">
        <v>33</v>
      </c>
      <c r="D935">
        <v>21570</v>
      </c>
      <c r="E935">
        <v>6183</v>
      </c>
      <c r="F935">
        <v>15387</v>
      </c>
      <c r="G935" t="s">
        <v>27</v>
      </c>
      <c r="H935" t="s">
        <v>28</v>
      </c>
      <c r="I935" t="s">
        <v>29</v>
      </c>
      <c r="J935" s="2">
        <f>Table1[[#This Row],[Profit]]/Table1[[#This Row],[Sales]]*100</f>
        <v>71.335187760778865</v>
      </c>
      <c r="K935" t="str">
        <f>IF(Table1[[#This Row],[Sales]]&gt;=30000,"High", IF(Table1[[#This Row],[Sales]]&gt;=15000,"Medium","Low"))</f>
        <v>Medium</v>
      </c>
      <c r="L935" t="str">
        <f>TEXT(Table1[[#This Row],[Order_Date]],"MMM")</f>
        <v>Jan</v>
      </c>
      <c r="M935" t="str">
        <f>IF(Table1[[#This Row],[Profit]]&gt;=10000,"Excellent",IF(Table1[[#This Row],[Profit]]&gt;5000,"Good","Low"))</f>
        <v>Excellent</v>
      </c>
      <c r="N935" t="str">
        <f>TEXT(Table1[[#This Row],[Order_Date]],"YYYY")</f>
        <v>2025</v>
      </c>
    </row>
    <row r="936" spans="1:14" x14ac:dyDescent="0.25">
      <c r="A936" s="1">
        <v>46152</v>
      </c>
      <c r="B936" t="s">
        <v>26</v>
      </c>
      <c r="C936" t="s">
        <v>33</v>
      </c>
      <c r="D936">
        <v>44332</v>
      </c>
      <c r="E936">
        <v>33397</v>
      </c>
      <c r="F936">
        <v>10935</v>
      </c>
      <c r="G936" t="s">
        <v>27</v>
      </c>
      <c r="H936" t="s">
        <v>78</v>
      </c>
      <c r="I936" t="s">
        <v>15</v>
      </c>
      <c r="J936" s="2">
        <f>Table1[[#This Row],[Profit]]/Table1[[#This Row],[Sales]]*100</f>
        <v>24.666155373093929</v>
      </c>
      <c r="K936" t="str">
        <f>IF(Table1[[#This Row],[Sales]]&gt;=30000,"High", IF(Table1[[#This Row],[Sales]]&gt;=15000,"Medium","Low"))</f>
        <v>High</v>
      </c>
      <c r="L936" t="str">
        <f>TEXT(Table1[[#This Row],[Order_Date]],"MMM")</f>
        <v>May</v>
      </c>
      <c r="M936" t="str">
        <f>IF(Table1[[#This Row],[Profit]]&gt;=10000,"Excellent",IF(Table1[[#This Row],[Profit]]&gt;5000,"Good","Low"))</f>
        <v>Excellent</v>
      </c>
      <c r="N936" t="str">
        <f>TEXT(Table1[[#This Row],[Order_Date]],"YYYY")</f>
        <v>2026</v>
      </c>
    </row>
    <row r="937" spans="1:14" x14ac:dyDescent="0.25">
      <c r="A937" s="1">
        <v>45539</v>
      </c>
      <c r="B937" t="s">
        <v>44</v>
      </c>
      <c r="C937" t="s">
        <v>33</v>
      </c>
      <c r="D937">
        <v>27868</v>
      </c>
      <c r="E937">
        <v>21139</v>
      </c>
      <c r="F937">
        <v>6729</v>
      </c>
      <c r="G937" t="s">
        <v>27</v>
      </c>
      <c r="H937" t="s">
        <v>28</v>
      </c>
      <c r="I937" t="s">
        <v>24</v>
      </c>
      <c r="J937" s="2">
        <f>Table1[[#This Row],[Profit]]/Table1[[#This Row],[Sales]]*100</f>
        <v>24.145973876847997</v>
      </c>
      <c r="K937" t="str">
        <f>IF(Table1[[#This Row],[Sales]]&gt;=30000,"High", IF(Table1[[#This Row],[Sales]]&gt;=15000,"Medium","Low"))</f>
        <v>Medium</v>
      </c>
      <c r="L937" t="str">
        <f>TEXT(Table1[[#This Row],[Order_Date]],"MMM")</f>
        <v>Sep</v>
      </c>
      <c r="M937" t="str">
        <f>IF(Table1[[#This Row],[Profit]]&gt;=10000,"Excellent",IF(Table1[[#This Row],[Profit]]&gt;5000,"Good","Low"))</f>
        <v>Good</v>
      </c>
      <c r="N937" t="str">
        <f>TEXT(Table1[[#This Row],[Order_Date]],"YYYY")</f>
        <v>2024</v>
      </c>
    </row>
    <row r="938" spans="1:14" x14ac:dyDescent="0.25">
      <c r="A938" s="1">
        <v>45318</v>
      </c>
      <c r="B938" t="s">
        <v>11</v>
      </c>
      <c r="C938" t="s">
        <v>41</v>
      </c>
      <c r="D938">
        <v>21835</v>
      </c>
      <c r="E938">
        <v>12158</v>
      </c>
      <c r="F938">
        <v>9677</v>
      </c>
      <c r="G938" t="s">
        <v>13</v>
      </c>
      <c r="H938" t="s">
        <v>34</v>
      </c>
      <c r="I938" t="s">
        <v>29</v>
      </c>
      <c r="J938" s="2">
        <f>Table1[[#This Row],[Profit]]/Table1[[#This Row],[Sales]]*100</f>
        <v>44.318754293565377</v>
      </c>
      <c r="K938" t="str">
        <f>IF(Table1[[#This Row],[Sales]]&gt;=30000,"High", IF(Table1[[#This Row],[Sales]]&gt;=15000,"Medium","Low"))</f>
        <v>Medium</v>
      </c>
      <c r="L938" t="str">
        <f>TEXT(Table1[[#This Row],[Order_Date]],"MMM")</f>
        <v>Jan</v>
      </c>
      <c r="M938" t="str">
        <f>IF(Table1[[#This Row],[Profit]]&gt;=10000,"Excellent",IF(Table1[[#This Row],[Profit]]&gt;5000,"Good","Low"))</f>
        <v>Good</v>
      </c>
      <c r="N938" t="str">
        <f>TEXT(Table1[[#This Row],[Order_Date]],"YYYY")</f>
        <v>2024</v>
      </c>
    </row>
    <row r="939" spans="1:14" x14ac:dyDescent="0.25">
      <c r="A939" s="1">
        <v>46036</v>
      </c>
      <c r="B939" t="s">
        <v>44</v>
      </c>
      <c r="C939" t="s">
        <v>33</v>
      </c>
      <c r="D939">
        <v>12805</v>
      </c>
      <c r="E939">
        <v>7511</v>
      </c>
      <c r="F939">
        <v>5294</v>
      </c>
      <c r="G939" t="s">
        <v>13</v>
      </c>
      <c r="H939" t="s">
        <v>14</v>
      </c>
      <c r="I939" t="s">
        <v>24</v>
      </c>
      <c r="J939" s="2">
        <f>Table1[[#This Row],[Profit]]/Table1[[#This Row],[Sales]]*100</f>
        <v>41.343225302616169</v>
      </c>
      <c r="K939" t="str">
        <f>IF(Table1[[#This Row],[Sales]]&gt;=30000,"High", IF(Table1[[#This Row],[Sales]]&gt;=15000,"Medium","Low"))</f>
        <v>Low</v>
      </c>
      <c r="L939" t="str">
        <f>TEXT(Table1[[#This Row],[Order_Date]],"MMM")</f>
        <v>Jan</v>
      </c>
      <c r="M939" t="str">
        <f>IF(Table1[[#This Row],[Profit]]&gt;=10000,"Excellent",IF(Table1[[#This Row],[Profit]]&gt;5000,"Good","Low"))</f>
        <v>Good</v>
      </c>
      <c r="N939" t="str">
        <f>TEXT(Table1[[#This Row],[Order_Date]],"YYYY")</f>
        <v>2026</v>
      </c>
    </row>
    <row r="940" spans="1:14" x14ac:dyDescent="0.25">
      <c r="A940" s="1">
        <v>45668</v>
      </c>
      <c r="B940" t="s">
        <v>11</v>
      </c>
      <c r="C940" t="s">
        <v>36</v>
      </c>
      <c r="D940">
        <v>8250</v>
      </c>
      <c r="E940">
        <v>3230</v>
      </c>
      <c r="F940">
        <v>5020</v>
      </c>
      <c r="G940" t="s">
        <v>19</v>
      </c>
      <c r="H940" t="s">
        <v>28</v>
      </c>
      <c r="I940" t="s">
        <v>15</v>
      </c>
      <c r="J940" s="2">
        <f>Table1[[#This Row],[Profit]]/Table1[[#This Row],[Sales]]*100</f>
        <v>60.848484848484851</v>
      </c>
      <c r="K940" t="str">
        <f>IF(Table1[[#This Row],[Sales]]&gt;=30000,"High", IF(Table1[[#This Row],[Sales]]&gt;=15000,"Medium","Low"))</f>
        <v>Low</v>
      </c>
      <c r="L940" t="str">
        <f>TEXT(Table1[[#This Row],[Order_Date]],"MMM")</f>
        <v>Jan</v>
      </c>
      <c r="M940" t="str">
        <f>IF(Table1[[#This Row],[Profit]]&gt;=10000,"Excellent",IF(Table1[[#This Row],[Profit]]&gt;5000,"Good","Low"))</f>
        <v>Good</v>
      </c>
      <c r="N940" t="str">
        <f>TEXT(Table1[[#This Row],[Order_Date]],"YYYY")</f>
        <v>2025</v>
      </c>
    </row>
    <row r="941" spans="1:14" x14ac:dyDescent="0.25">
      <c r="A941" s="1">
        <v>45462</v>
      </c>
      <c r="B941" t="s">
        <v>17</v>
      </c>
      <c r="C941" t="s">
        <v>18</v>
      </c>
      <c r="D941">
        <v>23270</v>
      </c>
      <c r="E941">
        <v>13183</v>
      </c>
      <c r="F941">
        <v>10087</v>
      </c>
      <c r="G941" t="s">
        <v>27</v>
      </c>
      <c r="H941" t="s">
        <v>23</v>
      </c>
      <c r="I941" t="s">
        <v>53</v>
      </c>
      <c r="J941" s="2">
        <f>Table1[[#This Row],[Profit]]/Table1[[#This Row],[Sales]]*100</f>
        <v>43.347657928663516</v>
      </c>
      <c r="K941" t="str">
        <f>IF(Table1[[#This Row],[Sales]]&gt;=30000,"High", IF(Table1[[#This Row],[Sales]]&gt;=15000,"Medium","Low"))</f>
        <v>Medium</v>
      </c>
      <c r="L941" t="str">
        <f>TEXT(Table1[[#This Row],[Order_Date]],"MMM")</f>
        <v>Jun</v>
      </c>
      <c r="M941" t="str">
        <f>IF(Table1[[#This Row],[Profit]]&gt;=10000,"Excellent",IF(Table1[[#This Row],[Profit]]&gt;5000,"Good","Low"))</f>
        <v>Excellent</v>
      </c>
      <c r="N941" t="str">
        <f>TEXT(Table1[[#This Row],[Order_Date]],"YYYY")</f>
        <v>2024</v>
      </c>
    </row>
    <row r="942" spans="1:14" x14ac:dyDescent="0.25">
      <c r="A942" s="1">
        <v>45940</v>
      </c>
      <c r="B942" t="s">
        <v>11</v>
      </c>
      <c r="C942" t="s">
        <v>12</v>
      </c>
      <c r="D942">
        <v>10211</v>
      </c>
      <c r="E942">
        <v>8667</v>
      </c>
      <c r="F942">
        <v>1544</v>
      </c>
      <c r="G942" t="s">
        <v>27</v>
      </c>
      <c r="H942" t="s">
        <v>28</v>
      </c>
      <c r="I942" t="s">
        <v>24</v>
      </c>
      <c r="J942" s="2">
        <f>Table1[[#This Row],[Profit]]/Table1[[#This Row],[Sales]]*100</f>
        <v>15.120947997257858</v>
      </c>
      <c r="K942" t="str">
        <f>IF(Table1[[#This Row],[Sales]]&gt;=30000,"High", IF(Table1[[#This Row],[Sales]]&gt;=15000,"Medium","Low"))</f>
        <v>Low</v>
      </c>
      <c r="L942" t="str">
        <f>TEXT(Table1[[#This Row],[Order_Date]],"MMM")</f>
        <v>Oct</v>
      </c>
      <c r="M942" t="str">
        <f>IF(Table1[[#This Row],[Profit]]&gt;=10000,"Excellent",IF(Table1[[#This Row],[Profit]]&gt;5000,"Good","Low"))</f>
        <v>Low</v>
      </c>
      <c r="N942" t="str">
        <f>TEXT(Table1[[#This Row],[Order_Date]],"YYYY")</f>
        <v>2025</v>
      </c>
    </row>
    <row r="943" spans="1:14" x14ac:dyDescent="0.25">
      <c r="A943" s="1">
        <v>45685</v>
      </c>
      <c r="B943" t="s">
        <v>26</v>
      </c>
      <c r="C943" t="s">
        <v>18</v>
      </c>
      <c r="D943">
        <v>30865</v>
      </c>
      <c r="E943">
        <v>19435</v>
      </c>
      <c r="F943">
        <v>11430</v>
      </c>
      <c r="G943" t="s">
        <v>27</v>
      </c>
      <c r="H943" t="s">
        <v>28</v>
      </c>
      <c r="I943" t="s">
        <v>42</v>
      </c>
      <c r="J943" s="2">
        <f>Table1[[#This Row],[Profit]]/Table1[[#This Row],[Sales]]*100</f>
        <v>37.032237161833791</v>
      </c>
      <c r="K943" t="str">
        <f>IF(Table1[[#This Row],[Sales]]&gt;=30000,"High", IF(Table1[[#This Row],[Sales]]&gt;=15000,"Medium","Low"))</f>
        <v>High</v>
      </c>
      <c r="L943" t="str">
        <f>TEXT(Table1[[#This Row],[Order_Date]],"MMM")</f>
        <v>Jan</v>
      </c>
      <c r="M943" t="str">
        <f>IF(Table1[[#This Row],[Profit]]&gt;=10000,"Excellent",IF(Table1[[#This Row],[Profit]]&gt;5000,"Good","Low"))</f>
        <v>Excellent</v>
      </c>
      <c r="N943" t="str">
        <f>TEXT(Table1[[#This Row],[Order_Date]],"YYYY")</f>
        <v>2025</v>
      </c>
    </row>
    <row r="944" spans="1:14" x14ac:dyDescent="0.25">
      <c r="A944" s="1">
        <v>45573</v>
      </c>
      <c r="B944" t="s">
        <v>17</v>
      </c>
      <c r="C944" t="s">
        <v>41</v>
      </c>
      <c r="D944">
        <v>48759</v>
      </c>
      <c r="E944">
        <v>41049</v>
      </c>
      <c r="F944">
        <v>7710</v>
      </c>
      <c r="G944" t="s">
        <v>13</v>
      </c>
      <c r="H944" t="s">
        <v>31</v>
      </c>
      <c r="I944" t="s">
        <v>53</v>
      </c>
      <c r="J944" s="2">
        <f>Table1[[#This Row],[Profit]]/Table1[[#This Row],[Sales]]*100</f>
        <v>15.812465391004737</v>
      </c>
      <c r="K944" t="str">
        <f>IF(Table1[[#This Row],[Sales]]&gt;=30000,"High", IF(Table1[[#This Row],[Sales]]&gt;=15000,"Medium","Low"))</f>
        <v>High</v>
      </c>
      <c r="L944" t="str">
        <f>TEXT(Table1[[#This Row],[Order_Date]],"MMM")</f>
        <v>Oct</v>
      </c>
      <c r="M944" t="str">
        <f>IF(Table1[[#This Row],[Profit]]&gt;=10000,"Excellent",IF(Table1[[#This Row],[Profit]]&gt;5000,"Good","Low"))</f>
        <v>Good</v>
      </c>
      <c r="N944" t="str">
        <f>TEXT(Table1[[#This Row],[Order_Date]],"YYYY")</f>
        <v>2024</v>
      </c>
    </row>
    <row r="945" spans="1:14" x14ac:dyDescent="0.25">
      <c r="A945" s="1">
        <v>45236</v>
      </c>
      <c r="B945" t="s">
        <v>44</v>
      </c>
      <c r="C945" t="s">
        <v>33</v>
      </c>
      <c r="D945">
        <v>20760</v>
      </c>
      <c r="E945">
        <v>2781</v>
      </c>
      <c r="F945">
        <v>17979</v>
      </c>
      <c r="G945" t="s">
        <v>19</v>
      </c>
      <c r="H945" t="s">
        <v>31</v>
      </c>
      <c r="I945" t="s">
        <v>42</v>
      </c>
      <c r="J945" s="2">
        <f>Table1[[#This Row],[Profit]]/Table1[[#This Row],[Sales]]*100</f>
        <v>86.604046242774572</v>
      </c>
      <c r="K945" t="str">
        <f>IF(Table1[[#This Row],[Sales]]&gt;=30000,"High", IF(Table1[[#This Row],[Sales]]&gt;=15000,"Medium","Low"))</f>
        <v>Medium</v>
      </c>
      <c r="L945" t="str">
        <f>TEXT(Table1[[#This Row],[Order_Date]],"MMM")</f>
        <v>Nov</v>
      </c>
      <c r="M945" t="str">
        <f>IF(Table1[[#This Row],[Profit]]&gt;=10000,"Excellent",IF(Table1[[#This Row],[Profit]]&gt;5000,"Good","Low"))</f>
        <v>Excellent</v>
      </c>
      <c r="N945" t="str">
        <f>TEXT(Table1[[#This Row],[Order_Date]],"YYYY")</f>
        <v>2023</v>
      </c>
    </row>
    <row r="946" spans="1:14" x14ac:dyDescent="0.25">
      <c r="A946" s="1">
        <v>46056</v>
      </c>
      <c r="B946" t="s">
        <v>22</v>
      </c>
      <c r="C946" t="s">
        <v>18</v>
      </c>
      <c r="D946">
        <v>45301</v>
      </c>
      <c r="E946">
        <v>36928</v>
      </c>
      <c r="F946">
        <v>8373</v>
      </c>
      <c r="G946" t="s">
        <v>38</v>
      </c>
      <c r="H946" t="s">
        <v>78</v>
      </c>
      <c r="I946" t="s">
        <v>42</v>
      </c>
      <c r="J946" s="2">
        <f>Table1[[#This Row],[Profit]]/Table1[[#This Row],[Sales]]*100</f>
        <v>18.483035694576277</v>
      </c>
      <c r="K946" t="str">
        <f>IF(Table1[[#This Row],[Sales]]&gt;=30000,"High", IF(Table1[[#This Row],[Sales]]&gt;=15000,"Medium","Low"))</f>
        <v>High</v>
      </c>
      <c r="L946" t="str">
        <f>TEXT(Table1[[#This Row],[Order_Date]],"MMM")</f>
        <v>Feb</v>
      </c>
      <c r="M946" t="str">
        <f>IF(Table1[[#This Row],[Profit]]&gt;=10000,"Excellent",IF(Table1[[#This Row],[Profit]]&gt;5000,"Good","Low"))</f>
        <v>Good</v>
      </c>
      <c r="N946" t="str">
        <f>TEXT(Table1[[#This Row],[Order_Date]],"YYYY")</f>
        <v>2026</v>
      </c>
    </row>
    <row r="947" spans="1:14" x14ac:dyDescent="0.25">
      <c r="A947" s="1">
        <v>45265</v>
      </c>
      <c r="B947" t="s">
        <v>44</v>
      </c>
      <c r="C947" t="s">
        <v>18</v>
      </c>
      <c r="D947">
        <v>5967</v>
      </c>
      <c r="E947">
        <v>1619</v>
      </c>
      <c r="F947">
        <v>4348</v>
      </c>
      <c r="G947" t="s">
        <v>27</v>
      </c>
      <c r="H947" t="s">
        <v>34</v>
      </c>
      <c r="I947" t="s">
        <v>53</v>
      </c>
      <c r="J947" s="2">
        <f>Table1[[#This Row],[Profit]]/Table1[[#This Row],[Sales]]*100</f>
        <v>72.867437573319933</v>
      </c>
      <c r="K947" t="str">
        <f>IF(Table1[[#This Row],[Sales]]&gt;=30000,"High", IF(Table1[[#This Row],[Sales]]&gt;=15000,"Medium","Low"))</f>
        <v>Low</v>
      </c>
      <c r="L947" t="str">
        <f>TEXT(Table1[[#This Row],[Order_Date]],"MMM")</f>
        <v>Dec</v>
      </c>
      <c r="M947" t="str">
        <f>IF(Table1[[#This Row],[Profit]]&gt;=10000,"Excellent",IF(Table1[[#This Row],[Profit]]&gt;5000,"Good","Low"))</f>
        <v>Low</v>
      </c>
      <c r="N947" t="str">
        <f>TEXT(Table1[[#This Row],[Order_Date]],"YYYY")</f>
        <v>2023</v>
      </c>
    </row>
    <row r="948" spans="1:14" x14ac:dyDescent="0.25">
      <c r="A948" s="1">
        <v>45729</v>
      </c>
      <c r="B948" t="s">
        <v>22</v>
      </c>
      <c r="C948" t="s">
        <v>33</v>
      </c>
      <c r="D948">
        <v>8728</v>
      </c>
      <c r="E948">
        <v>7748</v>
      </c>
      <c r="F948">
        <v>980</v>
      </c>
      <c r="G948" t="s">
        <v>27</v>
      </c>
      <c r="H948" t="s">
        <v>60</v>
      </c>
      <c r="I948" t="s">
        <v>53</v>
      </c>
      <c r="J948" s="2">
        <f>Table1[[#This Row],[Profit]]/Table1[[#This Row],[Sales]]*100</f>
        <v>11.228230980751604</v>
      </c>
      <c r="K948" t="str">
        <f>IF(Table1[[#This Row],[Sales]]&gt;=30000,"High", IF(Table1[[#This Row],[Sales]]&gt;=15000,"Medium","Low"))</f>
        <v>Low</v>
      </c>
      <c r="L948" t="str">
        <f>TEXT(Table1[[#This Row],[Order_Date]],"MMM")</f>
        <v>Mar</v>
      </c>
      <c r="M948" t="str">
        <f>IF(Table1[[#This Row],[Profit]]&gt;=10000,"Excellent",IF(Table1[[#This Row],[Profit]]&gt;5000,"Good","Low"))</f>
        <v>Low</v>
      </c>
      <c r="N948" t="str">
        <f>TEXT(Table1[[#This Row],[Order_Date]],"YYYY")</f>
        <v>2025</v>
      </c>
    </row>
    <row r="949" spans="1:14" x14ac:dyDescent="0.25">
      <c r="A949" s="1">
        <v>46194</v>
      </c>
      <c r="B949" t="s">
        <v>11</v>
      </c>
      <c r="C949" t="s">
        <v>18</v>
      </c>
      <c r="D949">
        <v>9204</v>
      </c>
      <c r="E949">
        <v>4674</v>
      </c>
      <c r="F949">
        <v>4530</v>
      </c>
      <c r="G949" t="s">
        <v>38</v>
      </c>
      <c r="H949" t="s">
        <v>78</v>
      </c>
      <c r="I949" t="s">
        <v>29</v>
      </c>
      <c r="J949" s="2">
        <f>Table1[[#This Row],[Profit]]/Table1[[#This Row],[Sales]]*100</f>
        <v>49.21773142112125</v>
      </c>
      <c r="K949" t="str">
        <f>IF(Table1[[#This Row],[Sales]]&gt;=30000,"High", IF(Table1[[#This Row],[Sales]]&gt;=15000,"Medium","Low"))</f>
        <v>Low</v>
      </c>
      <c r="L949" t="str">
        <f>TEXT(Table1[[#This Row],[Order_Date]],"MMM")</f>
        <v>Jun</v>
      </c>
      <c r="M949" t="str">
        <f>IF(Table1[[#This Row],[Profit]]&gt;=10000,"Excellent",IF(Table1[[#This Row],[Profit]]&gt;5000,"Good","Low"))</f>
        <v>Low</v>
      </c>
      <c r="N949" t="str">
        <f>TEXT(Table1[[#This Row],[Order_Date]],"YYYY")</f>
        <v>2026</v>
      </c>
    </row>
    <row r="950" spans="1:14" x14ac:dyDescent="0.25">
      <c r="A950" s="1">
        <v>46096</v>
      </c>
      <c r="B950" t="s">
        <v>22</v>
      </c>
      <c r="C950" t="s">
        <v>33</v>
      </c>
      <c r="D950">
        <v>32227</v>
      </c>
      <c r="E950">
        <v>16399</v>
      </c>
      <c r="F950">
        <v>15828</v>
      </c>
      <c r="G950" t="s">
        <v>27</v>
      </c>
      <c r="H950" t="s">
        <v>20</v>
      </c>
      <c r="I950" t="s">
        <v>29</v>
      </c>
      <c r="J950" s="2">
        <f>Table1[[#This Row],[Profit]]/Table1[[#This Row],[Sales]]*100</f>
        <v>49.114096875290905</v>
      </c>
      <c r="K950" t="str">
        <f>IF(Table1[[#This Row],[Sales]]&gt;=30000,"High", IF(Table1[[#This Row],[Sales]]&gt;=15000,"Medium","Low"))</f>
        <v>High</v>
      </c>
      <c r="L950" t="str">
        <f>TEXT(Table1[[#This Row],[Order_Date]],"MMM")</f>
        <v>Mar</v>
      </c>
      <c r="M950" t="str">
        <f>IF(Table1[[#This Row],[Profit]]&gt;=10000,"Excellent",IF(Table1[[#This Row],[Profit]]&gt;5000,"Good","Low"))</f>
        <v>Excellent</v>
      </c>
      <c r="N950" t="str">
        <f>TEXT(Table1[[#This Row],[Order_Date]],"YYYY")</f>
        <v>2026</v>
      </c>
    </row>
    <row r="951" spans="1:14" x14ac:dyDescent="0.25">
      <c r="A951" s="1">
        <v>45475</v>
      </c>
      <c r="B951" t="s">
        <v>44</v>
      </c>
      <c r="C951" t="s">
        <v>12</v>
      </c>
      <c r="D951">
        <v>42604</v>
      </c>
      <c r="E951">
        <v>29659</v>
      </c>
      <c r="F951">
        <v>12945</v>
      </c>
      <c r="G951" t="s">
        <v>13</v>
      </c>
      <c r="H951" t="s">
        <v>31</v>
      </c>
      <c r="I951" t="s">
        <v>15</v>
      </c>
      <c r="J951" s="2">
        <f>Table1[[#This Row],[Profit]]/Table1[[#This Row],[Sales]]*100</f>
        <v>30.384470941695614</v>
      </c>
      <c r="K951" t="str">
        <f>IF(Table1[[#This Row],[Sales]]&gt;=30000,"High", IF(Table1[[#This Row],[Sales]]&gt;=15000,"Medium","Low"))</f>
        <v>High</v>
      </c>
      <c r="L951" t="str">
        <f>TEXT(Table1[[#This Row],[Order_Date]],"MMM")</f>
        <v>Jul</v>
      </c>
      <c r="M951" t="str">
        <f>IF(Table1[[#This Row],[Profit]]&gt;=10000,"Excellent",IF(Table1[[#This Row],[Profit]]&gt;5000,"Good","Low"))</f>
        <v>Excellent</v>
      </c>
      <c r="N951" t="str">
        <f>TEXT(Table1[[#This Row],[Order_Date]],"YYYY")</f>
        <v>2024</v>
      </c>
    </row>
    <row r="952" spans="1:14" x14ac:dyDescent="0.25">
      <c r="A952" s="1">
        <v>45964</v>
      </c>
      <c r="B952" t="s">
        <v>22</v>
      </c>
      <c r="C952" t="s">
        <v>36</v>
      </c>
      <c r="D952">
        <v>26581</v>
      </c>
      <c r="E952">
        <v>24527</v>
      </c>
      <c r="F952">
        <v>2054</v>
      </c>
      <c r="G952" t="s">
        <v>13</v>
      </c>
      <c r="H952" t="s">
        <v>63</v>
      </c>
      <c r="I952" t="s">
        <v>53</v>
      </c>
      <c r="J952" s="2">
        <f>Table1[[#This Row],[Profit]]/Table1[[#This Row],[Sales]]*100</f>
        <v>7.7273240284413678</v>
      </c>
      <c r="K952" t="str">
        <f>IF(Table1[[#This Row],[Sales]]&gt;=30000,"High", IF(Table1[[#This Row],[Sales]]&gt;=15000,"Medium","Low"))</f>
        <v>Medium</v>
      </c>
      <c r="L952" t="str">
        <f>TEXT(Table1[[#This Row],[Order_Date]],"MMM")</f>
        <v>Nov</v>
      </c>
      <c r="M952" t="str">
        <f>IF(Table1[[#This Row],[Profit]]&gt;=10000,"Excellent",IF(Table1[[#This Row],[Profit]]&gt;5000,"Good","Low"))</f>
        <v>Low</v>
      </c>
      <c r="N952" t="str">
        <f>TEXT(Table1[[#This Row],[Order_Date]],"YYYY")</f>
        <v>2025</v>
      </c>
    </row>
    <row r="953" spans="1:14" x14ac:dyDescent="0.25">
      <c r="A953" s="1">
        <v>45575</v>
      </c>
      <c r="B953" t="s">
        <v>11</v>
      </c>
      <c r="C953" t="s">
        <v>41</v>
      </c>
      <c r="D953">
        <v>46436</v>
      </c>
      <c r="E953">
        <v>42108</v>
      </c>
      <c r="F953">
        <v>4328</v>
      </c>
      <c r="G953" t="s">
        <v>13</v>
      </c>
      <c r="H953" t="s">
        <v>28</v>
      </c>
      <c r="I953" t="s">
        <v>53</v>
      </c>
      <c r="J953" s="2">
        <f>Table1[[#This Row],[Profit]]/Table1[[#This Row],[Sales]]*100</f>
        <v>9.3203548970626251</v>
      </c>
      <c r="K953" t="str">
        <f>IF(Table1[[#This Row],[Sales]]&gt;=30000,"High", IF(Table1[[#This Row],[Sales]]&gt;=15000,"Medium","Low"))</f>
        <v>High</v>
      </c>
      <c r="L953" t="str">
        <f>TEXT(Table1[[#This Row],[Order_Date]],"MMM")</f>
        <v>Oct</v>
      </c>
      <c r="M953" t="str">
        <f>IF(Table1[[#This Row],[Profit]]&gt;=10000,"Excellent",IF(Table1[[#This Row],[Profit]]&gt;5000,"Good","Low"))</f>
        <v>Low</v>
      </c>
      <c r="N953" t="str">
        <f>TEXT(Table1[[#This Row],[Order_Date]],"YYYY")</f>
        <v>2024</v>
      </c>
    </row>
    <row r="954" spans="1:14" x14ac:dyDescent="0.25">
      <c r="A954" s="1">
        <v>45709</v>
      </c>
      <c r="B954" t="s">
        <v>22</v>
      </c>
      <c r="C954" t="s">
        <v>33</v>
      </c>
      <c r="D954">
        <v>36167</v>
      </c>
      <c r="E954">
        <v>25563</v>
      </c>
      <c r="F954">
        <v>10604</v>
      </c>
      <c r="G954" t="s">
        <v>19</v>
      </c>
      <c r="H954" t="s">
        <v>78</v>
      </c>
      <c r="I954" t="s">
        <v>53</v>
      </c>
      <c r="J954" s="2">
        <f>Table1[[#This Row],[Profit]]/Table1[[#This Row],[Sales]]*100</f>
        <v>29.319545441977496</v>
      </c>
      <c r="K954" t="str">
        <f>IF(Table1[[#This Row],[Sales]]&gt;=30000,"High", IF(Table1[[#This Row],[Sales]]&gt;=15000,"Medium","Low"))</f>
        <v>High</v>
      </c>
      <c r="L954" t="str">
        <f>TEXT(Table1[[#This Row],[Order_Date]],"MMM")</f>
        <v>Feb</v>
      </c>
      <c r="M954" t="str">
        <f>IF(Table1[[#This Row],[Profit]]&gt;=10000,"Excellent",IF(Table1[[#This Row],[Profit]]&gt;5000,"Good","Low"))</f>
        <v>Excellent</v>
      </c>
      <c r="N954" t="str">
        <f>TEXT(Table1[[#This Row],[Order_Date]],"YYYY")</f>
        <v>2025</v>
      </c>
    </row>
    <row r="955" spans="1:14" x14ac:dyDescent="0.25">
      <c r="A955" s="1">
        <v>45558</v>
      </c>
      <c r="B955" t="s">
        <v>11</v>
      </c>
      <c r="C955" t="s">
        <v>33</v>
      </c>
      <c r="D955">
        <v>8490</v>
      </c>
      <c r="E955">
        <v>6728</v>
      </c>
      <c r="F955">
        <v>1762</v>
      </c>
      <c r="G955" t="s">
        <v>19</v>
      </c>
      <c r="H955" t="s">
        <v>34</v>
      </c>
      <c r="I955" t="s">
        <v>29</v>
      </c>
      <c r="J955" s="2">
        <f>Table1[[#This Row],[Profit]]/Table1[[#This Row],[Sales]]*100</f>
        <v>20.753828032979975</v>
      </c>
      <c r="K955" t="str">
        <f>IF(Table1[[#This Row],[Sales]]&gt;=30000,"High", IF(Table1[[#This Row],[Sales]]&gt;=15000,"Medium","Low"))</f>
        <v>Low</v>
      </c>
      <c r="L955" t="str">
        <f>TEXT(Table1[[#This Row],[Order_Date]],"MMM")</f>
        <v>Sep</v>
      </c>
      <c r="M955" t="str">
        <f>IF(Table1[[#This Row],[Profit]]&gt;=10000,"Excellent",IF(Table1[[#This Row],[Profit]]&gt;5000,"Good","Low"))</f>
        <v>Low</v>
      </c>
      <c r="N955" t="str">
        <f>TEXT(Table1[[#This Row],[Order_Date]],"YYYY")</f>
        <v>2024</v>
      </c>
    </row>
    <row r="956" spans="1:14" x14ac:dyDescent="0.25">
      <c r="A956" s="1">
        <v>45518</v>
      </c>
      <c r="B956" t="s">
        <v>17</v>
      </c>
      <c r="C956" t="s">
        <v>41</v>
      </c>
      <c r="D956">
        <v>19694</v>
      </c>
      <c r="E956">
        <v>8017</v>
      </c>
      <c r="F956">
        <v>11677</v>
      </c>
      <c r="G956" t="s">
        <v>13</v>
      </c>
      <c r="H956" t="s">
        <v>14</v>
      </c>
      <c r="I956" t="s">
        <v>42</v>
      </c>
      <c r="J956" s="2">
        <f>Table1[[#This Row],[Profit]]/Table1[[#This Row],[Sales]]*100</f>
        <v>59.292170204123082</v>
      </c>
      <c r="K956" t="str">
        <f>IF(Table1[[#This Row],[Sales]]&gt;=30000,"High", IF(Table1[[#This Row],[Sales]]&gt;=15000,"Medium","Low"))</f>
        <v>Medium</v>
      </c>
      <c r="L956" t="str">
        <f>TEXT(Table1[[#This Row],[Order_Date]],"MMM")</f>
        <v>Aug</v>
      </c>
      <c r="M956" t="str">
        <f>IF(Table1[[#This Row],[Profit]]&gt;=10000,"Excellent",IF(Table1[[#This Row],[Profit]]&gt;5000,"Good","Low"))</f>
        <v>Excellent</v>
      </c>
      <c r="N956" t="str">
        <f>TEXT(Table1[[#This Row],[Order_Date]],"YYYY")</f>
        <v>2024</v>
      </c>
    </row>
    <row r="957" spans="1:14" x14ac:dyDescent="0.25">
      <c r="A957" s="1">
        <v>45259</v>
      </c>
      <c r="B957" t="s">
        <v>22</v>
      </c>
      <c r="C957" t="s">
        <v>18</v>
      </c>
      <c r="D957">
        <v>47375</v>
      </c>
      <c r="E957">
        <v>41690</v>
      </c>
      <c r="F957">
        <v>5685</v>
      </c>
      <c r="G957" t="s">
        <v>13</v>
      </c>
      <c r="H957" t="s">
        <v>63</v>
      </c>
      <c r="I957" t="s">
        <v>42</v>
      </c>
      <c r="J957" s="2">
        <f>Table1[[#This Row],[Profit]]/Table1[[#This Row],[Sales]]*100</f>
        <v>12</v>
      </c>
      <c r="K957" t="str">
        <f>IF(Table1[[#This Row],[Sales]]&gt;=30000,"High", IF(Table1[[#This Row],[Sales]]&gt;=15000,"Medium","Low"))</f>
        <v>High</v>
      </c>
      <c r="L957" t="str">
        <f>TEXT(Table1[[#This Row],[Order_Date]],"MMM")</f>
        <v>Nov</v>
      </c>
      <c r="M957" t="str">
        <f>IF(Table1[[#This Row],[Profit]]&gt;=10000,"Excellent",IF(Table1[[#This Row],[Profit]]&gt;5000,"Good","Low"))</f>
        <v>Good</v>
      </c>
      <c r="N957" t="str">
        <f>TEXT(Table1[[#This Row],[Order_Date]],"YYYY")</f>
        <v>2023</v>
      </c>
    </row>
    <row r="958" spans="1:14" x14ac:dyDescent="0.25">
      <c r="A958" s="1">
        <v>46136</v>
      </c>
      <c r="B958" t="s">
        <v>17</v>
      </c>
      <c r="C958" t="s">
        <v>18</v>
      </c>
      <c r="D958">
        <v>18718</v>
      </c>
      <c r="E958">
        <v>4561</v>
      </c>
      <c r="F958">
        <v>14157</v>
      </c>
      <c r="G958" t="s">
        <v>13</v>
      </c>
      <c r="H958" t="s">
        <v>31</v>
      </c>
      <c r="I958" t="s">
        <v>15</v>
      </c>
      <c r="J958" s="2">
        <f>Table1[[#This Row],[Profit]]/Table1[[#This Row],[Sales]]*100</f>
        <v>75.633080457313824</v>
      </c>
      <c r="K958" t="str">
        <f>IF(Table1[[#This Row],[Sales]]&gt;=30000,"High", IF(Table1[[#This Row],[Sales]]&gt;=15000,"Medium","Low"))</f>
        <v>Medium</v>
      </c>
      <c r="L958" t="str">
        <f>TEXT(Table1[[#This Row],[Order_Date]],"MMM")</f>
        <v>Apr</v>
      </c>
      <c r="M958" t="str">
        <f>IF(Table1[[#This Row],[Profit]]&gt;=10000,"Excellent",IF(Table1[[#This Row],[Profit]]&gt;5000,"Good","Low"))</f>
        <v>Excellent</v>
      </c>
      <c r="N958" t="str">
        <f>TEXT(Table1[[#This Row],[Order_Date]],"YYYY")</f>
        <v>2026</v>
      </c>
    </row>
    <row r="959" spans="1:14" x14ac:dyDescent="0.25">
      <c r="A959" s="1">
        <v>45574</v>
      </c>
      <c r="B959" t="s">
        <v>17</v>
      </c>
      <c r="C959" t="s">
        <v>33</v>
      </c>
      <c r="D959">
        <v>6708</v>
      </c>
      <c r="E959">
        <v>2311</v>
      </c>
      <c r="F959">
        <v>4397</v>
      </c>
      <c r="G959" t="s">
        <v>38</v>
      </c>
      <c r="H959" t="s">
        <v>60</v>
      </c>
      <c r="I959" t="s">
        <v>53</v>
      </c>
      <c r="J959" s="2">
        <f>Table1[[#This Row],[Profit]]/Table1[[#This Row],[Sales]]*100</f>
        <v>65.54859868813358</v>
      </c>
      <c r="K959" t="str">
        <f>IF(Table1[[#This Row],[Sales]]&gt;=30000,"High", IF(Table1[[#This Row],[Sales]]&gt;=15000,"Medium","Low"))</f>
        <v>Low</v>
      </c>
      <c r="L959" t="str">
        <f>TEXT(Table1[[#This Row],[Order_Date]],"MMM")</f>
        <v>Oct</v>
      </c>
      <c r="M959" t="str">
        <f>IF(Table1[[#This Row],[Profit]]&gt;=10000,"Excellent",IF(Table1[[#This Row],[Profit]]&gt;5000,"Good","Low"))</f>
        <v>Low</v>
      </c>
      <c r="N959" t="str">
        <f>TEXT(Table1[[#This Row],[Order_Date]],"YYYY")</f>
        <v>2024</v>
      </c>
    </row>
    <row r="960" spans="1:14" x14ac:dyDescent="0.25">
      <c r="A960" s="1">
        <v>45451</v>
      </c>
      <c r="B960" t="s">
        <v>44</v>
      </c>
      <c r="C960" t="s">
        <v>18</v>
      </c>
      <c r="D960">
        <v>40350</v>
      </c>
      <c r="E960">
        <v>32954</v>
      </c>
      <c r="F960">
        <v>7396</v>
      </c>
      <c r="G960" t="s">
        <v>27</v>
      </c>
      <c r="H960" t="s">
        <v>63</v>
      </c>
      <c r="I960" t="s">
        <v>15</v>
      </c>
      <c r="J960" s="2">
        <f>Table1[[#This Row],[Profit]]/Table1[[#This Row],[Sales]]*100</f>
        <v>18.329615861214375</v>
      </c>
      <c r="K960" t="str">
        <f>IF(Table1[[#This Row],[Sales]]&gt;=30000,"High", IF(Table1[[#This Row],[Sales]]&gt;=15000,"Medium","Low"))</f>
        <v>High</v>
      </c>
      <c r="L960" t="str">
        <f>TEXT(Table1[[#This Row],[Order_Date]],"MMM")</f>
        <v>Jun</v>
      </c>
      <c r="M960" t="str">
        <f>IF(Table1[[#This Row],[Profit]]&gt;=10000,"Excellent",IF(Table1[[#This Row],[Profit]]&gt;5000,"Good","Low"))</f>
        <v>Good</v>
      </c>
      <c r="N960" t="str">
        <f>TEXT(Table1[[#This Row],[Order_Date]],"YYYY")</f>
        <v>2024</v>
      </c>
    </row>
    <row r="961" spans="1:14" x14ac:dyDescent="0.25">
      <c r="A961" s="1">
        <v>46118</v>
      </c>
      <c r="B961" t="s">
        <v>44</v>
      </c>
      <c r="C961" t="s">
        <v>18</v>
      </c>
      <c r="D961">
        <v>21865</v>
      </c>
      <c r="E961">
        <v>6065</v>
      </c>
      <c r="F961">
        <v>15800</v>
      </c>
      <c r="G961" t="s">
        <v>27</v>
      </c>
      <c r="H961" t="s">
        <v>31</v>
      </c>
      <c r="I961" t="s">
        <v>29</v>
      </c>
      <c r="J961" s="2">
        <f>Table1[[#This Row],[Profit]]/Table1[[#This Row],[Sales]]*100</f>
        <v>72.261605305282416</v>
      </c>
      <c r="K961" t="str">
        <f>IF(Table1[[#This Row],[Sales]]&gt;=30000,"High", IF(Table1[[#This Row],[Sales]]&gt;=15000,"Medium","Low"))</f>
        <v>Medium</v>
      </c>
      <c r="L961" t="str">
        <f>TEXT(Table1[[#This Row],[Order_Date]],"MMM")</f>
        <v>Apr</v>
      </c>
      <c r="M961" t="str">
        <f>IF(Table1[[#This Row],[Profit]]&gt;=10000,"Excellent",IF(Table1[[#This Row],[Profit]]&gt;5000,"Good","Low"))</f>
        <v>Excellent</v>
      </c>
      <c r="N961" t="str">
        <f>TEXT(Table1[[#This Row],[Order_Date]],"YYYY")</f>
        <v>2026</v>
      </c>
    </row>
    <row r="962" spans="1:14" x14ac:dyDescent="0.25">
      <c r="A962" s="1">
        <v>45220</v>
      </c>
      <c r="B962" t="s">
        <v>44</v>
      </c>
      <c r="C962" t="s">
        <v>33</v>
      </c>
      <c r="D962">
        <v>19216</v>
      </c>
      <c r="E962">
        <v>6014</v>
      </c>
      <c r="F962">
        <v>13202</v>
      </c>
      <c r="G962" t="s">
        <v>27</v>
      </c>
      <c r="H962" t="s">
        <v>31</v>
      </c>
      <c r="I962" t="s">
        <v>29</v>
      </c>
      <c r="J962" s="2">
        <f>Table1[[#This Row],[Profit]]/Table1[[#This Row],[Sales]]*100</f>
        <v>68.703164029975014</v>
      </c>
      <c r="K962" t="str">
        <f>IF(Table1[[#This Row],[Sales]]&gt;=30000,"High", IF(Table1[[#This Row],[Sales]]&gt;=15000,"Medium","Low"))</f>
        <v>Medium</v>
      </c>
      <c r="L962" t="str">
        <f>TEXT(Table1[[#This Row],[Order_Date]],"MMM")</f>
        <v>Oct</v>
      </c>
      <c r="M962" t="str">
        <f>IF(Table1[[#This Row],[Profit]]&gt;=10000,"Excellent",IF(Table1[[#This Row],[Profit]]&gt;5000,"Good","Low"))</f>
        <v>Excellent</v>
      </c>
      <c r="N962" t="str">
        <f>TEXT(Table1[[#This Row],[Order_Date]],"YYYY")</f>
        <v>2023</v>
      </c>
    </row>
    <row r="963" spans="1:14" x14ac:dyDescent="0.25">
      <c r="A963" s="1">
        <v>45772</v>
      </c>
      <c r="B963" t="s">
        <v>44</v>
      </c>
      <c r="C963" t="s">
        <v>18</v>
      </c>
      <c r="D963">
        <v>20888</v>
      </c>
      <c r="E963">
        <v>9020</v>
      </c>
      <c r="F963">
        <v>11868</v>
      </c>
      <c r="G963" t="s">
        <v>13</v>
      </c>
      <c r="H963" t="s">
        <v>60</v>
      </c>
      <c r="I963" t="s">
        <v>15</v>
      </c>
      <c r="J963" s="2">
        <f>Table1[[#This Row],[Profit]]/Table1[[#This Row],[Sales]]*100</f>
        <v>56.817311374952126</v>
      </c>
      <c r="K963" t="str">
        <f>IF(Table1[[#This Row],[Sales]]&gt;=30000,"High", IF(Table1[[#This Row],[Sales]]&gt;=15000,"Medium","Low"))</f>
        <v>Medium</v>
      </c>
      <c r="L963" t="str">
        <f>TEXT(Table1[[#This Row],[Order_Date]],"MMM")</f>
        <v>Apr</v>
      </c>
      <c r="M963" t="str">
        <f>IF(Table1[[#This Row],[Profit]]&gt;=10000,"Excellent",IF(Table1[[#This Row],[Profit]]&gt;5000,"Good","Low"))</f>
        <v>Excellent</v>
      </c>
      <c r="N963" t="str">
        <f>TEXT(Table1[[#This Row],[Order_Date]],"YYYY")</f>
        <v>2025</v>
      </c>
    </row>
    <row r="964" spans="1:14" x14ac:dyDescent="0.25">
      <c r="A964" s="1">
        <v>46021</v>
      </c>
      <c r="B964" t="s">
        <v>26</v>
      </c>
      <c r="C964" t="s">
        <v>36</v>
      </c>
      <c r="D964">
        <v>12142</v>
      </c>
      <c r="E964">
        <v>4025</v>
      </c>
      <c r="F964">
        <v>8117</v>
      </c>
      <c r="G964" t="s">
        <v>38</v>
      </c>
      <c r="H964" t="s">
        <v>31</v>
      </c>
      <c r="I964" t="s">
        <v>15</v>
      </c>
      <c r="J964" s="2">
        <f>Table1[[#This Row],[Profit]]/Table1[[#This Row],[Sales]]*100</f>
        <v>66.85060121890956</v>
      </c>
      <c r="K964" t="str">
        <f>IF(Table1[[#This Row],[Sales]]&gt;=30000,"High", IF(Table1[[#This Row],[Sales]]&gt;=15000,"Medium","Low"))</f>
        <v>Low</v>
      </c>
      <c r="L964" t="str">
        <f>TEXT(Table1[[#This Row],[Order_Date]],"MMM")</f>
        <v>Dec</v>
      </c>
      <c r="M964" t="str">
        <f>IF(Table1[[#This Row],[Profit]]&gt;=10000,"Excellent",IF(Table1[[#This Row],[Profit]]&gt;5000,"Good","Low"))</f>
        <v>Good</v>
      </c>
      <c r="N964" t="str">
        <f>TEXT(Table1[[#This Row],[Order_Date]],"YYYY")</f>
        <v>2025</v>
      </c>
    </row>
    <row r="965" spans="1:14" x14ac:dyDescent="0.25">
      <c r="A965" s="1">
        <v>45929</v>
      </c>
      <c r="B965" t="s">
        <v>17</v>
      </c>
      <c r="C965" t="s">
        <v>36</v>
      </c>
      <c r="D965">
        <v>27614</v>
      </c>
      <c r="E965">
        <v>18020</v>
      </c>
      <c r="F965">
        <v>9594</v>
      </c>
      <c r="G965" t="s">
        <v>13</v>
      </c>
      <c r="H965" t="s">
        <v>14</v>
      </c>
      <c r="I965" t="s">
        <v>42</v>
      </c>
      <c r="J965" s="2">
        <f>Table1[[#This Row],[Profit]]/Table1[[#This Row],[Sales]]*100</f>
        <v>34.743246179474177</v>
      </c>
      <c r="K965" t="str">
        <f>IF(Table1[[#This Row],[Sales]]&gt;=30000,"High", IF(Table1[[#This Row],[Sales]]&gt;=15000,"Medium","Low"))</f>
        <v>Medium</v>
      </c>
      <c r="L965" t="str">
        <f>TEXT(Table1[[#This Row],[Order_Date]],"MMM")</f>
        <v>Sep</v>
      </c>
      <c r="M965" t="str">
        <f>IF(Table1[[#This Row],[Profit]]&gt;=10000,"Excellent",IF(Table1[[#This Row],[Profit]]&gt;5000,"Good","Low"))</f>
        <v>Good</v>
      </c>
      <c r="N965" t="str">
        <f>TEXT(Table1[[#This Row],[Order_Date]],"YYYY")</f>
        <v>2025</v>
      </c>
    </row>
    <row r="966" spans="1:14" x14ac:dyDescent="0.25">
      <c r="A966" s="1">
        <v>45702</v>
      </c>
      <c r="B966" t="s">
        <v>22</v>
      </c>
      <c r="C966" t="s">
        <v>41</v>
      </c>
      <c r="D966">
        <v>41892</v>
      </c>
      <c r="E966">
        <v>24215</v>
      </c>
      <c r="F966">
        <v>17677</v>
      </c>
      <c r="G966" t="s">
        <v>27</v>
      </c>
      <c r="H966" t="s">
        <v>45</v>
      </c>
      <c r="I966" t="s">
        <v>24</v>
      </c>
      <c r="J966" s="2">
        <f>Table1[[#This Row],[Profit]]/Table1[[#This Row],[Sales]]*100</f>
        <v>42.196600782965717</v>
      </c>
      <c r="K966" t="str">
        <f>IF(Table1[[#This Row],[Sales]]&gt;=30000,"High", IF(Table1[[#This Row],[Sales]]&gt;=15000,"Medium","Low"))</f>
        <v>High</v>
      </c>
      <c r="L966" t="str">
        <f>TEXT(Table1[[#This Row],[Order_Date]],"MMM")</f>
        <v>Feb</v>
      </c>
      <c r="M966" t="str">
        <f>IF(Table1[[#This Row],[Profit]]&gt;=10000,"Excellent",IF(Table1[[#This Row],[Profit]]&gt;5000,"Good","Low"))</f>
        <v>Excellent</v>
      </c>
      <c r="N966" t="str">
        <f>TEXT(Table1[[#This Row],[Order_Date]],"YYYY")</f>
        <v>2025</v>
      </c>
    </row>
    <row r="967" spans="1:14" x14ac:dyDescent="0.25">
      <c r="A967" s="1">
        <v>45142</v>
      </c>
      <c r="B967" t="s">
        <v>22</v>
      </c>
      <c r="C967" t="s">
        <v>12</v>
      </c>
      <c r="D967">
        <v>32715</v>
      </c>
      <c r="E967">
        <v>30082</v>
      </c>
      <c r="F967">
        <v>2633</v>
      </c>
      <c r="G967" t="s">
        <v>13</v>
      </c>
      <c r="H967" t="s">
        <v>78</v>
      </c>
      <c r="I967" t="s">
        <v>42</v>
      </c>
      <c r="J967" s="2">
        <f>Table1[[#This Row],[Profit]]/Table1[[#This Row],[Sales]]*100</f>
        <v>8.0482958887360532</v>
      </c>
      <c r="K967" t="str">
        <f>IF(Table1[[#This Row],[Sales]]&gt;=30000,"High", IF(Table1[[#This Row],[Sales]]&gt;=15000,"Medium","Low"))</f>
        <v>High</v>
      </c>
      <c r="L967" t="str">
        <f>TEXT(Table1[[#This Row],[Order_Date]],"MMM")</f>
        <v>Aug</v>
      </c>
      <c r="M967" t="str">
        <f>IF(Table1[[#This Row],[Profit]]&gt;=10000,"Excellent",IF(Table1[[#This Row],[Profit]]&gt;5000,"Good","Low"))</f>
        <v>Low</v>
      </c>
      <c r="N967" t="str">
        <f>TEXT(Table1[[#This Row],[Order_Date]],"YYYY")</f>
        <v>2023</v>
      </c>
    </row>
    <row r="968" spans="1:14" x14ac:dyDescent="0.25">
      <c r="A968" s="1">
        <v>45311</v>
      </c>
      <c r="B968" t="s">
        <v>17</v>
      </c>
      <c r="C968" t="s">
        <v>33</v>
      </c>
      <c r="D968">
        <v>23585</v>
      </c>
      <c r="E968">
        <v>16830</v>
      </c>
      <c r="F968">
        <v>6755</v>
      </c>
      <c r="G968" t="s">
        <v>13</v>
      </c>
      <c r="H968" t="s">
        <v>23</v>
      </c>
      <c r="I968" t="s">
        <v>24</v>
      </c>
      <c r="J968" s="2">
        <f>Table1[[#This Row],[Profit]]/Table1[[#This Row],[Sales]]*100</f>
        <v>28.641085435658258</v>
      </c>
      <c r="K968" t="str">
        <f>IF(Table1[[#This Row],[Sales]]&gt;=30000,"High", IF(Table1[[#This Row],[Sales]]&gt;=15000,"Medium","Low"))</f>
        <v>Medium</v>
      </c>
      <c r="L968" t="str">
        <f>TEXT(Table1[[#This Row],[Order_Date]],"MMM")</f>
        <v>Jan</v>
      </c>
      <c r="M968" t="str">
        <f>IF(Table1[[#This Row],[Profit]]&gt;=10000,"Excellent",IF(Table1[[#This Row],[Profit]]&gt;5000,"Good","Low"))</f>
        <v>Good</v>
      </c>
      <c r="N968" t="str">
        <f>TEXT(Table1[[#This Row],[Order_Date]],"YYYY")</f>
        <v>2024</v>
      </c>
    </row>
    <row r="969" spans="1:14" x14ac:dyDescent="0.25">
      <c r="A969" s="1">
        <v>45459</v>
      </c>
      <c r="B969" t="s">
        <v>44</v>
      </c>
      <c r="C969" t="s">
        <v>12</v>
      </c>
      <c r="D969">
        <v>49041</v>
      </c>
      <c r="E969">
        <v>31243</v>
      </c>
      <c r="F969">
        <v>17798</v>
      </c>
      <c r="G969" t="s">
        <v>19</v>
      </c>
      <c r="H969" t="s">
        <v>31</v>
      </c>
      <c r="I969" t="s">
        <v>24</v>
      </c>
      <c r="J969" s="2">
        <f>Table1[[#This Row],[Profit]]/Table1[[#This Row],[Sales]]*100</f>
        <v>36.292082135356132</v>
      </c>
      <c r="K969" t="str">
        <f>IF(Table1[[#This Row],[Sales]]&gt;=30000,"High", IF(Table1[[#This Row],[Sales]]&gt;=15000,"Medium","Low"))</f>
        <v>High</v>
      </c>
      <c r="L969" t="str">
        <f>TEXT(Table1[[#This Row],[Order_Date]],"MMM")</f>
        <v>Jun</v>
      </c>
      <c r="M969" t="str">
        <f>IF(Table1[[#This Row],[Profit]]&gt;=10000,"Excellent",IF(Table1[[#This Row],[Profit]]&gt;5000,"Good","Low"))</f>
        <v>Excellent</v>
      </c>
      <c r="N969" t="str">
        <f>TEXT(Table1[[#This Row],[Order_Date]],"YYYY")</f>
        <v>2024</v>
      </c>
    </row>
    <row r="970" spans="1:14" x14ac:dyDescent="0.25">
      <c r="A970" s="1">
        <v>46180</v>
      </c>
      <c r="B970" t="s">
        <v>17</v>
      </c>
      <c r="C970" t="s">
        <v>36</v>
      </c>
      <c r="D970">
        <v>27629</v>
      </c>
      <c r="E970">
        <v>7808</v>
      </c>
      <c r="F970">
        <v>19821</v>
      </c>
      <c r="G970" t="s">
        <v>19</v>
      </c>
      <c r="H970" t="s">
        <v>63</v>
      </c>
      <c r="I970" t="s">
        <v>42</v>
      </c>
      <c r="J970" s="2">
        <f>Table1[[#This Row],[Profit]]/Table1[[#This Row],[Sales]]*100</f>
        <v>71.739838575409891</v>
      </c>
      <c r="K970" t="str">
        <f>IF(Table1[[#This Row],[Sales]]&gt;=30000,"High", IF(Table1[[#This Row],[Sales]]&gt;=15000,"Medium","Low"))</f>
        <v>Medium</v>
      </c>
      <c r="L970" t="str">
        <f>TEXT(Table1[[#This Row],[Order_Date]],"MMM")</f>
        <v>Jun</v>
      </c>
      <c r="M970" t="str">
        <f>IF(Table1[[#This Row],[Profit]]&gt;=10000,"Excellent",IF(Table1[[#This Row],[Profit]]&gt;5000,"Good","Low"))</f>
        <v>Excellent</v>
      </c>
      <c r="N970" t="str">
        <f>TEXT(Table1[[#This Row],[Order_Date]],"YYYY")</f>
        <v>2026</v>
      </c>
    </row>
    <row r="971" spans="1:14" x14ac:dyDescent="0.25">
      <c r="A971" s="1">
        <v>45870</v>
      </c>
      <c r="B971" t="s">
        <v>17</v>
      </c>
      <c r="C971" t="s">
        <v>36</v>
      </c>
      <c r="D971">
        <v>13342</v>
      </c>
      <c r="E971">
        <v>3005</v>
      </c>
      <c r="F971">
        <v>10337</v>
      </c>
      <c r="G971" t="s">
        <v>19</v>
      </c>
      <c r="H971" t="s">
        <v>20</v>
      </c>
      <c r="I971" t="s">
        <v>24</v>
      </c>
      <c r="J971" s="2">
        <f>Table1[[#This Row],[Profit]]/Table1[[#This Row],[Sales]]*100</f>
        <v>77.477139859091594</v>
      </c>
      <c r="K971" t="str">
        <f>IF(Table1[[#This Row],[Sales]]&gt;=30000,"High", IF(Table1[[#This Row],[Sales]]&gt;=15000,"Medium","Low"))</f>
        <v>Low</v>
      </c>
      <c r="L971" t="str">
        <f>TEXT(Table1[[#This Row],[Order_Date]],"MMM")</f>
        <v>Aug</v>
      </c>
      <c r="M971" t="str">
        <f>IF(Table1[[#This Row],[Profit]]&gt;=10000,"Excellent",IF(Table1[[#This Row],[Profit]]&gt;5000,"Good","Low"))</f>
        <v>Excellent</v>
      </c>
      <c r="N971" t="str">
        <f>TEXT(Table1[[#This Row],[Order_Date]],"YYYY")</f>
        <v>2025</v>
      </c>
    </row>
    <row r="972" spans="1:14" x14ac:dyDescent="0.25">
      <c r="A972" s="1">
        <v>45595</v>
      </c>
      <c r="B972" t="s">
        <v>11</v>
      </c>
      <c r="C972" t="s">
        <v>33</v>
      </c>
      <c r="D972">
        <v>35282</v>
      </c>
      <c r="E972">
        <v>17423</v>
      </c>
      <c r="F972">
        <v>17859</v>
      </c>
      <c r="G972" t="s">
        <v>13</v>
      </c>
      <c r="H972" t="s">
        <v>31</v>
      </c>
      <c r="I972" t="s">
        <v>15</v>
      </c>
      <c r="J972" s="2">
        <f>Table1[[#This Row],[Profit]]/Table1[[#This Row],[Sales]]*100</f>
        <v>50.617878805056407</v>
      </c>
      <c r="K972" t="str">
        <f>IF(Table1[[#This Row],[Sales]]&gt;=30000,"High", IF(Table1[[#This Row],[Sales]]&gt;=15000,"Medium","Low"))</f>
        <v>High</v>
      </c>
      <c r="L972" t="str">
        <f>TEXT(Table1[[#This Row],[Order_Date]],"MMM")</f>
        <v>Oct</v>
      </c>
      <c r="M972" t="str">
        <f>IF(Table1[[#This Row],[Profit]]&gt;=10000,"Excellent",IF(Table1[[#This Row],[Profit]]&gt;5000,"Good","Low"))</f>
        <v>Excellent</v>
      </c>
      <c r="N972" t="str">
        <f>TEXT(Table1[[#This Row],[Order_Date]],"YYYY")</f>
        <v>2024</v>
      </c>
    </row>
    <row r="973" spans="1:14" x14ac:dyDescent="0.25">
      <c r="A973" s="1">
        <v>45389</v>
      </c>
      <c r="B973" t="s">
        <v>17</v>
      </c>
      <c r="C973" t="s">
        <v>12</v>
      </c>
      <c r="D973">
        <v>5386</v>
      </c>
      <c r="E973">
        <v>2657</v>
      </c>
      <c r="F973">
        <v>2729</v>
      </c>
      <c r="G973" t="s">
        <v>13</v>
      </c>
      <c r="H973" t="s">
        <v>28</v>
      </c>
      <c r="I973" t="s">
        <v>53</v>
      </c>
      <c r="J973" s="2">
        <f>Table1[[#This Row],[Profit]]/Table1[[#This Row],[Sales]]*100</f>
        <v>50.668399554400303</v>
      </c>
      <c r="K973" t="str">
        <f>IF(Table1[[#This Row],[Sales]]&gt;=30000,"High", IF(Table1[[#This Row],[Sales]]&gt;=15000,"Medium","Low"))</f>
        <v>Low</v>
      </c>
      <c r="L973" t="str">
        <f>TEXT(Table1[[#This Row],[Order_Date]],"MMM")</f>
        <v>Apr</v>
      </c>
      <c r="M973" t="str">
        <f>IF(Table1[[#This Row],[Profit]]&gt;=10000,"Excellent",IF(Table1[[#This Row],[Profit]]&gt;5000,"Good","Low"))</f>
        <v>Low</v>
      </c>
      <c r="N973" t="str">
        <f>TEXT(Table1[[#This Row],[Order_Date]],"YYYY")</f>
        <v>2024</v>
      </c>
    </row>
    <row r="974" spans="1:14" x14ac:dyDescent="0.25">
      <c r="A974" s="1">
        <v>45853</v>
      </c>
      <c r="B974" t="s">
        <v>22</v>
      </c>
      <c r="C974" t="s">
        <v>41</v>
      </c>
      <c r="D974">
        <v>23060</v>
      </c>
      <c r="E974">
        <v>19850</v>
      </c>
      <c r="F974">
        <v>3210</v>
      </c>
      <c r="G974" t="s">
        <v>38</v>
      </c>
      <c r="H974" t="s">
        <v>14</v>
      </c>
      <c r="I974" t="s">
        <v>15</v>
      </c>
      <c r="J974" s="2">
        <f>Table1[[#This Row],[Profit]]/Table1[[#This Row],[Sales]]*100</f>
        <v>13.920208152645271</v>
      </c>
      <c r="K974" t="str">
        <f>IF(Table1[[#This Row],[Sales]]&gt;=30000,"High", IF(Table1[[#This Row],[Sales]]&gt;=15000,"Medium","Low"))</f>
        <v>Medium</v>
      </c>
      <c r="L974" t="str">
        <f>TEXT(Table1[[#This Row],[Order_Date]],"MMM")</f>
        <v>Jul</v>
      </c>
      <c r="M974" t="str">
        <f>IF(Table1[[#This Row],[Profit]]&gt;=10000,"Excellent",IF(Table1[[#This Row],[Profit]]&gt;5000,"Good","Low"))</f>
        <v>Low</v>
      </c>
      <c r="N974" t="str">
        <f>TEXT(Table1[[#This Row],[Order_Date]],"YYYY")</f>
        <v>2025</v>
      </c>
    </row>
    <row r="975" spans="1:14" x14ac:dyDescent="0.25">
      <c r="A975" s="1">
        <v>45971</v>
      </c>
      <c r="B975" t="s">
        <v>26</v>
      </c>
      <c r="C975" t="s">
        <v>18</v>
      </c>
      <c r="D975">
        <v>48112</v>
      </c>
      <c r="E975">
        <v>42707</v>
      </c>
      <c r="F975">
        <v>5405</v>
      </c>
      <c r="G975" t="s">
        <v>27</v>
      </c>
      <c r="H975" t="s">
        <v>63</v>
      </c>
      <c r="I975" t="s">
        <v>53</v>
      </c>
      <c r="J975" s="2">
        <f>Table1[[#This Row],[Profit]]/Table1[[#This Row],[Sales]]*100</f>
        <v>11.234203525108082</v>
      </c>
      <c r="K975" t="str">
        <f>IF(Table1[[#This Row],[Sales]]&gt;=30000,"High", IF(Table1[[#This Row],[Sales]]&gt;=15000,"Medium","Low"))</f>
        <v>High</v>
      </c>
      <c r="L975" t="str">
        <f>TEXT(Table1[[#This Row],[Order_Date]],"MMM")</f>
        <v>Nov</v>
      </c>
      <c r="M975" t="str">
        <f>IF(Table1[[#This Row],[Profit]]&gt;=10000,"Excellent",IF(Table1[[#This Row],[Profit]]&gt;5000,"Good","Low"))</f>
        <v>Good</v>
      </c>
      <c r="N975" t="str">
        <f>TEXT(Table1[[#This Row],[Order_Date]],"YYYY")</f>
        <v>2025</v>
      </c>
    </row>
    <row r="976" spans="1:14" x14ac:dyDescent="0.25">
      <c r="A976" s="1">
        <v>45595</v>
      </c>
      <c r="B976" t="s">
        <v>17</v>
      </c>
      <c r="C976" t="s">
        <v>41</v>
      </c>
      <c r="D976">
        <v>21233</v>
      </c>
      <c r="E976">
        <v>4499</v>
      </c>
      <c r="F976">
        <v>16734</v>
      </c>
      <c r="G976" t="s">
        <v>19</v>
      </c>
      <c r="H976" t="s">
        <v>28</v>
      </c>
      <c r="I976" t="s">
        <v>53</v>
      </c>
      <c r="J976" s="2">
        <f>Table1[[#This Row],[Profit]]/Table1[[#This Row],[Sales]]*100</f>
        <v>78.811284321574902</v>
      </c>
      <c r="K976" t="str">
        <f>IF(Table1[[#This Row],[Sales]]&gt;=30000,"High", IF(Table1[[#This Row],[Sales]]&gt;=15000,"Medium","Low"))</f>
        <v>Medium</v>
      </c>
      <c r="L976" t="str">
        <f>TEXT(Table1[[#This Row],[Order_Date]],"MMM")</f>
        <v>Oct</v>
      </c>
      <c r="M976" t="str">
        <f>IF(Table1[[#This Row],[Profit]]&gt;=10000,"Excellent",IF(Table1[[#This Row],[Profit]]&gt;5000,"Good","Low"))</f>
        <v>Excellent</v>
      </c>
      <c r="N976" t="str">
        <f>TEXT(Table1[[#This Row],[Order_Date]],"YYYY")</f>
        <v>2024</v>
      </c>
    </row>
    <row r="977" spans="1:14" x14ac:dyDescent="0.25">
      <c r="A977" s="1">
        <v>46140</v>
      </c>
      <c r="B977" t="s">
        <v>26</v>
      </c>
      <c r="C977" t="s">
        <v>41</v>
      </c>
      <c r="D977">
        <v>14083</v>
      </c>
      <c r="E977">
        <v>6590</v>
      </c>
      <c r="F977">
        <v>7493</v>
      </c>
      <c r="G977" t="s">
        <v>19</v>
      </c>
      <c r="H977" t="s">
        <v>45</v>
      </c>
      <c r="I977" t="s">
        <v>29</v>
      </c>
      <c r="J977" s="2">
        <f>Table1[[#This Row],[Profit]]/Table1[[#This Row],[Sales]]*100</f>
        <v>53.205993041255418</v>
      </c>
      <c r="K977" t="str">
        <f>IF(Table1[[#This Row],[Sales]]&gt;=30000,"High", IF(Table1[[#This Row],[Sales]]&gt;=15000,"Medium","Low"))</f>
        <v>Low</v>
      </c>
      <c r="L977" t="str">
        <f>TEXT(Table1[[#This Row],[Order_Date]],"MMM")</f>
        <v>Apr</v>
      </c>
      <c r="M977" t="str">
        <f>IF(Table1[[#This Row],[Profit]]&gt;=10000,"Excellent",IF(Table1[[#This Row],[Profit]]&gt;5000,"Good","Low"))</f>
        <v>Good</v>
      </c>
      <c r="N977" t="str">
        <f>TEXT(Table1[[#This Row],[Order_Date]],"YYYY")</f>
        <v>2026</v>
      </c>
    </row>
    <row r="978" spans="1:14" x14ac:dyDescent="0.25">
      <c r="A978" s="1">
        <v>46081</v>
      </c>
      <c r="B978" t="s">
        <v>17</v>
      </c>
      <c r="C978" t="s">
        <v>33</v>
      </c>
      <c r="D978">
        <v>14756</v>
      </c>
      <c r="E978">
        <v>5313</v>
      </c>
      <c r="F978">
        <v>9443</v>
      </c>
      <c r="G978" t="s">
        <v>19</v>
      </c>
      <c r="H978" t="s">
        <v>20</v>
      </c>
      <c r="I978" t="s">
        <v>42</v>
      </c>
      <c r="J978" s="2">
        <f>Table1[[#This Row],[Profit]]/Table1[[#This Row],[Sales]]*100</f>
        <v>63.994307400379505</v>
      </c>
      <c r="K978" t="str">
        <f>IF(Table1[[#This Row],[Sales]]&gt;=30000,"High", IF(Table1[[#This Row],[Sales]]&gt;=15000,"Medium","Low"))</f>
        <v>Low</v>
      </c>
      <c r="L978" t="str">
        <f>TEXT(Table1[[#This Row],[Order_Date]],"MMM")</f>
        <v>Feb</v>
      </c>
      <c r="M978" t="str">
        <f>IF(Table1[[#This Row],[Profit]]&gt;=10000,"Excellent",IF(Table1[[#This Row],[Profit]]&gt;5000,"Good","Low"))</f>
        <v>Good</v>
      </c>
      <c r="N978" t="str">
        <f>TEXT(Table1[[#This Row],[Order_Date]],"YYYY")</f>
        <v>2026</v>
      </c>
    </row>
    <row r="979" spans="1:14" x14ac:dyDescent="0.25">
      <c r="A979" s="1">
        <v>45169</v>
      </c>
      <c r="B979" t="s">
        <v>44</v>
      </c>
      <c r="C979" t="s">
        <v>36</v>
      </c>
      <c r="D979">
        <v>27070</v>
      </c>
      <c r="E979">
        <v>11322</v>
      </c>
      <c r="F979">
        <v>15748</v>
      </c>
      <c r="G979" t="s">
        <v>13</v>
      </c>
      <c r="H979" t="s">
        <v>14</v>
      </c>
      <c r="I979" t="s">
        <v>24</v>
      </c>
      <c r="J979" s="2">
        <f>Table1[[#This Row],[Profit]]/Table1[[#This Row],[Sales]]*100</f>
        <v>58.17510158847432</v>
      </c>
      <c r="K979" t="str">
        <f>IF(Table1[[#This Row],[Sales]]&gt;=30000,"High", IF(Table1[[#This Row],[Sales]]&gt;=15000,"Medium","Low"))</f>
        <v>Medium</v>
      </c>
      <c r="L979" t="str">
        <f>TEXT(Table1[[#This Row],[Order_Date]],"MMM")</f>
        <v>Aug</v>
      </c>
      <c r="M979" t="str">
        <f>IF(Table1[[#This Row],[Profit]]&gt;=10000,"Excellent",IF(Table1[[#This Row],[Profit]]&gt;5000,"Good","Low"))</f>
        <v>Excellent</v>
      </c>
      <c r="N979" t="str">
        <f>TEXT(Table1[[#This Row],[Order_Date]],"YYYY")</f>
        <v>2023</v>
      </c>
    </row>
    <row r="980" spans="1:14" x14ac:dyDescent="0.25">
      <c r="A980" s="1">
        <v>46172</v>
      </c>
      <c r="B980" t="s">
        <v>22</v>
      </c>
      <c r="C980" t="s">
        <v>12</v>
      </c>
      <c r="D980">
        <v>41980</v>
      </c>
      <c r="E980">
        <v>26828</v>
      </c>
      <c r="F980">
        <v>15152</v>
      </c>
      <c r="G980" t="s">
        <v>38</v>
      </c>
      <c r="H980" t="s">
        <v>28</v>
      </c>
      <c r="I980" t="s">
        <v>15</v>
      </c>
      <c r="J980" s="2">
        <f>Table1[[#This Row],[Profit]]/Table1[[#This Row],[Sales]]*100</f>
        <v>36.093377798951884</v>
      </c>
      <c r="K980" t="str">
        <f>IF(Table1[[#This Row],[Sales]]&gt;=30000,"High", IF(Table1[[#This Row],[Sales]]&gt;=15000,"Medium","Low"))</f>
        <v>High</v>
      </c>
      <c r="L980" t="str">
        <f>TEXT(Table1[[#This Row],[Order_Date]],"MMM")</f>
        <v>May</v>
      </c>
      <c r="M980" t="str">
        <f>IF(Table1[[#This Row],[Profit]]&gt;=10000,"Excellent",IF(Table1[[#This Row],[Profit]]&gt;5000,"Good","Low"))</f>
        <v>Excellent</v>
      </c>
      <c r="N980" t="str">
        <f>TEXT(Table1[[#This Row],[Order_Date]],"YYYY")</f>
        <v>2026</v>
      </c>
    </row>
    <row r="981" spans="1:14" x14ac:dyDescent="0.25">
      <c r="A981" s="1">
        <v>45970</v>
      </c>
      <c r="B981" t="s">
        <v>11</v>
      </c>
      <c r="C981" t="s">
        <v>12</v>
      </c>
      <c r="D981">
        <v>22072</v>
      </c>
      <c r="E981">
        <v>18433</v>
      </c>
      <c r="F981">
        <v>3639</v>
      </c>
      <c r="G981" t="s">
        <v>38</v>
      </c>
      <c r="H981" t="s">
        <v>45</v>
      </c>
      <c r="I981" t="s">
        <v>24</v>
      </c>
      <c r="J981" s="2">
        <f>Table1[[#This Row],[Profit]]/Table1[[#This Row],[Sales]]*100</f>
        <v>16.486951794128306</v>
      </c>
      <c r="K981" t="str">
        <f>IF(Table1[[#This Row],[Sales]]&gt;=30000,"High", IF(Table1[[#This Row],[Sales]]&gt;=15000,"Medium","Low"))</f>
        <v>Medium</v>
      </c>
      <c r="L981" t="str">
        <f>TEXT(Table1[[#This Row],[Order_Date]],"MMM")</f>
        <v>Nov</v>
      </c>
      <c r="M981" t="str">
        <f>IF(Table1[[#This Row],[Profit]]&gt;=10000,"Excellent",IF(Table1[[#This Row],[Profit]]&gt;5000,"Good","Low"))</f>
        <v>Low</v>
      </c>
      <c r="N981" t="str">
        <f>TEXT(Table1[[#This Row],[Order_Date]],"YYYY")</f>
        <v>2025</v>
      </c>
    </row>
    <row r="982" spans="1:14" x14ac:dyDescent="0.25">
      <c r="A982" s="1">
        <v>46170</v>
      </c>
      <c r="B982" t="s">
        <v>22</v>
      </c>
      <c r="C982" t="s">
        <v>41</v>
      </c>
      <c r="D982">
        <v>18291</v>
      </c>
      <c r="E982">
        <v>1400</v>
      </c>
      <c r="F982">
        <v>16891</v>
      </c>
      <c r="G982" t="s">
        <v>27</v>
      </c>
      <c r="H982" t="s">
        <v>23</v>
      </c>
      <c r="I982" t="s">
        <v>29</v>
      </c>
      <c r="J982" s="2">
        <f>Table1[[#This Row],[Profit]]/Table1[[#This Row],[Sales]]*100</f>
        <v>92.345962495216227</v>
      </c>
      <c r="K982" t="str">
        <f>IF(Table1[[#This Row],[Sales]]&gt;=30000,"High", IF(Table1[[#This Row],[Sales]]&gt;=15000,"Medium","Low"))</f>
        <v>Medium</v>
      </c>
      <c r="L982" t="str">
        <f>TEXT(Table1[[#This Row],[Order_Date]],"MMM")</f>
        <v>May</v>
      </c>
      <c r="M982" t="str">
        <f>IF(Table1[[#This Row],[Profit]]&gt;=10000,"Excellent",IF(Table1[[#This Row],[Profit]]&gt;5000,"Good","Low"))</f>
        <v>Excellent</v>
      </c>
      <c r="N982" t="str">
        <f>TEXT(Table1[[#This Row],[Order_Date]],"YYYY")</f>
        <v>2026</v>
      </c>
    </row>
    <row r="983" spans="1:14" x14ac:dyDescent="0.25">
      <c r="A983" s="1">
        <v>45347</v>
      </c>
      <c r="B983" t="s">
        <v>44</v>
      </c>
      <c r="C983" t="s">
        <v>12</v>
      </c>
      <c r="D983">
        <v>20150</v>
      </c>
      <c r="E983">
        <v>7127</v>
      </c>
      <c r="F983">
        <v>13023</v>
      </c>
      <c r="G983" t="s">
        <v>27</v>
      </c>
      <c r="H983" t="s">
        <v>31</v>
      </c>
      <c r="I983" t="s">
        <v>29</v>
      </c>
      <c r="J983" s="2">
        <f>Table1[[#This Row],[Profit]]/Table1[[#This Row],[Sales]]*100</f>
        <v>64.630272952853602</v>
      </c>
      <c r="K983" t="str">
        <f>IF(Table1[[#This Row],[Sales]]&gt;=30000,"High", IF(Table1[[#This Row],[Sales]]&gt;=15000,"Medium","Low"))</f>
        <v>Medium</v>
      </c>
      <c r="L983" t="str">
        <f>TEXT(Table1[[#This Row],[Order_Date]],"MMM")</f>
        <v>Feb</v>
      </c>
      <c r="M983" t="str">
        <f>IF(Table1[[#This Row],[Profit]]&gt;=10000,"Excellent",IF(Table1[[#This Row],[Profit]]&gt;5000,"Good","Low"))</f>
        <v>Excellent</v>
      </c>
      <c r="N983" t="str">
        <f>TEXT(Table1[[#This Row],[Order_Date]],"YYYY")</f>
        <v>2024</v>
      </c>
    </row>
    <row r="984" spans="1:14" x14ac:dyDescent="0.25">
      <c r="A984" s="1">
        <v>46074</v>
      </c>
      <c r="B984" t="s">
        <v>44</v>
      </c>
      <c r="C984" t="s">
        <v>18</v>
      </c>
      <c r="D984">
        <v>11959</v>
      </c>
      <c r="E984">
        <v>1567</v>
      </c>
      <c r="F984">
        <v>10392</v>
      </c>
      <c r="G984" t="s">
        <v>27</v>
      </c>
      <c r="H984" t="s">
        <v>31</v>
      </c>
      <c r="I984" t="s">
        <v>42</v>
      </c>
      <c r="J984" s="2">
        <f>Table1[[#This Row],[Profit]]/Table1[[#This Row],[Sales]]*100</f>
        <v>86.896897733924234</v>
      </c>
      <c r="K984" t="str">
        <f>IF(Table1[[#This Row],[Sales]]&gt;=30000,"High", IF(Table1[[#This Row],[Sales]]&gt;=15000,"Medium","Low"))</f>
        <v>Low</v>
      </c>
      <c r="L984" t="str">
        <f>TEXT(Table1[[#This Row],[Order_Date]],"MMM")</f>
        <v>Feb</v>
      </c>
      <c r="M984" t="str">
        <f>IF(Table1[[#This Row],[Profit]]&gt;=10000,"Excellent",IF(Table1[[#This Row],[Profit]]&gt;5000,"Good","Low"))</f>
        <v>Excellent</v>
      </c>
      <c r="N984" t="str">
        <f>TEXT(Table1[[#This Row],[Order_Date]],"YYYY")</f>
        <v>2026</v>
      </c>
    </row>
    <row r="985" spans="1:14" x14ac:dyDescent="0.25">
      <c r="A985" s="1">
        <v>45346</v>
      </c>
      <c r="B985" t="s">
        <v>11</v>
      </c>
      <c r="C985" t="s">
        <v>12</v>
      </c>
      <c r="D985">
        <v>42357</v>
      </c>
      <c r="E985">
        <v>26654</v>
      </c>
      <c r="F985">
        <v>15703</v>
      </c>
      <c r="G985" t="s">
        <v>38</v>
      </c>
      <c r="H985" t="s">
        <v>34</v>
      </c>
      <c r="I985" t="s">
        <v>24</v>
      </c>
      <c r="J985" s="2">
        <f>Table1[[#This Row],[Profit]]/Table1[[#This Row],[Sales]]*100</f>
        <v>37.072974951011638</v>
      </c>
      <c r="K985" t="str">
        <f>IF(Table1[[#This Row],[Sales]]&gt;=30000,"High", IF(Table1[[#This Row],[Sales]]&gt;=15000,"Medium","Low"))</f>
        <v>High</v>
      </c>
      <c r="L985" t="str">
        <f>TEXT(Table1[[#This Row],[Order_Date]],"MMM")</f>
        <v>Feb</v>
      </c>
      <c r="M985" t="str">
        <f>IF(Table1[[#This Row],[Profit]]&gt;=10000,"Excellent",IF(Table1[[#This Row],[Profit]]&gt;5000,"Good","Low"))</f>
        <v>Excellent</v>
      </c>
      <c r="N985" t="str">
        <f>TEXT(Table1[[#This Row],[Order_Date]],"YYYY")</f>
        <v>2024</v>
      </c>
    </row>
    <row r="986" spans="1:14" x14ac:dyDescent="0.25">
      <c r="A986" s="1">
        <v>45311</v>
      </c>
      <c r="B986" t="s">
        <v>11</v>
      </c>
      <c r="C986" t="s">
        <v>33</v>
      </c>
      <c r="D986">
        <v>10918</v>
      </c>
      <c r="E986">
        <v>9261</v>
      </c>
      <c r="F986">
        <v>1657</v>
      </c>
      <c r="G986" t="s">
        <v>13</v>
      </c>
      <c r="H986" t="s">
        <v>34</v>
      </c>
      <c r="I986" t="s">
        <v>24</v>
      </c>
      <c r="J986" s="2">
        <f>Table1[[#This Row],[Profit]]/Table1[[#This Row],[Sales]]*100</f>
        <v>15.176772302619526</v>
      </c>
      <c r="K986" t="str">
        <f>IF(Table1[[#This Row],[Sales]]&gt;=30000,"High", IF(Table1[[#This Row],[Sales]]&gt;=15000,"Medium","Low"))</f>
        <v>Low</v>
      </c>
      <c r="L986" t="str">
        <f>TEXT(Table1[[#This Row],[Order_Date]],"MMM")</f>
        <v>Jan</v>
      </c>
      <c r="M986" t="str">
        <f>IF(Table1[[#This Row],[Profit]]&gt;=10000,"Excellent",IF(Table1[[#This Row],[Profit]]&gt;5000,"Good","Low"))</f>
        <v>Low</v>
      </c>
      <c r="N986" t="str">
        <f>TEXT(Table1[[#This Row],[Order_Date]],"YYYY")</f>
        <v>2024</v>
      </c>
    </row>
    <row r="987" spans="1:14" x14ac:dyDescent="0.25">
      <c r="A987" s="1">
        <v>45486</v>
      </c>
      <c r="B987" t="s">
        <v>26</v>
      </c>
      <c r="C987" t="s">
        <v>12</v>
      </c>
      <c r="D987">
        <v>23077</v>
      </c>
      <c r="E987">
        <v>15611</v>
      </c>
      <c r="F987">
        <v>7466</v>
      </c>
      <c r="G987" t="s">
        <v>19</v>
      </c>
      <c r="H987" t="s">
        <v>63</v>
      </c>
      <c r="I987" t="s">
        <v>53</v>
      </c>
      <c r="J987" s="2">
        <f>Table1[[#This Row],[Profit]]/Table1[[#This Row],[Sales]]*100</f>
        <v>32.352558824803914</v>
      </c>
      <c r="K987" t="str">
        <f>IF(Table1[[#This Row],[Sales]]&gt;=30000,"High", IF(Table1[[#This Row],[Sales]]&gt;=15000,"Medium","Low"))</f>
        <v>Medium</v>
      </c>
      <c r="L987" t="str">
        <f>TEXT(Table1[[#This Row],[Order_Date]],"MMM")</f>
        <v>Jul</v>
      </c>
      <c r="M987" t="str">
        <f>IF(Table1[[#This Row],[Profit]]&gt;=10000,"Excellent",IF(Table1[[#This Row],[Profit]]&gt;5000,"Good","Low"))</f>
        <v>Good</v>
      </c>
      <c r="N987" t="str">
        <f>TEXT(Table1[[#This Row],[Order_Date]],"YYYY")</f>
        <v>2024</v>
      </c>
    </row>
    <row r="988" spans="1:14" x14ac:dyDescent="0.25">
      <c r="A988" s="1">
        <v>45140</v>
      </c>
      <c r="B988" t="s">
        <v>17</v>
      </c>
      <c r="C988" t="s">
        <v>41</v>
      </c>
      <c r="D988">
        <v>36030</v>
      </c>
      <c r="E988">
        <v>21322</v>
      </c>
      <c r="F988">
        <v>14708</v>
      </c>
      <c r="G988" t="s">
        <v>19</v>
      </c>
      <c r="H988" t="s">
        <v>14</v>
      </c>
      <c r="I988" t="s">
        <v>53</v>
      </c>
      <c r="J988" s="2">
        <f>Table1[[#This Row],[Profit]]/Table1[[#This Row],[Sales]]*100</f>
        <v>40.82153760754926</v>
      </c>
      <c r="K988" t="str">
        <f>IF(Table1[[#This Row],[Sales]]&gt;=30000,"High", IF(Table1[[#This Row],[Sales]]&gt;=15000,"Medium","Low"))</f>
        <v>High</v>
      </c>
      <c r="L988" t="str">
        <f>TEXT(Table1[[#This Row],[Order_Date]],"MMM")</f>
        <v>Aug</v>
      </c>
      <c r="M988" t="str">
        <f>IF(Table1[[#This Row],[Profit]]&gt;=10000,"Excellent",IF(Table1[[#This Row],[Profit]]&gt;5000,"Good","Low"))</f>
        <v>Excellent</v>
      </c>
      <c r="N988" t="str">
        <f>TEXT(Table1[[#This Row],[Order_Date]],"YYYY")</f>
        <v>2023</v>
      </c>
    </row>
    <row r="989" spans="1:14" x14ac:dyDescent="0.25">
      <c r="A989" s="1">
        <v>45747</v>
      </c>
      <c r="B989" t="s">
        <v>22</v>
      </c>
      <c r="C989" t="s">
        <v>33</v>
      </c>
      <c r="D989">
        <v>9306</v>
      </c>
      <c r="E989">
        <v>4712</v>
      </c>
      <c r="F989">
        <v>4594</v>
      </c>
      <c r="G989" t="s">
        <v>27</v>
      </c>
      <c r="H989" t="s">
        <v>45</v>
      </c>
      <c r="I989" t="s">
        <v>24</v>
      </c>
      <c r="J989" s="2">
        <f>Table1[[#This Row],[Profit]]/Table1[[#This Row],[Sales]]*100</f>
        <v>49.366000429830216</v>
      </c>
      <c r="K989" t="str">
        <f>IF(Table1[[#This Row],[Sales]]&gt;=30000,"High", IF(Table1[[#This Row],[Sales]]&gt;=15000,"Medium","Low"))</f>
        <v>Low</v>
      </c>
      <c r="L989" t="str">
        <f>TEXT(Table1[[#This Row],[Order_Date]],"MMM")</f>
        <v>Mar</v>
      </c>
      <c r="M989" t="str">
        <f>IF(Table1[[#This Row],[Profit]]&gt;=10000,"Excellent",IF(Table1[[#This Row],[Profit]]&gt;5000,"Good","Low"))</f>
        <v>Low</v>
      </c>
      <c r="N989" t="str">
        <f>TEXT(Table1[[#This Row],[Order_Date]],"YYYY")</f>
        <v>2025</v>
      </c>
    </row>
    <row r="990" spans="1:14" x14ac:dyDescent="0.25">
      <c r="A990" s="1">
        <v>46149</v>
      </c>
      <c r="B990" t="s">
        <v>17</v>
      </c>
      <c r="C990" t="s">
        <v>41</v>
      </c>
      <c r="D990">
        <v>6273</v>
      </c>
      <c r="E990">
        <v>466</v>
      </c>
      <c r="F990">
        <v>5807</v>
      </c>
      <c r="G990" t="s">
        <v>38</v>
      </c>
      <c r="H990" t="s">
        <v>31</v>
      </c>
      <c r="I990" t="s">
        <v>53</v>
      </c>
      <c r="J990" s="2">
        <f>Table1[[#This Row],[Profit]]/Table1[[#This Row],[Sales]]*100</f>
        <v>92.571337478080665</v>
      </c>
      <c r="K990" t="str">
        <f>IF(Table1[[#This Row],[Sales]]&gt;=30000,"High", IF(Table1[[#This Row],[Sales]]&gt;=15000,"Medium","Low"))</f>
        <v>Low</v>
      </c>
      <c r="L990" t="str">
        <f>TEXT(Table1[[#This Row],[Order_Date]],"MMM")</f>
        <v>May</v>
      </c>
      <c r="M990" t="str">
        <f>IF(Table1[[#This Row],[Profit]]&gt;=10000,"Excellent",IF(Table1[[#This Row],[Profit]]&gt;5000,"Good","Low"))</f>
        <v>Good</v>
      </c>
      <c r="N990" t="str">
        <f>TEXT(Table1[[#This Row],[Order_Date]],"YYYY")</f>
        <v>2026</v>
      </c>
    </row>
    <row r="991" spans="1:14" x14ac:dyDescent="0.25">
      <c r="A991" s="1">
        <v>45918</v>
      </c>
      <c r="B991" t="s">
        <v>17</v>
      </c>
      <c r="C991" t="s">
        <v>36</v>
      </c>
      <c r="D991">
        <v>20306</v>
      </c>
      <c r="E991">
        <v>11109</v>
      </c>
      <c r="F991">
        <v>9197</v>
      </c>
      <c r="G991" t="s">
        <v>38</v>
      </c>
      <c r="H991" t="s">
        <v>20</v>
      </c>
      <c r="I991" t="s">
        <v>15</v>
      </c>
      <c r="J991" s="2">
        <f>Table1[[#This Row],[Profit]]/Table1[[#This Row],[Sales]]*100</f>
        <v>45.292031911750222</v>
      </c>
      <c r="K991" t="str">
        <f>IF(Table1[[#This Row],[Sales]]&gt;=30000,"High", IF(Table1[[#This Row],[Sales]]&gt;=15000,"Medium","Low"))</f>
        <v>Medium</v>
      </c>
      <c r="L991" t="str">
        <f>TEXT(Table1[[#This Row],[Order_Date]],"MMM")</f>
        <v>Sep</v>
      </c>
      <c r="M991" t="str">
        <f>IF(Table1[[#This Row],[Profit]]&gt;=10000,"Excellent",IF(Table1[[#This Row],[Profit]]&gt;5000,"Good","Low"))</f>
        <v>Good</v>
      </c>
      <c r="N991" t="str">
        <f>TEXT(Table1[[#This Row],[Order_Date]],"YYYY")</f>
        <v>2025</v>
      </c>
    </row>
    <row r="992" spans="1:14" x14ac:dyDescent="0.25">
      <c r="A992" s="1">
        <v>45716</v>
      </c>
      <c r="B992" t="s">
        <v>26</v>
      </c>
      <c r="C992" t="s">
        <v>33</v>
      </c>
      <c r="D992">
        <v>12024</v>
      </c>
      <c r="E992">
        <v>832</v>
      </c>
      <c r="F992">
        <v>11192</v>
      </c>
      <c r="G992" t="s">
        <v>19</v>
      </c>
      <c r="H992" t="s">
        <v>34</v>
      </c>
      <c r="I992" t="s">
        <v>24</v>
      </c>
      <c r="J992" s="2">
        <f>Table1[[#This Row],[Profit]]/Table1[[#This Row],[Sales]]*100</f>
        <v>93.08050565535595</v>
      </c>
      <c r="K992" t="str">
        <f>IF(Table1[[#This Row],[Sales]]&gt;=30000,"High", IF(Table1[[#This Row],[Sales]]&gt;=15000,"Medium","Low"))</f>
        <v>Low</v>
      </c>
      <c r="L992" t="str">
        <f>TEXT(Table1[[#This Row],[Order_Date]],"MMM")</f>
        <v>Feb</v>
      </c>
      <c r="M992" t="str">
        <f>IF(Table1[[#This Row],[Profit]]&gt;=10000,"Excellent",IF(Table1[[#This Row],[Profit]]&gt;5000,"Good","Low"))</f>
        <v>Excellent</v>
      </c>
      <c r="N992" t="str">
        <f>TEXT(Table1[[#This Row],[Order_Date]],"YYYY")</f>
        <v>2025</v>
      </c>
    </row>
    <row r="993" spans="1:14" x14ac:dyDescent="0.25">
      <c r="A993" s="1">
        <v>46118</v>
      </c>
      <c r="B993" t="s">
        <v>44</v>
      </c>
      <c r="C993" t="s">
        <v>33</v>
      </c>
      <c r="D993">
        <v>48919</v>
      </c>
      <c r="E993">
        <v>29197</v>
      </c>
      <c r="F993">
        <v>19722</v>
      </c>
      <c r="G993" t="s">
        <v>27</v>
      </c>
      <c r="H993" t="s">
        <v>14</v>
      </c>
      <c r="I993" t="s">
        <v>42</v>
      </c>
      <c r="J993" s="2">
        <f>Table1[[#This Row],[Profit]]/Table1[[#This Row],[Sales]]*100</f>
        <v>40.315623786258918</v>
      </c>
      <c r="K993" t="str">
        <f>IF(Table1[[#This Row],[Sales]]&gt;=30000,"High", IF(Table1[[#This Row],[Sales]]&gt;=15000,"Medium","Low"))</f>
        <v>High</v>
      </c>
      <c r="L993" t="str">
        <f>TEXT(Table1[[#This Row],[Order_Date]],"MMM")</f>
        <v>Apr</v>
      </c>
      <c r="M993" t="str">
        <f>IF(Table1[[#This Row],[Profit]]&gt;=10000,"Excellent",IF(Table1[[#This Row],[Profit]]&gt;5000,"Good","Low"))</f>
        <v>Excellent</v>
      </c>
      <c r="N993" t="str">
        <f>TEXT(Table1[[#This Row],[Order_Date]],"YYYY")</f>
        <v>2026</v>
      </c>
    </row>
    <row r="994" spans="1:14" x14ac:dyDescent="0.25">
      <c r="A994" s="1">
        <v>46145</v>
      </c>
      <c r="B994" t="s">
        <v>44</v>
      </c>
      <c r="C994" t="s">
        <v>12</v>
      </c>
      <c r="D994">
        <v>23458</v>
      </c>
      <c r="E994">
        <v>9418</v>
      </c>
      <c r="F994">
        <v>14040</v>
      </c>
      <c r="G994" t="s">
        <v>19</v>
      </c>
      <c r="H994" t="s">
        <v>45</v>
      </c>
      <c r="I994" t="s">
        <v>42</v>
      </c>
      <c r="J994" s="2">
        <f>Table1[[#This Row],[Profit]]/Table1[[#This Row],[Sales]]*100</f>
        <v>59.851649757012538</v>
      </c>
      <c r="K994" t="str">
        <f>IF(Table1[[#This Row],[Sales]]&gt;=30000,"High", IF(Table1[[#This Row],[Sales]]&gt;=15000,"Medium","Low"))</f>
        <v>Medium</v>
      </c>
      <c r="L994" t="str">
        <f>TEXT(Table1[[#This Row],[Order_Date]],"MMM")</f>
        <v>May</v>
      </c>
      <c r="M994" t="str">
        <f>IF(Table1[[#This Row],[Profit]]&gt;=10000,"Excellent",IF(Table1[[#This Row],[Profit]]&gt;5000,"Good","Low"))</f>
        <v>Excellent</v>
      </c>
      <c r="N994" t="str">
        <f>TEXT(Table1[[#This Row],[Order_Date]],"YYYY")</f>
        <v>2026</v>
      </c>
    </row>
    <row r="995" spans="1:14" x14ac:dyDescent="0.25">
      <c r="A995" s="1">
        <v>45298</v>
      </c>
      <c r="B995" t="s">
        <v>11</v>
      </c>
      <c r="C995" t="s">
        <v>41</v>
      </c>
      <c r="D995">
        <v>31128</v>
      </c>
      <c r="E995">
        <v>18513</v>
      </c>
      <c r="F995">
        <v>12615</v>
      </c>
      <c r="G995" t="s">
        <v>38</v>
      </c>
      <c r="H995" t="s">
        <v>63</v>
      </c>
      <c r="I995" t="s">
        <v>29</v>
      </c>
      <c r="J995" s="2">
        <f>Table1[[#This Row],[Profit]]/Table1[[#This Row],[Sales]]*100</f>
        <v>40.526214340786431</v>
      </c>
      <c r="K995" t="str">
        <f>IF(Table1[[#This Row],[Sales]]&gt;=30000,"High", IF(Table1[[#This Row],[Sales]]&gt;=15000,"Medium","Low"))</f>
        <v>High</v>
      </c>
      <c r="L995" t="str">
        <f>TEXT(Table1[[#This Row],[Order_Date]],"MMM")</f>
        <v>Jan</v>
      </c>
      <c r="M995" t="str">
        <f>IF(Table1[[#This Row],[Profit]]&gt;=10000,"Excellent",IF(Table1[[#This Row],[Profit]]&gt;5000,"Good","Low"))</f>
        <v>Excellent</v>
      </c>
      <c r="N995" t="str">
        <f>TEXT(Table1[[#This Row],[Order_Date]],"YYYY")</f>
        <v>2024</v>
      </c>
    </row>
    <row r="996" spans="1:14" x14ac:dyDescent="0.25">
      <c r="A996" s="1">
        <v>45726</v>
      </c>
      <c r="B996" t="s">
        <v>26</v>
      </c>
      <c r="C996" t="s">
        <v>12</v>
      </c>
      <c r="D996">
        <v>38773</v>
      </c>
      <c r="E996">
        <v>21257</v>
      </c>
      <c r="F996">
        <v>17516</v>
      </c>
      <c r="G996" t="s">
        <v>27</v>
      </c>
      <c r="H996" t="s">
        <v>63</v>
      </c>
      <c r="I996" t="s">
        <v>29</v>
      </c>
      <c r="J996" s="2">
        <f>Table1[[#This Row],[Profit]]/Table1[[#This Row],[Sales]]*100</f>
        <v>45.17576664173523</v>
      </c>
      <c r="K996" t="str">
        <f>IF(Table1[[#This Row],[Sales]]&gt;=30000,"High", IF(Table1[[#This Row],[Sales]]&gt;=15000,"Medium","Low"))</f>
        <v>High</v>
      </c>
      <c r="L996" t="str">
        <f>TEXT(Table1[[#This Row],[Order_Date]],"MMM")</f>
        <v>Mar</v>
      </c>
      <c r="M996" t="str">
        <f>IF(Table1[[#This Row],[Profit]]&gt;=10000,"Excellent",IF(Table1[[#This Row],[Profit]]&gt;5000,"Good","Low"))</f>
        <v>Excellent</v>
      </c>
      <c r="N996" t="str">
        <f>TEXT(Table1[[#This Row],[Order_Date]],"YYYY")</f>
        <v>2025</v>
      </c>
    </row>
    <row r="997" spans="1:14" x14ac:dyDescent="0.25">
      <c r="A997" s="1">
        <v>45647</v>
      </c>
      <c r="B997" t="s">
        <v>26</v>
      </c>
      <c r="C997" t="s">
        <v>36</v>
      </c>
      <c r="D997">
        <v>5720</v>
      </c>
      <c r="E997">
        <v>374</v>
      </c>
      <c r="F997">
        <v>5346</v>
      </c>
      <c r="G997" t="s">
        <v>27</v>
      </c>
      <c r="H997" t="s">
        <v>63</v>
      </c>
      <c r="I997" t="s">
        <v>24</v>
      </c>
      <c r="J997" s="2">
        <f>Table1[[#This Row],[Profit]]/Table1[[#This Row],[Sales]]*100</f>
        <v>93.461538461538467</v>
      </c>
      <c r="K997" t="str">
        <f>IF(Table1[[#This Row],[Sales]]&gt;=30000,"High", IF(Table1[[#This Row],[Sales]]&gt;=15000,"Medium","Low"))</f>
        <v>Low</v>
      </c>
      <c r="L997" t="str">
        <f>TEXT(Table1[[#This Row],[Order_Date]],"MMM")</f>
        <v>Dec</v>
      </c>
      <c r="M997" t="str">
        <f>IF(Table1[[#This Row],[Profit]]&gt;=10000,"Excellent",IF(Table1[[#This Row],[Profit]]&gt;5000,"Good","Low"))</f>
        <v>Good</v>
      </c>
      <c r="N997" t="str">
        <f>TEXT(Table1[[#This Row],[Order_Date]],"YYYY")</f>
        <v>2024</v>
      </c>
    </row>
    <row r="998" spans="1:14" x14ac:dyDescent="0.25">
      <c r="A998" s="1">
        <v>46013</v>
      </c>
      <c r="B998" t="s">
        <v>11</v>
      </c>
      <c r="C998" t="s">
        <v>12</v>
      </c>
      <c r="D998">
        <v>43707</v>
      </c>
      <c r="E998">
        <v>34556</v>
      </c>
      <c r="F998">
        <v>9151</v>
      </c>
      <c r="G998" t="s">
        <v>19</v>
      </c>
      <c r="H998" t="s">
        <v>14</v>
      </c>
      <c r="I998" t="s">
        <v>15</v>
      </c>
      <c r="J998" s="2">
        <f>Table1[[#This Row],[Profit]]/Table1[[#This Row],[Sales]]*100</f>
        <v>20.937149655661564</v>
      </c>
      <c r="K998" t="str">
        <f>IF(Table1[[#This Row],[Sales]]&gt;=30000,"High", IF(Table1[[#This Row],[Sales]]&gt;=15000,"Medium","Low"))</f>
        <v>High</v>
      </c>
      <c r="L998" t="str">
        <f>TEXT(Table1[[#This Row],[Order_Date]],"MMM")</f>
        <v>Dec</v>
      </c>
      <c r="M998" t="str">
        <f>IF(Table1[[#This Row],[Profit]]&gt;=10000,"Excellent",IF(Table1[[#This Row],[Profit]]&gt;5000,"Good","Low"))</f>
        <v>Good</v>
      </c>
      <c r="N998" t="str">
        <f>TEXT(Table1[[#This Row],[Order_Date]],"YYYY")</f>
        <v>2025</v>
      </c>
    </row>
    <row r="999" spans="1:14" x14ac:dyDescent="0.25">
      <c r="A999" s="1">
        <v>45332</v>
      </c>
      <c r="B999" t="s">
        <v>26</v>
      </c>
      <c r="C999" t="s">
        <v>41</v>
      </c>
      <c r="D999">
        <v>13869</v>
      </c>
      <c r="E999">
        <v>8561</v>
      </c>
      <c r="F999">
        <v>5308</v>
      </c>
      <c r="G999" t="s">
        <v>38</v>
      </c>
      <c r="H999" t="s">
        <v>20</v>
      </c>
      <c r="I999" t="s">
        <v>42</v>
      </c>
      <c r="J999" s="2">
        <f>Table1[[#This Row],[Profit]]/Table1[[#This Row],[Sales]]*100</f>
        <v>38.272406085514454</v>
      </c>
      <c r="K999" t="str">
        <f>IF(Table1[[#This Row],[Sales]]&gt;=30000,"High", IF(Table1[[#This Row],[Sales]]&gt;=15000,"Medium","Low"))</f>
        <v>Low</v>
      </c>
      <c r="L999" t="str">
        <f>TEXT(Table1[[#This Row],[Order_Date]],"MMM")</f>
        <v>Feb</v>
      </c>
      <c r="M999" t="str">
        <f>IF(Table1[[#This Row],[Profit]]&gt;=10000,"Excellent",IF(Table1[[#This Row],[Profit]]&gt;5000,"Good","Low"))</f>
        <v>Good</v>
      </c>
      <c r="N999" t="str">
        <f>TEXT(Table1[[#This Row],[Order_Date]],"YYYY")</f>
        <v>2024</v>
      </c>
    </row>
    <row r="1000" spans="1:14" x14ac:dyDescent="0.25">
      <c r="A1000" s="1">
        <v>45974</v>
      </c>
      <c r="B1000" t="s">
        <v>11</v>
      </c>
      <c r="C1000" t="s">
        <v>12</v>
      </c>
      <c r="D1000">
        <v>22061</v>
      </c>
      <c r="E1000">
        <v>20071</v>
      </c>
      <c r="F1000">
        <v>1990</v>
      </c>
      <c r="G1000" t="s">
        <v>13</v>
      </c>
      <c r="H1000" t="s">
        <v>14</v>
      </c>
      <c r="I1000" t="s">
        <v>24</v>
      </c>
      <c r="J1000" s="2">
        <f>Table1[[#This Row],[Profit]]/Table1[[#This Row],[Sales]]*100</f>
        <v>9.0204433162594615</v>
      </c>
      <c r="K1000" t="str">
        <f>IF(Table1[[#This Row],[Sales]]&gt;=30000,"High", IF(Table1[[#This Row],[Sales]]&gt;=15000,"Medium","Low"))</f>
        <v>Medium</v>
      </c>
      <c r="L1000" t="str">
        <f>TEXT(Table1[[#This Row],[Order_Date]],"MMM")</f>
        <v>Nov</v>
      </c>
      <c r="M1000" t="str">
        <f>IF(Table1[[#This Row],[Profit]]&gt;=10000,"Excellent",IF(Table1[[#This Row],[Profit]]&gt;5000,"Good","Low"))</f>
        <v>Low</v>
      </c>
      <c r="N1000" t="str">
        <f>TEXT(Table1[[#This Row],[Order_Date]],"YYYY")</f>
        <v>2025</v>
      </c>
    </row>
    <row r="1001" spans="1:14" x14ac:dyDescent="0.25">
      <c r="A1001" s="1">
        <v>45897</v>
      </c>
      <c r="B1001" t="s">
        <v>17</v>
      </c>
      <c r="C1001" t="s">
        <v>41</v>
      </c>
      <c r="D1001">
        <v>24407</v>
      </c>
      <c r="E1001">
        <v>10000</v>
      </c>
      <c r="F1001">
        <v>14407</v>
      </c>
      <c r="G1001" t="s">
        <v>19</v>
      </c>
      <c r="H1001" t="s">
        <v>20</v>
      </c>
      <c r="I1001" t="s">
        <v>15</v>
      </c>
      <c r="J1001" s="2">
        <f>Table1[[#This Row],[Profit]]/Table1[[#This Row],[Sales]]*100</f>
        <v>59.028147662555817</v>
      </c>
      <c r="K1001" t="str">
        <f>IF(Table1[[#This Row],[Sales]]&gt;=30000,"High", IF(Table1[[#This Row],[Sales]]&gt;=15000,"Medium","Low"))</f>
        <v>Medium</v>
      </c>
      <c r="L1001" t="str">
        <f>TEXT(Table1[[#This Row],[Order_Date]],"MMM")</f>
        <v>Aug</v>
      </c>
      <c r="M1001" t="str">
        <f>IF(Table1[[#This Row],[Profit]]&gt;=10000,"Excellent",IF(Table1[[#This Row],[Profit]]&gt;5000,"Good","Low"))</f>
        <v>Excellent</v>
      </c>
      <c r="N1001" t="str">
        <f>TEXT(Table1[[#This Row],[Order_Date]],"YYYY")</f>
        <v>2025</v>
      </c>
    </row>
    <row r="1002" spans="1:14" x14ac:dyDescent="0.25">
      <c r="A1002" s="1">
        <v>46196</v>
      </c>
      <c r="B1002" t="s">
        <v>26</v>
      </c>
      <c r="C1002" t="s">
        <v>36</v>
      </c>
      <c r="D1002">
        <v>48706</v>
      </c>
      <c r="E1002">
        <v>32256</v>
      </c>
      <c r="F1002">
        <v>16450</v>
      </c>
      <c r="G1002" t="s">
        <v>13</v>
      </c>
      <c r="H1002" t="s">
        <v>31</v>
      </c>
      <c r="I1002" t="s">
        <v>53</v>
      </c>
      <c r="J1002" s="2">
        <f>Table1[[#This Row],[Profit]]/Table1[[#This Row],[Sales]]*100</f>
        <v>33.774073009485484</v>
      </c>
      <c r="K1002" t="str">
        <f>IF(Table1[[#This Row],[Sales]]&gt;=30000,"High", IF(Table1[[#This Row],[Sales]]&gt;=15000,"Medium","Low"))</f>
        <v>High</v>
      </c>
      <c r="L1002" t="str">
        <f>TEXT(Table1[[#This Row],[Order_Date]],"MMM")</f>
        <v>Jun</v>
      </c>
      <c r="M1002" t="str">
        <f>IF(Table1[[#This Row],[Profit]]&gt;=10000,"Excellent",IF(Table1[[#This Row],[Profit]]&gt;5000,"Good","Low"))</f>
        <v>Excellent</v>
      </c>
      <c r="N1002" t="str">
        <f>TEXT(Table1[[#This Row],[Order_Date]],"YYYY")</f>
        <v>2026</v>
      </c>
    </row>
    <row r="1003" spans="1:14" x14ac:dyDescent="0.25">
      <c r="A1003" s="1">
        <v>46194</v>
      </c>
      <c r="B1003" t="s">
        <v>22</v>
      </c>
      <c r="C1003" t="s">
        <v>18</v>
      </c>
      <c r="D1003">
        <v>34978</v>
      </c>
      <c r="E1003">
        <v>21962</v>
      </c>
      <c r="F1003">
        <v>13016</v>
      </c>
      <c r="G1003" t="s">
        <v>27</v>
      </c>
      <c r="H1003" t="s">
        <v>78</v>
      </c>
      <c r="I1003" t="s">
        <v>53</v>
      </c>
      <c r="J1003" s="2">
        <f>Table1[[#This Row],[Profit]]/Table1[[#This Row],[Sales]]*100</f>
        <v>37.211961804562868</v>
      </c>
      <c r="K1003" t="str">
        <f>IF(Table1[[#This Row],[Sales]]&gt;=30000,"High", IF(Table1[[#This Row],[Sales]]&gt;=15000,"Medium","Low"))</f>
        <v>High</v>
      </c>
      <c r="L1003" t="str">
        <f>TEXT(Table1[[#This Row],[Order_Date]],"MMM")</f>
        <v>Jun</v>
      </c>
      <c r="M1003" t="str">
        <f>IF(Table1[[#This Row],[Profit]]&gt;=10000,"Excellent",IF(Table1[[#This Row],[Profit]]&gt;5000,"Good","Low"))</f>
        <v>Excellent</v>
      </c>
      <c r="N1003" t="str">
        <f>TEXT(Table1[[#This Row],[Order_Date]],"YYYY")</f>
        <v>2026</v>
      </c>
    </row>
    <row r="1004" spans="1:14" x14ac:dyDescent="0.25">
      <c r="A1004" s="1">
        <v>45900</v>
      </c>
      <c r="B1004" t="s">
        <v>11</v>
      </c>
      <c r="C1004" t="s">
        <v>18</v>
      </c>
      <c r="D1004">
        <v>46458</v>
      </c>
      <c r="E1004">
        <v>42065</v>
      </c>
      <c r="F1004">
        <v>4393</v>
      </c>
      <c r="G1004" t="s">
        <v>27</v>
      </c>
      <c r="H1004" t="s">
        <v>23</v>
      </c>
      <c r="I1004" t="s">
        <v>29</v>
      </c>
      <c r="J1004" s="2">
        <f>Table1[[#This Row],[Profit]]/Table1[[#This Row],[Sales]]*100</f>
        <v>9.4558525980455475</v>
      </c>
      <c r="K1004" t="str">
        <f>IF(Table1[[#This Row],[Sales]]&gt;=30000,"High", IF(Table1[[#This Row],[Sales]]&gt;=15000,"Medium","Low"))</f>
        <v>High</v>
      </c>
      <c r="L1004" t="str">
        <f>TEXT(Table1[[#This Row],[Order_Date]],"MMM")</f>
        <v>Aug</v>
      </c>
      <c r="M1004" t="str">
        <f>IF(Table1[[#This Row],[Profit]]&gt;=10000,"Excellent",IF(Table1[[#This Row],[Profit]]&gt;5000,"Good","Low"))</f>
        <v>Low</v>
      </c>
      <c r="N1004" t="str">
        <f>TEXT(Table1[[#This Row],[Order_Date]],"YYYY")</f>
        <v>2025</v>
      </c>
    </row>
    <row r="1005" spans="1:14" x14ac:dyDescent="0.25">
      <c r="A1005" s="1">
        <v>45762</v>
      </c>
      <c r="B1005" t="s">
        <v>26</v>
      </c>
      <c r="C1005" t="s">
        <v>36</v>
      </c>
      <c r="D1005">
        <v>19039</v>
      </c>
      <c r="E1005">
        <v>3495</v>
      </c>
      <c r="F1005">
        <v>15544</v>
      </c>
      <c r="G1005" t="s">
        <v>13</v>
      </c>
      <c r="H1005" t="s">
        <v>63</v>
      </c>
      <c r="I1005" t="s">
        <v>15</v>
      </c>
      <c r="J1005" s="2">
        <f>Table1[[#This Row],[Profit]]/Table1[[#This Row],[Sales]]*100</f>
        <v>81.642943431902935</v>
      </c>
      <c r="K1005" t="str">
        <f>IF(Table1[[#This Row],[Sales]]&gt;=30000,"High", IF(Table1[[#This Row],[Sales]]&gt;=15000,"Medium","Low"))</f>
        <v>Medium</v>
      </c>
      <c r="L1005" t="str">
        <f>TEXT(Table1[[#This Row],[Order_Date]],"MMM")</f>
        <v>Apr</v>
      </c>
      <c r="M1005" t="str">
        <f>IF(Table1[[#This Row],[Profit]]&gt;=10000,"Excellent",IF(Table1[[#This Row],[Profit]]&gt;5000,"Good","Low"))</f>
        <v>Excellent</v>
      </c>
      <c r="N1005" t="str">
        <f>TEXT(Table1[[#This Row],[Order_Date]],"YYYY")</f>
        <v>2025</v>
      </c>
    </row>
    <row r="1006" spans="1:14" x14ac:dyDescent="0.25">
      <c r="A1006" s="1">
        <v>45139</v>
      </c>
      <c r="B1006" t="s">
        <v>11</v>
      </c>
      <c r="C1006" t="s">
        <v>12</v>
      </c>
      <c r="D1006">
        <v>20605</v>
      </c>
      <c r="E1006">
        <v>18289</v>
      </c>
      <c r="F1006">
        <v>2316</v>
      </c>
      <c r="G1006" t="s">
        <v>27</v>
      </c>
      <c r="H1006" t="s">
        <v>45</v>
      </c>
      <c r="I1006" t="s">
        <v>15</v>
      </c>
      <c r="J1006" s="2">
        <f>Table1[[#This Row],[Profit]]/Table1[[#This Row],[Sales]]*100</f>
        <v>11.239990293618053</v>
      </c>
      <c r="K1006" t="str">
        <f>IF(Table1[[#This Row],[Sales]]&gt;=30000,"High", IF(Table1[[#This Row],[Sales]]&gt;=15000,"Medium","Low"))</f>
        <v>Medium</v>
      </c>
      <c r="L1006" t="str">
        <f>TEXT(Table1[[#This Row],[Order_Date]],"MMM")</f>
        <v>Aug</v>
      </c>
      <c r="M1006" t="str">
        <f>IF(Table1[[#This Row],[Profit]]&gt;=10000,"Excellent",IF(Table1[[#This Row],[Profit]]&gt;5000,"Good","Low"))</f>
        <v>Low</v>
      </c>
      <c r="N1006" t="str">
        <f>TEXT(Table1[[#This Row],[Order_Date]],"YYYY")</f>
        <v>2023</v>
      </c>
    </row>
    <row r="1007" spans="1:14" x14ac:dyDescent="0.25">
      <c r="A1007" s="1">
        <v>45420</v>
      </c>
      <c r="B1007" t="s">
        <v>44</v>
      </c>
      <c r="C1007" t="s">
        <v>41</v>
      </c>
      <c r="D1007">
        <v>14265</v>
      </c>
      <c r="E1007">
        <v>2119</v>
      </c>
      <c r="F1007">
        <v>12146</v>
      </c>
      <c r="G1007" t="s">
        <v>27</v>
      </c>
      <c r="H1007" t="s">
        <v>14</v>
      </c>
      <c r="I1007" t="s">
        <v>42</v>
      </c>
      <c r="J1007" s="2">
        <f>Table1[[#This Row],[Profit]]/Table1[[#This Row],[Sales]]*100</f>
        <v>85.14546091833158</v>
      </c>
      <c r="K1007" t="str">
        <f>IF(Table1[[#This Row],[Sales]]&gt;=30000,"High", IF(Table1[[#This Row],[Sales]]&gt;=15000,"Medium","Low"))</f>
        <v>Low</v>
      </c>
      <c r="L1007" t="str">
        <f>TEXT(Table1[[#This Row],[Order_Date]],"MMM")</f>
        <v>May</v>
      </c>
      <c r="M1007" t="str">
        <f>IF(Table1[[#This Row],[Profit]]&gt;=10000,"Excellent",IF(Table1[[#This Row],[Profit]]&gt;5000,"Good","Low"))</f>
        <v>Excellent</v>
      </c>
      <c r="N1007" t="str">
        <f>TEXT(Table1[[#This Row],[Order_Date]],"YYYY")</f>
        <v>2024</v>
      </c>
    </row>
    <row r="1008" spans="1:14" x14ac:dyDescent="0.25">
      <c r="A1008" s="1">
        <v>45193</v>
      </c>
      <c r="B1008" t="s">
        <v>22</v>
      </c>
      <c r="C1008" t="s">
        <v>33</v>
      </c>
      <c r="D1008">
        <v>23423</v>
      </c>
      <c r="E1008">
        <v>5588</v>
      </c>
      <c r="F1008">
        <v>17835</v>
      </c>
      <c r="G1008" t="s">
        <v>38</v>
      </c>
      <c r="H1008" t="s">
        <v>28</v>
      </c>
      <c r="I1008" t="s">
        <v>29</v>
      </c>
      <c r="J1008" s="2">
        <f>Table1[[#This Row],[Profit]]/Table1[[#This Row],[Sales]]*100</f>
        <v>76.143107202322497</v>
      </c>
      <c r="K1008" t="str">
        <f>IF(Table1[[#This Row],[Sales]]&gt;=30000,"High", IF(Table1[[#This Row],[Sales]]&gt;=15000,"Medium","Low"))</f>
        <v>Medium</v>
      </c>
      <c r="L1008" t="str">
        <f>TEXT(Table1[[#This Row],[Order_Date]],"MMM")</f>
        <v>Sep</v>
      </c>
      <c r="M1008" t="str">
        <f>IF(Table1[[#This Row],[Profit]]&gt;=10000,"Excellent",IF(Table1[[#This Row],[Profit]]&gt;5000,"Good","Low"))</f>
        <v>Excellent</v>
      </c>
      <c r="N1008" t="str">
        <f>TEXT(Table1[[#This Row],[Order_Date]],"YYYY")</f>
        <v>2023</v>
      </c>
    </row>
    <row r="1009" spans="1:14" x14ac:dyDescent="0.25">
      <c r="A1009" s="1">
        <v>45417</v>
      </c>
      <c r="B1009" t="s">
        <v>26</v>
      </c>
      <c r="C1009" t="s">
        <v>12</v>
      </c>
      <c r="D1009">
        <v>23108</v>
      </c>
      <c r="E1009">
        <v>9325</v>
      </c>
      <c r="F1009">
        <v>13783</v>
      </c>
      <c r="G1009" t="s">
        <v>27</v>
      </c>
      <c r="H1009" t="s">
        <v>45</v>
      </c>
      <c r="I1009" t="s">
        <v>24</v>
      </c>
      <c r="J1009" s="2">
        <f>Table1[[#This Row],[Profit]]/Table1[[#This Row],[Sales]]*100</f>
        <v>59.646010039813049</v>
      </c>
      <c r="K1009" t="str">
        <f>IF(Table1[[#This Row],[Sales]]&gt;=30000,"High", IF(Table1[[#This Row],[Sales]]&gt;=15000,"Medium","Low"))</f>
        <v>Medium</v>
      </c>
      <c r="L1009" t="str">
        <f>TEXT(Table1[[#This Row],[Order_Date]],"MMM")</f>
        <v>May</v>
      </c>
      <c r="M1009" t="str">
        <f>IF(Table1[[#This Row],[Profit]]&gt;=10000,"Excellent",IF(Table1[[#This Row],[Profit]]&gt;5000,"Good","Low"))</f>
        <v>Excellent</v>
      </c>
      <c r="N1009" t="str">
        <f>TEXT(Table1[[#This Row],[Order_Date]],"YYYY")</f>
        <v>2024</v>
      </c>
    </row>
    <row r="1010" spans="1:14" x14ac:dyDescent="0.25">
      <c r="A1010" s="1">
        <v>45832</v>
      </c>
      <c r="B1010" t="s">
        <v>17</v>
      </c>
      <c r="C1010" t="s">
        <v>18</v>
      </c>
      <c r="D1010">
        <v>25917</v>
      </c>
      <c r="E1010">
        <v>14536</v>
      </c>
      <c r="F1010">
        <v>11381</v>
      </c>
      <c r="G1010" t="s">
        <v>38</v>
      </c>
      <c r="H1010" t="s">
        <v>28</v>
      </c>
      <c r="I1010" t="s">
        <v>42</v>
      </c>
      <c r="J1010" s="2">
        <f>Table1[[#This Row],[Profit]]/Table1[[#This Row],[Sales]]*100</f>
        <v>43.913261565767641</v>
      </c>
      <c r="K1010" t="str">
        <f>IF(Table1[[#This Row],[Sales]]&gt;=30000,"High", IF(Table1[[#This Row],[Sales]]&gt;=15000,"Medium","Low"))</f>
        <v>Medium</v>
      </c>
      <c r="L1010" t="str">
        <f>TEXT(Table1[[#This Row],[Order_Date]],"MMM")</f>
        <v>Jun</v>
      </c>
      <c r="M1010" t="str">
        <f>IF(Table1[[#This Row],[Profit]]&gt;=10000,"Excellent",IF(Table1[[#This Row],[Profit]]&gt;5000,"Good","Low"))</f>
        <v>Excellent</v>
      </c>
      <c r="N1010" t="str">
        <f>TEXT(Table1[[#This Row],[Order_Date]],"YYYY")</f>
        <v>2025</v>
      </c>
    </row>
    <row r="1011" spans="1:14" x14ac:dyDescent="0.25">
      <c r="A1011" s="1">
        <v>45499</v>
      </c>
      <c r="B1011" t="s">
        <v>11</v>
      </c>
      <c r="C1011" t="s">
        <v>41</v>
      </c>
      <c r="D1011">
        <v>43550</v>
      </c>
      <c r="E1011">
        <v>41313</v>
      </c>
      <c r="F1011">
        <v>2237</v>
      </c>
      <c r="G1011" t="s">
        <v>13</v>
      </c>
      <c r="H1011" t="s">
        <v>14</v>
      </c>
      <c r="I1011" t="s">
        <v>15</v>
      </c>
      <c r="J1011" s="2">
        <f>Table1[[#This Row],[Profit]]/Table1[[#This Row],[Sales]]*100</f>
        <v>5.1366245694603911</v>
      </c>
      <c r="K1011" t="str">
        <f>IF(Table1[[#This Row],[Sales]]&gt;=30000,"High", IF(Table1[[#This Row],[Sales]]&gt;=15000,"Medium","Low"))</f>
        <v>High</v>
      </c>
      <c r="L1011" t="str">
        <f>TEXT(Table1[[#This Row],[Order_Date]],"MMM")</f>
        <v>Jul</v>
      </c>
      <c r="M1011" t="str">
        <f>IF(Table1[[#This Row],[Profit]]&gt;=10000,"Excellent",IF(Table1[[#This Row],[Profit]]&gt;5000,"Good","Low"))</f>
        <v>Low</v>
      </c>
      <c r="N1011" t="str">
        <f>TEXT(Table1[[#This Row],[Order_Date]],"YYYY")</f>
        <v>2024</v>
      </c>
    </row>
    <row r="1012" spans="1:14" x14ac:dyDescent="0.25">
      <c r="A1012" s="1">
        <v>45621</v>
      </c>
      <c r="B1012" t="s">
        <v>11</v>
      </c>
      <c r="C1012" t="s">
        <v>12</v>
      </c>
      <c r="D1012">
        <v>19685</v>
      </c>
      <c r="E1012">
        <v>1681</v>
      </c>
      <c r="F1012">
        <v>18004</v>
      </c>
      <c r="G1012" t="s">
        <v>38</v>
      </c>
      <c r="H1012" t="s">
        <v>45</v>
      </c>
      <c r="I1012" t="s">
        <v>15</v>
      </c>
      <c r="J1012" s="2">
        <f>Table1[[#This Row],[Profit]]/Table1[[#This Row],[Sales]]*100</f>
        <v>91.46050292100584</v>
      </c>
      <c r="K1012" t="str">
        <f>IF(Table1[[#This Row],[Sales]]&gt;=30000,"High", IF(Table1[[#This Row],[Sales]]&gt;=15000,"Medium","Low"))</f>
        <v>Medium</v>
      </c>
      <c r="L1012" t="str">
        <f>TEXT(Table1[[#This Row],[Order_Date]],"MMM")</f>
        <v>Nov</v>
      </c>
      <c r="M1012" t="str">
        <f>IF(Table1[[#This Row],[Profit]]&gt;=10000,"Excellent",IF(Table1[[#This Row],[Profit]]&gt;5000,"Good","Low"))</f>
        <v>Excellent</v>
      </c>
      <c r="N1012" t="str">
        <f>TEXT(Table1[[#This Row],[Order_Date]],"YYYY")</f>
        <v>2024</v>
      </c>
    </row>
    <row r="1013" spans="1:14" x14ac:dyDescent="0.25">
      <c r="A1013" s="1">
        <v>45127</v>
      </c>
      <c r="B1013" t="s">
        <v>44</v>
      </c>
      <c r="C1013" t="s">
        <v>41</v>
      </c>
      <c r="D1013">
        <v>6152</v>
      </c>
      <c r="E1013">
        <v>82</v>
      </c>
      <c r="F1013">
        <v>6070</v>
      </c>
      <c r="G1013" t="s">
        <v>38</v>
      </c>
      <c r="H1013" t="s">
        <v>60</v>
      </c>
      <c r="I1013" t="s">
        <v>29</v>
      </c>
      <c r="J1013" s="2">
        <f>Table1[[#This Row],[Profit]]/Table1[[#This Row],[Sales]]*100</f>
        <v>98.667100130039003</v>
      </c>
      <c r="K1013" t="str">
        <f>IF(Table1[[#This Row],[Sales]]&gt;=30000,"High", IF(Table1[[#This Row],[Sales]]&gt;=15000,"Medium","Low"))</f>
        <v>Low</v>
      </c>
      <c r="L1013" t="str">
        <f>TEXT(Table1[[#This Row],[Order_Date]],"MMM")</f>
        <v>Jul</v>
      </c>
      <c r="M1013" t="str">
        <f>IF(Table1[[#This Row],[Profit]]&gt;=10000,"Excellent",IF(Table1[[#This Row],[Profit]]&gt;5000,"Good","Low"))</f>
        <v>Good</v>
      </c>
      <c r="N1013" t="str">
        <f>TEXT(Table1[[#This Row],[Order_Date]],"YYYY")</f>
        <v>2023</v>
      </c>
    </row>
    <row r="1014" spans="1:14" x14ac:dyDescent="0.25">
      <c r="A1014" s="1">
        <v>45751</v>
      </c>
      <c r="B1014" t="s">
        <v>26</v>
      </c>
      <c r="C1014" t="s">
        <v>18</v>
      </c>
      <c r="D1014">
        <v>33657</v>
      </c>
      <c r="E1014">
        <v>32763</v>
      </c>
      <c r="F1014">
        <v>894</v>
      </c>
      <c r="G1014" t="s">
        <v>13</v>
      </c>
      <c r="H1014" t="s">
        <v>63</v>
      </c>
      <c r="I1014" t="s">
        <v>42</v>
      </c>
      <c r="J1014" s="2">
        <f>Table1[[#This Row],[Profit]]/Table1[[#This Row],[Sales]]*100</f>
        <v>2.6562082182012654</v>
      </c>
      <c r="K1014" t="str">
        <f>IF(Table1[[#This Row],[Sales]]&gt;=30000,"High", IF(Table1[[#This Row],[Sales]]&gt;=15000,"Medium","Low"))</f>
        <v>High</v>
      </c>
      <c r="L1014" t="str">
        <f>TEXT(Table1[[#This Row],[Order_Date]],"MMM")</f>
        <v>Apr</v>
      </c>
      <c r="M1014" t="str">
        <f>IF(Table1[[#This Row],[Profit]]&gt;=10000,"Excellent",IF(Table1[[#This Row],[Profit]]&gt;5000,"Good","Low"))</f>
        <v>Low</v>
      </c>
      <c r="N1014" t="str">
        <f>TEXT(Table1[[#This Row],[Order_Date]],"YYYY")</f>
        <v>2025</v>
      </c>
    </row>
    <row r="1015" spans="1:14" x14ac:dyDescent="0.25">
      <c r="A1015" s="1">
        <v>45939</v>
      </c>
      <c r="B1015" t="s">
        <v>17</v>
      </c>
      <c r="C1015" t="s">
        <v>12</v>
      </c>
      <c r="D1015">
        <v>31993</v>
      </c>
      <c r="E1015">
        <v>27017</v>
      </c>
      <c r="F1015">
        <v>4976</v>
      </c>
      <c r="G1015" t="s">
        <v>19</v>
      </c>
      <c r="H1015" t="s">
        <v>14</v>
      </c>
      <c r="I1015" t="s">
        <v>29</v>
      </c>
      <c r="J1015" s="2">
        <f>Table1[[#This Row],[Profit]]/Table1[[#This Row],[Sales]]*100</f>
        <v>15.553402306754602</v>
      </c>
      <c r="K1015" t="str">
        <f>IF(Table1[[#This Row],[Sales]]&gt;=30000,"High", IF(Table1[[#This Row],[Sales]]&gt;=15000,"Medium","Low"))</f>
        <v>High</v>
      </c>
      <c r="L1015" t="str">
        <f>TEXT(Table1[[#This Row],[Order_Date]],"MMM")</f>
        <v>Oct</v>
      </c>
      <c r="M1015" t="str">
        <f>IF(Table1[[#This Row],[Profit]]&gt;=10000,"Excellent",IF(Table1[[#This Row],[Profit]]&gt;5000,"Good","Low"))</f>
        <v>Low</v>
      </c>
      <c r="N1015" t="str">
        <f>TEXT(Table1[[#This Row],[Order_Date]],"YYYY")</f>
        <v>2025</v>
      </c>
    </row>
    <row r="1016" spans="1:14" x14ac:dyDescent="0.25">
      <c r="A1016" s="1">
        <v>45398</v>
      </c>
      <c r="B1016" t="s">
        <v>26</v>
      </c>
      <c r="C1016" t="s">
        <v>36</v>
      </c>
      <c r="D1016">
        <v>24299</v>
      </c>
      <c r="E1016">
        <v>23365</v>
      </c>
      <c r="F1016">
        <v>934</v>
      </c>
      <c r="G1016" t="s">
        <v>13</v>
      </c>
      <c r="H1016" t="s">
        <v>31</v>
      </c>
      <c r="I1016" t="s">
        <v>42</v>
      </c>
      <c r="J1016" s="2">
        <f>Table1[[#This Row],[Profit]]/Table1[[#This Row],[Sales]]*100</f>
        <v>3.8437795794065601</v>
      </c>
      <c r="K1016" t="str">
        <f>IF(Table1[[#This Row],[Sales]]&gt;=30000,"High", IF(Table1[[#This Row],[Sales]]&gt;=15000,"Medium","Low"))</f>
        <v>Medium</v>
      </c>
      <c r="L1016" t="str">
        <f>TEXT(Table1[[#This Row],[Order_Date]],"MMM")</f>
        <v>Apr</v>
      </c>
      <c r="M1016" t="str">
        <f>IF(Table1[[#This Row],[Profit]]&gt;=10000,"Excellent",IF(Table1[[#This Row],[Profit]]&gt;5000,"Good","Low"))</f>
        <v>Low</v>
      </c>
      <c r="N1016" t="str">
        <f>TEXT(Table1[[#This Row],[Order_Date]],"YYYY")</f>
        <v>2024</v>
      </c>
    </row>
    <row r="1017" spans="1:14" x14ac:dyDescent="0.25">
      <c r="A1017" s="1">
        <v>45398</v>
      </c>
      <c r="B1017" t="s">
        <v>17</v>
      </c>
      <c r="C1017" t="s">
        <v>33</v>
      </c>
      <c r="D1017">
        <v>43475</v>
      </c>
      <c r="E1017">
        <v>30356</v>
      </c>
      <c r="F1017">
        <v>13119</v>
      </c>
      <c r="G1017" t="s">
        <v>27</v>
      </c>
      <c r="H1017" t="s">
        <v>14</v>
      </c>
      <c r="I1017" t="s">
        <v>24</v>
      </c>
      <c r="J1017" s="2">
        <f>Table1[[#This Row],[Profit]]/Table1[[#This Row],[Sales]]*100</f>
        <v>30.175963197239792</v>
      </c>
      <c r="K1017" t="str">
        <f>IF(Table1[[#This Row],[Sales]]&gt;=30000,"High", IF(Table1[[#This Row],[Sales]]&gt;=15000,"Medium","Low"))</f>
        <v>High</v>
      </c>
      <c r="L1017" t="str">
        <f>TEXT(Table1[[#This Row],[Order_Date]],"MMM")</f>
        <v>Apr</v>
      </c>
      <c r="M1017" t="str">
        <f>IF(Table1[[#This Row],[Profit]]&gt;=10000,"Excellent",IF(Table1[[#This Row],[Profit]]&gt;5000,"Good","Low"))</f>
        <v>Excellent</v>
      </c>
      <c r="N1017" t="str">
        <f>TEXT(Table1[[#This Row],[Order_Date]],"YYYY")</f>
        <v>2024</v>
      </c>
    </row>
    <row r="1018" spans="1:14" x14ac:dyDescent="0.25">
      <c r="A1018" s="1">
        <v>46192</v>
      </c>
      <c r="B1018" t="s">
        <v>26</v>
      </c>
      <c r="C1018" t="s">
        <v>12</v>
      </c>
      <c r="D1018">
        <v>44646</v>
      </c>
      <c r="E1018">
        <v>31896</v>
      </c>
      <c r="F1018">
        <v>12750</v>
      </c>
      <c r="G1018" t="s">
        <v>13</v>
      </c>
      <c r="H1018" t="s">
        <v>34</v>
      </c>
      <c r="I1018" t="s">
        <v>24</v>
      </c>
      <c r="J1018" s="2">
        <f>Table1[[#This Row],[Profit]]/Table1[[#This Row],[Sales]]*100</f>
        <v>28.557989517537962</v>
      </c>
      <c r="K1018" t="str">
        <f>IF(Table1[[#This Row],[Sales]]&gt;=30000,"High", IF(Table1[[#This Row],[Sales]]&gt;=15000,"Medium","Low"))</f>
        <v>High</v>
      </c>
      <c r="L1018" t="str">
        <f>TEXT(Table1[[#This Row],[Order_Date]],"MMM")</f>
        <v>Jun</v>
      </c>
      <c r="M1018" t="str">
        <f>IF(Table1[[#This Row],[Profit]]&gt;=10000,"Excellent",IF(Table1[[#This Row],[Profit]]&gt;5000,"Good","Low"))</f>
        <v>Excellent</v>
      </c>
      <c r="N1018" t="str">
        <f>TEXT(Table1[[#This Row],[Order_Date]],"YYYY")</f>
        <v>2026</v>
      </c>
    </row>
    <row r="1019" spans="1:14" x14ac:dyDescent="0.25">
      <c r="A1019" s="1">
        <v>45766</v>
      </c>
      <c r="B1019" t="s">
        <v>26</v>
      </c>
      <c r="C1019" t="s">
        <v>41</v>
      </c>
      <c r="D1019">
        <v>45675</v>
      </c>
      <c r="E1019">
        <v>44976</v>
      </c>
      <c r="F1019">
        <v>699</v>
      </c>
      <c r="G1019" t="s">
        <v>13</v>
      </c>
      <c r="H1019" t="s">
        <v>78</v>
      </c>
      <c r="I1019" t="s">
        <v>53</v>
      </c>
      <c r="J1019" s="2">
        <f>Table1[[#This Row],[Profit]]/Table1[[#This Row],[Sales]]*100</f>
        <v>1.5303776683087027</v>
      </c>
      <c r="K1019" t="str">
        <f>IF(Table1[[#This Row],[Sales]]&gt;=30000,"High", IF(Table1[[#This Row],[Sales]]&gt;=15000,"Medium","Low"))</f>
        <v>High</v>
      </c>
      <c r="L1019" t="str">
        <f>TEXT(Table1[[#This Row],[Order_Date]],"MMM")</f>
        <v>Apr</v>
      </c>
      <c r="M1019" t="str">
        <f>IF(Table1[[#This Row],[Profit]]&gt;=10000,"Excellent",IF(Table1[[#This Row],[Profit]]&gt;5000,"Good","Low"))</f>
        <v>Low</v>
      </c>
      <c r="N1019" t="str">
        <f>TEXT(Table1[[#This Row],[Order_Date]],"YYYY")</f>
        <v>2025</v>
      </c>
    </row>
    <row r="1020" spans="1:14" x14ac:dyDescent="0.25">
      <c r="A1020" s="1">
        <v>45419</v>
      </c>
      <c r="B1020" t="s">
        <v>11</v>
      </c>
      <c r="C1020" t="s">
        <v>36</v>
      </c>
      <c r="D1020">
        <v>33340</v>
      </c>
      <c r="E1020">
        <v>13358</v>
      </c>
      <c r="F1020">
        <v>19982</v>
      </c>
      <c r="G1020" t="s">
        <v>13</v>
      </c>
      <c r="H1020" t="s">
        <v>28</v>
      </c>
      <c r="I1020" t="s">
        <v>29</v>
      </c>
      <c r="J1020" s="2">
        <f>Table1[[#This Row],[Profit]]/Table1[[#This Row],[Sales]]*100</f>
        <v>59.934013197360528</v>
      </c>
      <c r="K1020" t="str">
        <f>IF(Table1[[#This Row],[Sales]]&gt;=30000,"High", IF(Table1[[#This Row],[Sales]]&gt;=15000,"Medium","Low"))</f>
        <v>High</v>
      </c>
      <c r="L1020" t="str">
        <f>TEXT(Table1[[#This Row],[Order_Date]],"MMM")</f>
        <v>May</v>
      </c>
      <c r="M1020" t="str">
        <f>IF(Table1[[#This Row],[Profit]]&gt;=10000,"Excellent",IF(Table1[[#This Row],[Profit]]&gt;5000,"Good","Low"))</f>
        <v>Excellent</v>
      </c>
      <c r="N1020" t="str">
        <f>TEXT(Table1[[#This Row],[Order_Date]],"YYYY")</f>
        <v>2024</v>
      </c>
    </row>
    <row r="1021" spans="1:14" x14ac:dyDescent="0.25">
      <c r="A1021" s="1">
        <v>45233</v>
      </c>
      <c r="B1021" t="s">
        <v>26</v>
      </c>
      <c r="C1021" t="s">
        <v>12</v>
      </c>
      <c r="D1021">
        <v>7559</v>
      </c>
      <c r="E1021">
        <v>4021</v>
      </c>
      <c r="F1021">
        <v>3538</v>
      </c>
      <c r="G1021" t="s">
        <v>19</v>
      </c>
      <c r="H1021" t="s">
        <v>78</v>
      </c>
      <c r="I1021" t="s">
        <v>15</v>
      </c>
      <c r="J1021" s="2">
        <f>Table1[[#This Row],[Profit]]/Table1[[#This Row],[Sales]]*100</f>
        <v>46.805132954094461</v>
      </c>
      <c r="K1021" t="str">
        <f>IF(Table1[[#This Row],[Sales]]&gt;=30000,"High", IF(Table1[[#This Row],[Sales]]&gt;=15000,"Medium","Low"))</f>
        <v>Low</v>
      </c>
      <c r="L1021" t="str">
        <f>TEXT(Table1[[#This Row],[Order_Date]],"MMM")</f>
        <v>Nov</v>
      </c>
      <c r="M1021" t="str">
        <f>IF(Table1[[#This Row],[Profit]]&gt;=10000,"Excellent",IF(Table1[[#This Row],[Profit]]&gt;5000,"Good","Low"))</f>
        <v>Low</v>
      </c>
      <c r="N1021" t="str">
        <f>TEXT(Table1[[#This Row],[Order_Date]],"YYYY")</f>
        <v>2023</v>
      </c>
    </row>
    <row r="1022" spans="1:14" x14ac:dyDescent="0.25">
      <c r="A1022" s="1">
        <v>45400</v>
      </c>
      <c r="B1022" t="s">
        <v>44</v>
      </c>
      <c r="C1022" t="s">
        <v>41</v>
      </c>
      <c r="D1022">
        <v>47946</v>
      </c>
      <c r="E1022">
        <v>38191</v>
      </c>
      <c r="F1022">
        <v>9755</v>
      </c>
      <c r="G1022" t="s">
        <v>19</v>
      </c>
      <c r="H1022" t="s">
        <v>34</v>
      </c>
      <c r="I1022" t="s">
        <v>53</v>
      </c>
      <c r="J1022" s="2">
        <f>Table1[[#This Row],[Profit]]/Table1[[#This Row],[Sales]]*100</f>
        <v>20.345805698077005</v>
      </c>
      <c r="K1022" t="str">
        <f>IF(Table1[[#This Row],[Sales]]&gt;=30000,"High", IF(Table1[[#This Row],[Sales]]&gt;=15000,"Medium","Low"))</f>
        <v>High</v>
      </c>
      <c r="L1022" t="str">
        <f>TEXT(Table1[[#This Row],[Order_Date]],"MMM")</f>
        <v>Apr</v>
      </c>
      <c r="M1022" t="str">
        <f>IF(Table1[[#This Row],[Profit]]&gt;=10000,"Excellent",IF(Table1[[#This Row],[Profit]]&gt;5000,"Good","Low"))</f>
        <v>Good</v>
      </c>
      <c r="N1022" t="str">
        <f>TEXT(Table1[[#This Row],[Order_Date]],"YYYY")</f>
        <v>2024</v>
      </c>
    </row>
    <row r="1023" spans="1:14" x14ac:dyDescent="0.25">
      <c r="A1023" s="1">
        <v>45399</v>
      </c>
      <c r="B1023" t="s">
        <v>22</v>
      </c>
      <c r="C1023" t="s">
        <v>33</v>
      </c>
      <c r="D1023">
        <v>48980</v>
      </c>
      <c r="E1023">
        <v>32611</v>
      </c>
      <c r="F1023">
        <v>16369</v>
      </c>
      <c r="G1023" t="s">
        <v>38</v>
      </c>
      <c r="H1023" t="s">
        <v>28</v>
      </c>
      <c r="I1023" t="s">
        <v>53</v>
      </c>
      <c r="J1023" s="2">
        <f>Table1[[#This Row],[Profit]]/Table1[[#This Row],[Sales]]*100</f>
        <v>33.419763168640259</v>
      </c>
      <c r="K1023" t="str">
        <f>IF(Table1[[#This Row],[Sales]]&gt;=30000,"High", IF(Table1[[#This Row],[Sales]]&gt;=15000,"Medium","Low"))</f>
        <v>High</v>
      </c>
      <c r="L1023" t="str">
        <f>TEXT(Table1[[#This Row],[Order_Date]],"MMM")</f>
        <v>Apr</v>
      </c>
      <c r="M1023" t="str">
        <f>IF(Table1[[#This Row],[Profit]]&gt;=10000,"Excellent",IF(Table1[[#This Row],[Profit]]&gt;5000,"Good","Low"))</f>
        <v>Excellent</v>
      </c>
      <c r="N1023" t="str">
        <f>TEXT(Table1[[#This Row],[Order_Date]],"YYYY")</f>
        <v>2024</v>
      </c>
    </row>
    <row r="1024" spans="1:14" x14ac:dyDescent="0.25">
      <c r="A1024" s="1">
        <v>45748</v>
      </c>
      <c r="B1024" t="s">
        <v>17</v>
      </c>
      <c r="C1024" t="s">
        <v>18</v>
      </c>
      <c r="D1024">
        <v>27259</v>
      </c>
      <c r="E1024">
        <v>12157</v>
      </c>
      <c r="F1024">
        <v>15102</v>
      </c>
      <c r="G1024" t="s">
        <v>27</v>
      </c>
      <c r="H1024" t="s">
        <v>60</v>
      </c>
      <c r="I1024" t="s">
        <v>24</v>
      </c>
      <c r="J1024" s="2">
        <f>Table1[[#This Row],[Profit]]/Table1[[#This Row],[Sales]]*100</f>
        <v>55.40188561575993</v>
      </c>
      <c r="K1024" t="str">
        <f>IF(Table1[[#This Row],[Sales]]&gt;=30000,"High", IF(Table1[[#This Row],[Sales]]&gt;=15000,"Medium","Low"))</f>
        <v>Medium</v>
      </c>
      <c r="L1024" t="str">
        <f>TEXT(Table1[[#This Row],[Order_Date]],"MMM")</f>
        <v>Apr</v>
      </c>
      <c r="M1024" t="str">
        <f>IF(Table1[[#This Row],[Profit]]&gt;=10000,"Excellent",IF(Table1[[#This Row],[Profit]]&gt;5000,"Good","Low"))</f>
        <v>Excellent</v>
      </c>
      <c r="N1024" t="str">
        <f>TEXT(Table1[[#This Row],[Order_Date]],"YYYY")</f>
        <v>2025</v>
      </c>
    </row>
    <row r="1025" spans="1:14" x14ac:dyDescent="0.25">
      <c r="A1025" s="1">
        <v>46027</v>
      </c>
      <c r="B1025" t="s">
        <v>17</v>
      </c>
      <c r="C1025" t="s">
        <v>36</v>
      </c>
      <c r="D1025">
        <v>21428</v>
      </c>
      <c r="E1025">
        <v>17443</v>
      </c>
      <c r="F1025">
        <v>3985</v>
      </c>
      <c r="G1025" t="s">
        <v>38</v>
      </c>
      <c r="H1025" t="s">
        <v>63</v>
      </c>
      <c r="I1025" t="s">
        <v>24</v>
      </c>
      <c r="J1025" s="2">
        <f>Table1[[#This Row],[Profit]]/Table1[[#This Row],[Sales]]*100</f>
        <v>18.597162591002427</v>
      </c>
      <c r="K1025" t="str">
        <f>IF(Table1[[#This Row],[Sales]]&gt;=30000,"High", IF(Table1[[#This Row],[Sales]]&gt;=15000,"Medium","Low"))</f>
        <v>Medium</v>
      </c>
      <c r="L1025" t="str">
        <f>TEXT(Table1[[#This Row],[Order_Date]],"MMM")</f>
        <v>Jan</v>
      </c>
      <c r="M1025" t="str">
        <f>IF(Table1[[#This Row],[Profit]]&gt;=10000,"Excellent",IF(Table1[[#This Row],[Profit]]&gt;5000,"Good","Low"))</f>
        <v>Low</v>
      </c>
      <c r="N1025" t="str">
        <f>TEXT(Table1[[#This Row],[Order_Date]],"YYYY")</f>
        <v>2026</v>
      </c>
    </row>
    <row r="1026" spans="1:14" x14ac:dyDescent="0.25">
      <c r="A1026" s="1">
        <v>45510</v>
      </c>
      <c r="B1026" t="s">
        <v>22</v>
      </c>
      <c r="C1026" t="s">
        <v>41</v>
      </c>
      <c r="D1026">
        <v>47061</v>
      </c>
      <c r="E1026">
        <v>43985</v>
      </c>
      <c r="F1026">
        <v>3076</v>
      </c>
      <c r="G1026" t="s">
        <v>27</v>
      </c>
      <c r="H1026" t="s">
        <v>78</v>
      </c>
      <c r="I1026" t="s">
        <v>42</v>
      </c>
      <c r="J1026" s="2">
        <f>Table1[[#This Row],[Profit]]/Table1[[#This Row],[Sales]]*100</f>
        <v>6.5361977008563361</v>
      </c>
      <c r="K1026" t="str">
        <f>IF(Table1[[#This Row],[Sales]]&gt;=30000,"High", IF(Table1[[#This Row],[Sales]]&gt;=15000,"Medium","Low"))</f>
        <v>High</v>
      </c>
      <c r="L1026" t="str">
        <f>TEXT(Table1[[#This Row],[Order_Date]],"MMM")</f>
        <v>Aug</v>
      </c>
      <c r="M1026" t="str">
        <f>IF(Table1[[#This Row],[Profit]]&gt;=10000,"Excellent",IF(Table1[[#This Row],[Profit]]&gt;5000,"Good","Low"))</f>
        <v>Low</v>
      </c>
      <c r="N1026" t="str">
        <f>TEXT(Table1[[#This Row],[Order_Date]],"YYYY")</f>
        <v>2024</v>
      </c>
    </row>
    <row r="1027" spans="1:14" x14ac:dyDescent="0.25">
      <c r="A1027" s="1">
        <v>45689</v>
      </c>
      <c r="B1027" t="s">
        <v>22</v>
      </c>
      <c r="C1027" t="s">
        <v>41</v>
      </c>
      <c r="D1027">
        <v>20090</v>
      </c>
      <c r="E1027">
        <v>3252</v>
      </c>
      <c r="F1027">
        <v>16838</v>
      </c>
      <c r="G1027" t="s">
        <v>19</v>
      </c>
      <c r="H1027" t="s">
        <v>31</v>
      </c>
      <c r="I1027" t="s">
        <v>53</v>
      </c>
      <c r="J1027" s="2">
        <f>Table1[[#This Row],[Profit]]/Table1[[#This Row],[Sales]]*100</f>
        <v>83.812842210054754</v>
      </c>
      <c r="K1027" t="str">
        <f>IF(Table1[[#This Row],[Sales]]&gt;=30000,"High", IF(Table1[[#This Row],[Sales]]&gt;=15000,"Medium","Low"))</f>
        <v>Medium</v>
      </c>
      <c r="L1027" t="str">
        <f>TEXT(Table1[[#This Row],[Order_Date]],"MMM")</f>
        <v>Feb</v>
      </c>
      <c r="M1027" t="str">
        <f>IF(Table1[[#This Row],[Profit]]&gt;=10000,"Excellent",IF(Table1[[#This Row],[Profit]]&gt;5000,"Good","Low"))</f>
        <v>Excellent</v>
      </c>
      <c r="N1027" t="str">
        <f>TEXT(Table1[[#This Row],[Order_Date]],"YYYY")</f>
        <v>2025</v>
      </c>
    </row>
    <row r="1028" spans="1:14" x14ac:dyDescent="0.25">
      <c r="A1028" s="1">
        <v>45811</v>
      </c>
      <c r="B1028" t="s">
        <v>11</v>
      </c>
      <c r="C1028" t="s">
        <v>41</v>
      </c>
      <c r="D1028">
        <v>44310</v>
      </c>
      <c r="E1028">
        <v>33094</v>
      </c>
      <c r="F1028">
        <v>11216</v>
      </c>
      <c r="G1028" t="s">
        <v>13</v>
      </c>
      <c r="H1028" t="s">
        <v>78</v>
      </c>
      <c r="I1028" t="s">
        <v>53</v>
      </c>
      <c r="J1028" s="2">
        <f>Table1[[#This Row],[Profit]]/Table1[[#This Row],[Sales]]*100</f>
        <v>25.312570525840666</v>
      </c>
      <c r="K1028" t="str">
        <f>IF(Table1[[#This Row],[Sales]]&gt;=30000,"High", IF(Table1[[#This Row],[Sales]]&gt;=15000,"Medium","Low"))</f>
        <v>High</v>
      </c>
      <c r="L1028" t="str">
        <f>TEXT(Table1[[#This Row],[Order_Date]],"MMM")</f>
        <v>Jun</v>
      </c>
      <c r="M1028" t="str">
        <f>IF(Table1[[#This Row],[Profit]]&gt;=10000,"Excellent",IF(Table1[[#This Row],[Profit]]&gt;5000,"Good","Low"))</f>
        <v>Excellent</v>
      </c>
      <c r="N1028" t="str">
        <f>TEXT(Table1[[#This Row],[Order_Date]],"YYYY")</f>
        <v>2025</v>
      </c>
    </row>
    <row r="1029" spans="1:14" x14ac:dyDescent="0.25">
      <c r="A1029" s="1">
        <v>45348</v>
      </c>
      <c r="B1029" t="s">
        <v>11</v>
      </c>
      <c r="C1029" t="s">
        <v>18</v>
      </c>
      <c r="D1029">
        <v>14809</v>
      </c>
      <c r="E1029">
        <v>14193</v>
      </c>
      <c r="F1029">
        <v>616</v>
      </c>
      <c r="G1029" t="s">
        <v>27</v>
      </c>
      <c r="H1029" t="s">
        <v>14</v>
      </c>
      <c r="I1029" t="s">
        <v>42</v>
      </c>
      <c r="J1029" s="2">
        <f>Table1[[#This Row],[Profit]]/Table1[[#This Row],[Sales]]*100</f>
        <v>4.1596326558174086</v>
      </c>
      <c r="K1029" t="str">
        <f>IF(Table1[[#This Row],[Sales]]&gt;=30000,"High", IF(Table1[[#This Row],[Sales]]&gt;=15000,"Medium","Low"))</f>
        <v>Low</v>
      </c>
      <c r="L1029" t="str">
        <f>TEXT(Table1[[#This Row],[Order_Date]],"MMM")</f>
        <v>Feb</v>
      </c>
      <c r="M1029" t="str">
        <f>IF(Table1[[#This Row],[Profit]]&gt;=10000,"Excellent",IF(Table1[[#This Row],[Profit]]&gt;5000,"Good","Low"))</f>
        <v>Low</v>
      </c>
      <c r="N1029" t="str">
        <f>TEXT(Table1[[#This Row],[Order_Date]],"YYYY")</f>
        <v>2024</v>
      </c>
    </row>
    <row r="1030" spans="1:14" x14ac:dyDescent="0.25">
      <c r="A1030" s="1">
        <v>46192</v>
      </c>
      <c r="B1030" t="s">
        <v>44</v>
      </c>
      <c r="C1030" t="s">
        <v>12</v>
      </c>
      <c r="D1030">
        <v>37112</v>
      </c>
      <c r="E1030">
        <v>32704</v>
      </c>
      <c r="F1030">
        <v>4408</v>
      </c>
      <c r="G1030" t="s">
        <v>38</v>
      </c>
      <c r="H1030" t="s">
        <v>14</v>
      </c>
      <c r="I1030" t="s">
        <v>15</v>
      </c>
      <c r="J1030" s="2">
        <f>Table1[[#This Row],[Profit]]/Table1[[#This Row],[Sales]]*100</f>
        <v>11.877559818926493</v>
      </c>
      <c r="K1030" t="str">
        <f>IF(Table1[[#This Row],[Sales]]&gt;=30000,"High", IF(Table1[[#This Row],[Sales]]&gt;=15000,"Medium","Low"))</f>
        <v>High</v>
      </c>
      <c r="L1030" t="str">
        <f>TEXT(Table1[[#This Row],[Order_Date]],"MMM")</f>
        <v>Jun</v>
      </c>
      <c r="M1030" t="str">
        <f>IF(Table1[[#This Row],[Profit]]&gt;=10000,"Excellent",IF(Table1[[#This Row],[Profit]]&gt;5000,"Good","Low"))</f>
        <v>Low</v>
      </c>
      <c r="N1030" t="str">
        <f>TEXT(Table1[[#This Row],[Order_Date]],"YYYY")</f>
        <v>2026</v>
      </c>
    </row>
    <row r="1031" spans="1:14" x14ac:dyDescent="0.25">
      <c r="A1031" s="1">
        <v>46137</v>
      </c>
      <c r="B1031" t="s">
        <v>26</v>
      </c>
      <c r="C1031" t="s">
        <v>33</v>
      </c>
      <c r="D1031">
        <v>25204</v>
      </c>
      <c r="E1031">
        <v>15379</v>
      </c>
      <c r="F1031">
        <v>9825</v>
      </c>
      <c r="G1031" t="s">
        <v>19</v>
      </c>
      <c r="H1031" t="s">
        <v>60</v>
      </c>
      <c r="I1031" t="s">
        <v>15</v>
      </c>
      <c r="J1031" s="2">
        <f>Table1[[#This Row],[Profit]]/Table1[[#This Row],[Sales]]*100</f>
        <v>38.981907633708936</v>
      </c>
      <c r="K1031" t="str">
        <f>IF(Table1[[#This Row],[Sales]]&gt;=30000,"High", IF(Table1[[#This Row],[Sales]]&gt;=15000,"Medium","Low"))</f>
        <v>Medium</v>
      </c>
      <c r="L1031" t="str">
        <f>TEXT(Table1[[#This Row],[Order_Date]],"MMM")</f>
        <v>Apr</v>
      </c>
      <c r="M1031" t="str">
        <f>IF(Table1[[#This Row],[Profit]]&gt;=10000,"Excellent",IF(Table1[[#This Row],[Profit]]&gt;5000,"Good","Low"))</f>
        <v>Good</v>
      </c>
      <c r="N1031" t="str">
        <f>TEXT(Table1[[#This Row],[Order_Date]],"YYYY")</f>
        <v>2026</v>
      </c>
    </row>
    <row r="1032" spans="1:14" x14ac:dyDescent="0.25">
      <c r="A1032" s="1">
        <v>45644</v>
      </c>
      <c r="B1032" t="s">
        <v>44</v>
      </c>
      <c r="C1032" t="s">
        <v>41</v>
      </c>
      <c r="D1032">
        <v>12603</v>
      </c>
      <c r="E1032">
        <v>6245</v>
      </c>
      <c r="F1032">
        <v>6358</v>
      </c>
      <c r="G1032" t="s">
        <v>27</v>
      </c>
      <c r="H1032" t="s">
        <v>23</v>
      </c>
      <c r="I1032" t="s">
        <v>42</v>
      </c>
      <c r="J1032" s="2">
        <f>Table1[[#This Row],[Profit]]/Table1[[#This Row],[Sales]]*100</f>
        <v>50.448305958898679</v>
      </c>
      <c r="K1032" t="str">
        <f>IF(Table1[[#This Row],[Sales]]&gt;=30000,"High", IF(Table1[[#This Row],[Sales]]&gt;=15000,"Medium","Low"))</f>
        <v>Low</v>
      </c>
      <c r="L1032" t="str">
        <f>TEXT(Table1[[#This Row],[Order_Date]],"MMM")</f>
        <v>Dec</v>
      </c>
      <c r="M1032" t="str">
        <f>IF(Table1[[#This Row],[Profit]]&gt;=10000,"Excellent",IF(Table1[[#This Row],[Profit]]&gt;5000,"Good","Low"))</f>
        <v>Good</v>
      </c>
      <c r="N1032" t="str">
        <f>TEXT(Table1[[#This Row],[Order_Date]],"YYYY")</f>
        <v>2024</v>
      </c>
    </row>
    <row r="1033" spans="1:14" x14ac:dyDescent="0.25">
      <c r="A1033" s="1">
        <v>45262</v>
      </c>
      <c r="B1033" t="s">
        <v>22</v>
      </c>
      <c r="C1033" t="s">
        <v>18</v>
      </c>
      <c r="D1033">
        <v>24932</v>
      </c>
      <c r="E1033">
        <v>8816</v>
      </c>
      <c r="F1033">
        <v>16116</v>
      </c>
      <c r="G1033" t="s">
        <v>19</v>
      </c>
      <c r="H1033" t="s">
        <v>63</v>
      </c>
      <c r="I1033" t="s">
        <v>42</v>
      </c>
      <c r="J1033" s="2">
        <f>Table1[[#This Row],[Profit]]/Table1[[#This Row],[Sales]]*100</f>
        <v>64.639820311246581</v>
      </c>
      <c r="K1033" t="str">
        <f>IF(Table1[[#This Row],[Sales]]&gt;=30000,"High", IF(Table1[[#This Row],[Sales]]&gt;=15000,"Medium","Low"))</f>
        <v>Medium</v>
      </c>
      <c r="L1033" t="str">
        <f>TEXT(Table1[[#This Row],[Order_Date]],"MMM")</f>
        <v>Dec</v>
      </c>
      <c r="M1033" t="str">
        <f>IF(Table1[[#This Row],[Profit]]&gt;=10000,"Excellent",IF(Table1[[#This Row],[Profit]]&gt;5000,"Good","Low"))</f>
        <v>Excellent</v>
      </c>
      <c r="N1033" t="str">
        <f>TEXT(Table1[[#This Row],[Order_Date]],"YYYY")</f>
        <v>2023</v>
      </c>
    </row>
    <row r="1034" spans="1:14" x14ac:dyDescent="0.25">
      <c r="A1034" s="1">
        <v>45169</v>
      </c>
      <c r="B1034" t="s">
        <v>22</v>
      </c>
      <c r="C1034" t="s">
        <v>36</v>
      </c>
      <c r="D1034">
        <v>23211</v>
      </c>
      <c r="E1034">
        <v>20194</v>
      </c>
      <c r="F1034">
        <v>3017</v>
      </c>
      <c r="G1034" t="s">
        <v>19</v>
      </c>
      <c r="H1034" t="s">
        <v>23</v>
      </c>
      <c r="I1034" t="s">
        <v>15</v>
      </c>
      <c r="J1034" s="2">
        <f>Table1[[#This Row],[Profit]]/Table1[[#This Row],[Sales]]*100</f>
        <v>12.998147430097799</v>
      </c>
      <c r="K1034" t="str">
        <f>IF(Table1[[#This Row],[Sales]]&gt;=30000,"High", IF(Table1[[#This Row],[Sales]]&gt;=15000,"Medium","Low"))</f>
        <v>Medium</v>
      </c>
      <c r="L1034" t="str">
        <f>TEXT(Table1[[#This Row],[Order_Date]],"MMM")</f>
        <v>Aug</v>
      </c>
      <c r="M1034" t="str">
        <f>IF(Table1[[#This Row],[Profit]]&gt;=10000,"Excellent",IF(Table1[[#This Row],[Profit]]&gt;5000,"Good","Low"))</f>
        <v>Low</v>
      </c>
      <c r="N1034" t="str">
        <f>TEXT(Table1[[#This Row],[Order_Date]],"YYYY")</f>
        <v>2023</v>
      </c>
    </row>
    <row r="1035" spans="1:14" x14ac:dyDescent="0.25">
      <c r="A1035" s="1">
        <v>45936</v>
      </c>
      <c r="B1035" t="s">
        <v>26</v>
      </c>
      <c r="C1035" t="s">
        <v>18</v>
      </c>
      <c r="D1035">
        <v>46582</v>
      </c>
      <c r="E1035">
        <v>41440</v>
      </c>
      <c r="F1035">
        <v>5142</v>
      </c>
      <c r="G1035" t="s">
        <v>38</v>
      </c>
      <c r="H1035" t="s">
        <v>28</v>
      </c>
      <c r="I1035" t="s">
        <v>24</v>
      </c>
      <c r="J1035" s="2">
        <f>Table1[[#This Row],[Profit]]/Table1[[#This Row],[Sales]]*100</f>
        <v>11.038598600317719</v>
      </c>
      <c r="K1035" t="str">
        <f>IF(Table1[[#This Row],[Sales]]&gt;=30000,"High", IF(Table1[[#This Row],[Sales]]&gt;=15000,"Medium","Low"))</f>
        <v>High</v>
      </c>
      <c r="L1035" t="str">
        <f>TEXT(Table1[[#This Row],[Order_Date]],"MMM")</f>
        <v>Oct</v>
      </c>
      <c r="M1035" t="str">
        <f>IF(Table1[[#This Row],[Profit]]&gt;=10000,"Excellent",IF(Table1[[#This Row],[Profit]]&gt;5000,"Good","Low"))</f>
        <v>Good</v>
      </c>
      <c r="N1035" t="str">
        <f>TEXT(Table1[[#This Row],[Order_Date]],"YYYY")</f>
        <v>2025</v>
      </c>
    </row>
    <row r="1036" spans="1:14" x14ac:dyDescent="0.25">
      <c r="A1036" s="1">
        <v>45160</v>
      </c>
      <c r="B1036" t="s">
        <v>26</v>
      </c>
      <c r="C1036" t="s">
        <v>33</v>
      </c>
      <c r="D1036">
        <v>6541</v>
      </c>
      <c r="E1036">
        <v>4359</v>
      </c>
      <c r="F1036">
        <v>2182</v>
      </c>
      <c r="G1036" t="s">
        <v>27</v>
      </c>
      <c r="H1036" t="s">
        <v>45</v>
      </c>
      <c r="I1036" t="s">
        <v>29</v>
      </c>
      <c r="J1036" s="2">
        <f>Table1[[#This Row],[Profit]]/Table1[[#This Row],[Sales]]*100</f>
        <v>33.358813637058553</v>
      </c>
      <c r="K1036" t="str">
        <f>IF(Table1[[#This Row],[Sales]]&gt;=30000,"High", IF(Table1[[#This Row],[Sales]]&gt;=15000,"Medium","Low"))</f>
        <v>Low</v>
      </c>
      <c r="L1036" t="str">
        <f>TEXT(Table1[[#This Row],[Order_Date]],"MMM")</f>
        <v>Aug</v>
      </c>
      <c r="M1036" t="str">
        <f>IF(Table1[[#This Row],[Profit]]&gt;=10000,"Excellent",IF(Table1[[#This Row],[Profit]]&gt;5000,"Good","Low"))</f>
        <v>Low</v>
      </c>
      <c r="N1036" t="str">
        <f>TEXT(Table1[[#This Row],[Order_Date]],"YYYY")</f>
        <v>2023</v>
      </c>
    </row>
    <row r="1037" spans="1:14" x14ac:dyDescent="0.25">
      <c r="A1037" s="1">
        <v>45291</v>
      </c>
      <c r="B1037" t="s">
        <v>17</v>
      </c>
      <c r="C1037" t="s">
        <v>36</v>
      </c>
      <c r="D1037">
        <v>9665</v>
      </c>
      <c r="E1037">
        <v>9032</v>
      </c>
      <c r="F1037">
        <v>633</v>
      </c>
      <c r="G1037" t="s">
        <v>27</v>
      </c>
      <c r="H1037" t="s">
        <v>63</v>
      </c>
      <c r="I1037" t="s">
        <v>42</v>
      </c>
      <c r="J1037" s="2">
        <f>Table1[[#This Row],[Profit]]/Table1[[#This Row],[Sales]]*100</f>
        <v>6.5494050698396267</v>
      </c>
      <c r="K1037" t="str">
        <f>IF(Table1[[#This Row],[Sales]]&gt;=30000,"High", IF(Table1[[#This Row],[Sales]]&gt;=15000,"Medium","Low"))</f>
        <v>Low</v>
      </c>
      <c r="L1037" t="str">
        <f>TEXT(Table1[[#This Row],[Order_Date]],"MMM")</f>
        <v>Dec</v>
      </c>
      <c r="M1037" t="str">
        <f>IF(Table1[[#This Row],[Profit]]&gt;=10000,"Excellent",IF(Table1[[#This Row],[Profit]]&gt;5000,"Good","Low"))</f>
        <v>Low</v>
      </c>
      <c r="N1037" t="str">
        <f>TEXT(Table1[[#This Row],[Order_Date]],"YYYY")</f>
        <v>2023</v>
      </c>
    </row>
    <row r="1038" spans="1:14" x14ac:dyDescent="0.25">
      <c r="A1038" s="1">
        <v>45448</v>
      </c>
      <c r="B1038" t="s">
        <v>44</v>
      </c>
      <c r="C1038" t="s">
        <v>36</v>
      </c>
      <c r="D1038">
        <v>39971</v>
      </c>
      <c r="E1038">
        <v>34002</v>
      </c>
      <c r="F1038">
        <v>5969</v>
      </c>
      <c r="G1038" t="s">
        <v>13</v>
      </c>
      <c r="H1038" t="s">
        <v>14</v>
      </c>
      <c r="I1038" t="s">
        <v>15</v>
      </c>
      <c r="J1038" s="2">
        <f>Table1[[#This Row],[Profit]]/Table1[[#This Row],[Sales]]*100</f>
        <v>14.933326661829827</v>
      </c>
      <c r="K1038" t="str">
        <f>IF(Table1[[#This Row],[Sales]]&gt;=30000,"High", IF(Table1[[#This Row],[Sales]]&gt;=15000,"Medium","Low"))</f>
        <v>High</v>
      </c>
      <c r="L1038" t="str">
        <f>TEXT(Table1[[#This Row],[Order_Date]],"MMM")</f>
        <v>Jun</v>
      </c>
      <c r="M1038" t="str">
        <f>IF(Table1[[#This Row],[Profit]]&gt;=10000,"Excellent",IF(Table1[[#This Row],[Profit]]&gt;5000,"Good","Low"))</f>
        <v>Good</v>
      </c>
      <c r="N1038" t="str">
        <f>TEXT(Table1[[#This Row],[Order_Date]],"YYYY")</f>
        <v>2024</v>
      </c>
    </row>
    <row r="1039" spans="1:14" x14ac:dyDescent="0.25">
      <c r="A1039" s="1">
        <v>45838</v>
      </c>
      <c r="B1039" t="s">
        <v>22</v>
      </c>
      <c r="C1039" t="s">
        <v>41</v>
      </c>
      <c r="D1039">
        <v>32503</v>
      </c>
      <c r="E1039">
        <v>22280</v>
      </c>
      <c r="F1039">
        <v>10223</v>
      </c>
      <c r="G1039" t="s">
        <v>19</v>
      </c>
      <c r="H1039" t="s">
        <v>14</v>
      </c>
      <c r="I1039" t="s">
        <v>53</v>
      </c>
      <c r="J1039" s="2">
        <f>Table1[[#This Row],[Profit]]/Table1[[#This Row],[Sales]]*100</f>
        <v>31.452481309417589</v>
      </c>
      <c r="K1039" t="str">
        <f>IF(Table1[[#This Row],[Sales]]&gt;=30000,"High", IF(Table1[[#This Row],[Sales]]&gt;=15000,"Medium","Low"))</f>
        <v>High</v>
      </c>
      <c r="L1039" t="str">
        <f>TEXT(Table1[[#This Row],[Order_Date]],"MMM")</f>
        <v>Jun</v>
      </c>
      <c r="M1039" t="str">
        <f>IF(Table1[[#This Row],[Profit]]&gt;=10000,"Excellent",IF(Table1[[#This Row],[Profit]]&gt;5000,"Good","Low"))</f>
        <v>Excellent</v>
      </c>
      <c r="N1039" t="str">
        <f>TEXT(Table1[[#This Row],[Order_Date]],"YYYY")</f>
        <v>2025</v>
      </c>
    </row>
    <row r="1040" spans="1:14" x14ac:dyDescent="0.25">
      <c r="A1040" s="1">
        <v>45587</v>
      </c>
      <c r="B1040" t="s">
        <v>17</v>
      </c>
      <c r="C1040" t="s">
        <v>33</v>
      </c>
      <c r="D1040">
        <v>38578</v>
      </c>
      <c r="E1040">
        <v>33643</v>
      </c>
      <c r="F1040">
        <v>4935</v>
      </c>
      <c r="G1040" t="s">
        <v>13</v>
      </c>
      <c r="H1040" t="s">
        <v>31</v>
      </c>
      <c r="I1040" t="s">
        <v>24</v>
      </c>
      <c r="J1040" s="2">
        <f>Table1[[#This Row],[Profit]]/Table1[[#This Row],[Sales]]*100</f>
        <v>12.792265021514854</v>
      </c>
      <c r="K1040" t="str">
        <f>IF(Table1[[#This Row],[Sales]]&gt;=30000,"High", IF(Table1[[#This Row],[Sales]]&gt;=15000,"Medium","Low"))</f>
        <v>High</v>
      </c>
      <c r="L1040" t="str">
        <f>TEXT(Table1[[#This Row],[Order_Date]],"MMM")</f>
        <v>Oct</v>
      </c>
      <c r="M1040" t="str">
        <f>IF(Table1[[#This Row],[Profit]]&gt;=10000,"Excellent",IF(Table1[[#This Row],[Profit]]&gt;5000,"Good","Low"))</f>
        <v>Low</v>
      </c>
      <c r="N1040" t="str">
        <f>TEXT(Table1[[#This Row],[Order_Date]],"YYYY")</f>
        <v>2024</v>
      </c>
    </row>
    <row r="1041" spans="1:14" x14ac:dyDescent="0.25">
      <c r="A1041" s="1">
        <v>45260</v>
      </c>
      <c r="B1041" t="s">
        <v>11</v>
      </c>
      <c r="C1041" t="s">
        <v>33</v>
      </c>
      <c r="D1041">
        <v>48092</v>
      </c>
      <c r="E1041">
        <v>31990</v>
      </c>
      <c r="F1041">
        <v>16102</v>
      </c>
      <c r="G1041" t="s">
        <v>38</v>
      </c>
      <c r="H1041" t="s">
        <v>28</v>
      </c>
      <c r="I1041" t="s">
        <v>15</v>
      </c>
      <c r="J1041" s="2">
        <f>Table1[[#This Row],[Profit]]/Table1[[#This Row],[Sales]]*100</f>
        <v>33.481660151376531</v>
      </c>
      <c r="K1041" t="str">
        <f>IF(Table1[[#This Row],[Sales]]&gt;=30000,"High", IF(Table1[[#This Row],[Sales]]&gt;=15000,"Medium","Low"))</f>
        <v>High</v>
      </c>
      <c r="L1041" t="str">
        <f>TEXT(Table1[[#This Row],[Order_Date]],"MMM")</f>
        <v>Nov</v>
      </c>
      <c r="M1041" t="str">
        <f>IF(Table1[[#This Row],[Profit]]&gt;=10000,"Excellent",IF(Table1[[#This Row],[Profit]]&gt;5000,"Good","Low"))</f>
        <v>Excellent</v>
      </c>
      <c r="N1041" t="str">
        <f>TEXT(Table1[[#This Row],[Order_Date]],"YYYY")</f>
        <v>2023</v>
      </c>
    </row>
    <row r="1042" spans="1:14" x14ac:dyDescent="0.25">
      <c r="A1042" s="1">
        <v>45319</v>
      </c>
      <c r="B1042" t="s">
        <v>22</v>
      </c>
      <c r="C1042" t="s">
        <v>36</v>
      </c>
      <c r="D1042">
        <v>35452</v>
      </c>
      <c r="E1042">
        <v>26259</v>
      </c>
      <c r="F1042">
        <v>9193</v>
      </c>
      <c r="G1042" t="s">
        <v>19</v>
      </c>
      <c r="H1042" t="s">
        <v>78</v>
      </c>
      <c r="I1042" t="s">
        <v>42</v>
      </c>
      <c r="J1042" s="2">
        <f>Table1[[#This Row],[Profit]]/Table1[[#This Row],[Sales]]*100</f>
        <v>25.93083606002482</v>
      </c>
      <c r="K1042" t="str">
        <f>IF(Table1[[#This Row],[Sales]]&gt;=30000,"High", IF(Table1[[#This Row],[Sales]]&gt;=15000,"Medium","Low"))</f>
        <v>High</v>
      </c>
      <c r="L1042" t="str">
        <f>TEXT(Table1[[#This Row],[Order_Date]],"MMM")</f>
        <v>Jan</v>
      </c>
      <c r="M1042" t="str">
        <f>IF(Table1[[#This Row],[Profit]]&gt;=10000,"Excellent",IF(Table1[[#This Row],[Profit]]&gt;5000,"Good","Low"))</f>
        <v>Good</v>
      </c>
      <c r="N1042" t="str">
        <f>TEXT(Table1[[#This Row],[Order_Date]],"YYYY")</f>
        <v>2024</v>
      </c>
    </row>
    <row r="1043" spans="1:14" x14ac:dyDescent="0.25">
      <c r="A1043" s="1">
        <v>45780</v>
      </c>
      <c r="B1043" t="s">
        <v>44</v>
      </c>
      <c r="C1043" t="s">
        <v>41</v>
      </c>
      <c r="D1043">
        <v>12237</v>
      </c>
      <c r="E1043">
        <v>4374</v>
      </c>
      <c r="F1043">
        <v>7863</v>
      </c>
      <c r="G1043" t="s">
        <v>19</v>
      </c>
      <c r="H1043" t="s">
        <v>34</v>
      </c>
      <c r="I1043" t="s">
        <v>42</v>
      </c>
      <c r="J1043" s="2">
        <f>Table1[[#This Row],[Profit]]/Table1[[#This Row],[Sales]]*100</f>
        <v>64.255945084579551</v>
      </c>
      <c r="K1043" t="str">
        <f>IF(Table1[[#This Row],[Sales]]&gt;=30000,"High", IF(Table1[[#This Row],[Sales]]&gt;=15000,"Medium","Low"))</f>
        <v>Low</v>
      </c>
      <c r="L1043" t="str">
        <f>TEXT(Table1[[#This Row],[Order_Date]],"MMM")</f>
        <v>May</v>
      </c>
      <c r="M1043" t="str">
        <f>IF(Table1[[#This Row],[Profit]]&gt;=10000,"Excellent",IF(Table1[[#This Row],[Profit]]&gt;5000,"Good","Low"))</f>
        <v>Good</v>
      </c>
      <c r="N1043" t="str">
        <f>TEXT(Table1[[#This Row],[Order_Date]],"YYYY")</f>
        <v>2025</v>
      </c>
    </row>
    <row r="1044" spans="1:14" x14ac:dyDescent="0.25">
      <c r="A1044" s="1">
        <v>45497</v>
      </c>
      <c r="B1044" t="s">
        <v>44</v>
      </c>
      <c r="C1044" t="s">
        <v>36</v>
      </c>
      <c r="D1044">
        <v>43889</v>
      </c>
      <c r="E1044">
        <v>35521</v>
      </c>
      <c r="F1044">
        <v>8368</v>
      </c>
      <c r="G1044" t="s">
        <v>13</v>
      </c>
      <c r="H1044" t="s">
        <v>14</v>
      </c>
      <c r="I1044" t="s">
        <v>29</v>
      </c>
      <c r="J1044" s="2">
        <f>Table1[[#This Row],[Profit]]/Table1[[#This Row],[Sales]]*100</f>
        <v>19.066280844858621</v>
      </c>
      <c r="K1044" t="str">
        <f>IF(Table1[[#This Row],[Sales]]&gt;=30000,"High", IF(Table1[[#This Row],[Sales]]&gt;=15000,"Medium","Low"))</f>
        <v>High</v>
      </c>
      <c r="L1044" t="str">
        <f>TEXT(Table1[[#This Row],[Order_Date]],"MMM")</f>
        <v>Jul</v>
      </c>
      <c r="M1044" t="str">
        <f>IF(Table1[[#This Row],[Profit]]&gt;=10000,"Excellent",IF(Table1[[#This Row],[Profit]]&gt;5000,"Good","Low"))</f>
        <v>Good</v>
      </c>
      <c r="N1044" t="str">
        <f>TEXT(Table1[[#This Row],[Order_Date]],"YYYY")</f>
        <v>2024</v>
      </c>
    </row>
    <row r="1045" spans="1:14" x14ac:dyDescent="0.25">
      <c r="A1045" s="1">
        <v>46106</v>
      </c>
      <c r="B1045" t="s">
        <v>26</v>
      </c>
      <c r="C1045" t="s">
        <v>18</v>
      </c>
      <c r="D1045">
        <v>44023</v>
      </c>
      <c r="E1045">
        <v>26038</v>
      </c>
      <c r="F1045">
        <v>17985</v>
      </c>
      <c r="G1045" t="s">
        <v>13</v>
      </c>
      <c r="H1045" t="s">
        <v>28</v>
      </c>
      <c r="I1045" t="s">
        <v>42</v>
      </c>
      <c r="J1045" s="2">
        <f>Table1[[#This Row],[Profit]]/Table1[[#This Row],[Sales]]*100</f>
        <v>40.853644685732462</v>
      </c>
      <c r="K1045" t="str">
        <f>IF(Table1[[#This Row],[Sales]]&gt;=30000,"High", IF(Table1[[#This Row],[Sales]]&gt;=15000,"Medium","Low"))</f>
        <v>High</v>
      </c>
      <c r="L1045" t="str">
        <f>TEXT(Table1[[#This Row],[Order_Date]],"MMM")</f>
        <v>Mar</v>
      </c>
      <c r="M1045" t="str">
        <f>IF(Table1[[#This Row],[Profit]]&gt;=10000,"Excellent",IF(Table1[[#This Row],[Profit]]&gt;5000,"Good","Low"))</f>
        <v>Excellent</v>
      </c>
      <c r="N1045" t="str">
        <f>TEXT(Table1[[#This Row],[Order_Date]],"YYYY")</f>
        <v>2026</v>
      </c>
    </row>
    <row r="1046" spans="1:14" x14ac:dyDescent="0.25">
      <c r="A1046" s="1">
        <v>45989</v>
      </c>
      <c r="B1046" t="s">
        <v>11</v>
      </c>
      <c r="C1046" t="s">
        <v>33</v>
      </c>
      <c r="D1046">
        <v>38283</v>
      </c>
      <c r="E1046">
        <v>20294</v>
      </c>
      <c r="F1046">
        <v>17989</v>
      </c>
      <c r="G1046" t="s">
        <v>27</v>
      </c>
      <c r="H1046" t="s">
        <v>78</v>
      </c>
      <c r="I1046" t="s">
        <v>24</v>
      </c>
      <c r="J1046" s="2">
        <f>Table1[[#This Row],[Profit]]/Table1[[#This Row],[Sales]]*100</f>
        <v>46.989525376799101</v>
      </c>
      <c r="K1046" t="str">
        <f>IF(Table1[[#This Row],[Sales]]&gt;=30000,"High", IF(Table1[[#This Row],[Sales]]&gt;=15000,"Medium","Low"))</f>
        <v>High</v>
      </c>
      <c r="L1046" t="str">
        <f>TEXT(Table1[[#This Row],[Order_Date]],"MMM")</f>
        <v>Nov</v>
      </c>
      <c r="M1046" t="str">
        <f>IF(Table1[[#This Row],[Profit]]&gt;=10000,"Excellent",IF(Table1[[#This Row],[Profit]]&gt;5000,"Good","Low"))</f>
        <v>Excellent</v>
      </c>
      <c r="N1046" t="str">
        <f>TEXT(Table1[[#This Row],[Order_Date]],"YYYY")</f>
        <v>2025</v>
      </c>
    </row>
    <row r="1047" spans="1:14" x14ac:dyDescent="0.25">
      <c r="A1047" s="1">
        <v>45143</v>
      </c>
      <c r="B1047" t="s">
        <v>26</v>
      </c>
      <c r="C1047" t="s">
        <v>18</v>
      </c>
      <c r="D1047">
        <v>15514</v>
      </c>
      <c r="E1047">
        <v>8908</v>
      </c>
      <c r="F1047">
        <v>6606</v>
      </c>
      <c r="G1047" t="s">
        <v>27</v>
      </c>
      <c r="H1047" t="s">
        <v>63</v>
      </c>
      <c r="I1047" t="s">
        <v>15</v>
      </c>
      <c r="J1047" s="2">
        <f>Table1[[#This Row],[Profit]]/Table1[[#This Row],[Sales]]*100</f>
        <v>42.580894675776719</v>
      </c>
      <c r="K1047" t="str">
        <f>IF(Table1[[#This Row],[Sales]]&gt;=30000,"High", IF(Table1[[#This Row],[Sales]]&gt;=15000,"Medium","Low"))</f>
        <v>Medium</v>
      </c>
      <c r="L1047" t="str">
        <f>TEXT(Table1[[#This Row],[Order_Date]],"MMM")</f>
        <v>Aug</v>
      </c>
      <c r="M1047" t="str">
        <f>IF(Table1[[#This Row],[Profit]]&gt;=10000,"Excellent",IF(Table1[[#This Row],[Profit]]&gt;5000,"Good","Low"))</f>
        <v>Good</v>
      </c>
      <c r="N1047" t="str">
        <f>TEXT(Table1[[#This Row],[Order_Date]],"YYYY")</f>
        <v>2023</v>
      </c>
    </row>
    <row r="1048" spans="1:14" x14ac:dyDescent="0.25">
      <c r="A1048" s="1">
        <v>45894</v>
      </c>
      <c r="B1048" t="s">
        <v>22</v>
      </c>
      <c r="C1048" t="s">
        <v>12</v>
      </c>
      <c r="D1048">
        <v>8819</v>
      </c>
      <c r="E1048">
        <v>2578</v>
      </c>
      <c r="F1048">
        <v>6241</v>
      </c>
      <c r="G1048" t="s">
        <v>38</v>
      </c>
      <c r="H1048" t="s">
        <v>78</v>
      </c>
      <c r="I1048" t="s">
        <v>24</v>
      </c>
      <c r="J1048" s="2">
        <f>Table1[[#This Row],[Profit]]/Table1[[#This Row],[Sales]]*100</f>
        <v>70.767660732509356</v>
      </c>
      <c r="K1048" t="str">
        <f>IF(Table1[[#This Row],[Sales]]&gt;=30000,"High", IF(Table1[[#This Row],[Sales]]&gt;=15000,"Medium","Low"))</f>
        <v>Low</v>
      </c>
      <c r="L1048" t="str">
        <f>TEXT(Table1[[#This Row],[Order_Date]],"MMM")</f>
        <v>Aug</v>
      </c>
      <c r="M1048" t="str">
        <f>IF(Table1[[#This Row],[Profit]]&gt;=10000,"Excellent",IF(Table1[[#This Row],[Profit]]&gt;5000,"Good","Low"))</f>
        <v>Good</v>
      </c>
      <c r="N1048" t="str">
        <f>TEXT(Table1[[#This Row],[Order_Date]],"YYYY")</f>
        <v>2025</v>
      </c>
    </row>
    <row r="1049" spans="1:14" x14ac:dyDescent="0.25">
      <c r="A1049" s="1">
        <v>45680</v>
      </c>
      <c r="B1049" t="s">
        <v>26</v>
      </c>
      <c r="C1049" t="s">
        <v>12</v>
      </c>
      <c r="D1049">
        <v>28428</v>
      </c>
      <c r="E1049">
        <v>18183</v>
      </c>
      <c r="F1049">
        <v>10245</v>
      </c>
      <c r="G1049" t="s">
        <v>13</v>
      </c>
      <c r="H1049" t="s">
        <v>20</v>
      </c>
      <c r="I1049" t="s">
        <v>29</v>
      </c>
      <c r="J1049" s="2">
        <f>Table1[[#This Row],[Profit]]/Table1[[#This Row],[Sales]]*100</f>
        <v>36.038412832418743</v>
      </c>
      <c r="K1049" t="str">
        <f>IF(Table1[[#This Row],[Sales]]&gt;=30000,"High", IF(Table1[[#This Row],[Sales]]&gt;=15000,"Medium","Low"))</f>
        <v>Medium</v>
      </c>
      <c r="L1049" t="str">
        <f>TEXT(Table1[[#This Row],[Order_Date]],"MMM")</f>
        <v>Jan</v>
      </c>
      <c r="M1049" t="str">
        <f>IF(Table1[[#This Row],[Profit]]&gt;=10000,"Excellent",IF(Table1[[#This Row],[Profit]]&gt;5000,"Good","Low"))</f>
        <v>Excellent</v>
      </c>
      <c r="N1049" t="str">
        <f>TEXT(Table1[[#This Row],[Order_Date]],"YYYY")</f>
        <v>2025</v>
      </c>
    </row>
    <row r="1050" spans="1:14" x14ac:dyDescent="0.25">
      <c r="A1050" s="1">
        <v>45700</v>
      </c>
      <c r="B1050" t="s">
        <v>22</v>
      </c>
      <c r="C1050" t="s">
        <v>18</v>
      </c>
      <c r="D1050">
        <v>28537</v>
      </c>
      <c r="E1050">
        <v>26795</v>
      </c>
      <c r="F1050">
        <v>1742</v>
      </c>
      <c r="G1050" t="s">
        <v>38</v>
      </c>
      <c r="H1050" t="s">
        <v>34</v>
      </c>
      <c r="I1050" t="s">
        <v>24</v>
      </c>
      <c r="J1050" s="2">
        <f>Table1[[#This Row],[Profit]]/Table1[[#This Row],[Sales]]*100</f>
        <v>6.1043557486771558</v>
      </c>
      <c r="K1050" t="str">
        <f>IF(Table1[[#This Row],[Sales]]&gt;=30000,"High", IF(Table1[[#This Row],[Sales]]&gt;=15000,"Medium","Low"))</f>
        <v>Medium</v>
      </c>
      <c r="L1050" t="str">
        <f>TEXT(Table1[[#This Row],[Order_Date]],"MMM")</f>
        <v>Feb</v>
      </c>
      <c r="M1050" t="str">
        <f>IF(Table1[[#This Row],[Profit]]&gt;=10000,"Excellent",IF(Table1[[#This Row],[Profit]]&gt;5000,"Good","Low"))</f>
        <v>Low</v>
      </c>
      <c r="N1050" t="str">
        <f>TEXT(Table1[[#This Row],[Order_Date]],"YYYY")</f>
        <v>2025</v>
      </c>
    </row>
    <row r="1051" spans="1:14" x14ac:dyDescent="0.25">
      <c r="A1051" s="1">
        <v>45375</v>
      </c>
      <c r="B1051" t="s">
        <v>44</v>
      </c>
      <c r="C1051" t="s">
        <v>18</v>
      </c>
      <c r="D1051">
        <v>13636</v>
      </c>
      <c r="E1051">
        <v>10409</v>
      </c>
      <c r="F1051">
        <v>3227</v>
      </c>
      <c r="G1051" t="s">
        <v>38</v>
      </c>
      <c r="H1051" t="s">
        <v>31</v>
      </c>
      <c r="I1051" t="s">
        <v>29</v>
      </c>
      <c r="J1051" s="2">
        <f>Table1[[#This Row],[Profit]]/Table1[[#This Row],[Sales]]*100</f>
        <v>23.6652977412731</v>
      </c>
      <c r="K1051" t="str">
        <f>IF(Table1[[#This Row],[Sales]]&gt;=30000,"High", IF(Table1[[#This Row],[Sales]]&gt;=15000,"Medium","Low"))</f>
        <v>Low</v>
      </c>
      <c r="L1051" t="str">
        <f>TEXT(Table1[[#This Row],[Order_Date]],"MMM")</f>
        <v>Mar</v>
      </c>
      <c r="M1051" t="str">
        <f>IF(Table1[[#This Row],[Profit]]&gt;=10000,"Excellent",IF(Table1[[#This Row],[Profit]]&gt;5000,"Good","Low"))</f>
        <v>Low</v>
      </c>
      <c r="N1051" t="str">
        <f>TEXT(Table1[[#This Row],[Order_Date]],"YYYY")</f>
        <v>2024</v>
      </c>
    </row>
    <row r="1052" spans="1:14" x14ac:dyDescent="0.25">
      <c r="A1052" s="1">
        <v>45955</v>
      </c>
      <c r="B1052" t="s">
        <v>11</v>
      </c>
      <c r="C1052" t="s">
        <v>12</v>
      </c>
      <c r="D1052">
        <v>31207</v>
      </c>
      <c r="E1052">
        <v>28504</v>
      </c>
      <c r="F1052">
        <v>2703</v>
      </c>
      <c r="G1052" t="s">
        <v>38</v>
      </c>
      <c r="H1052" t="s">
        <v>28</v>
      </c>
      <c r="I1052" t="s">
        <v>29</v>
      </c>
      <c r="J1052" s="2">
        <f>Table1[[#This Row],[Profit]]/Table1[[#This Row],[Sales]]*100</f>
        <v>8.6615182491107756</v>
      </c>
      <c r="K1052" t="str">
        <f>IF(Table1[[#This Row],[Sales]]&gt;=30000,"High", IF(Table1[[#This Row],[Sales]]&gt;=15000,"Medium","Low"))</f>
        <v>High</v>
      </c>
      <c r="L1052" t="str">
        <f>TEXT(Table1[[#This Row],[Order_Date]],"MMM")</f>
        <v>Oct</v>
      </c>
      <c r="M1052" t="str">
        <f>IF(Table1[[#This Row],[Profit]]&gt;=10000,"Excellent",IF(Table1[[#This Row],[Profit]]&gt;5000,"Good","Low"))</f>
        <v>Low</v>
      </c>
      <c r="N1052" t="str">
        <f>TEXT(Table1[[#This Row],[Order_Date]],"YYYY")</f>
        <v>2025</v>
      </c>
    </row>
    <row r="1053" spans="1:14" x14ac:dyDescent="0.25">
      <c r="A1053" s="1">
        <v>45211</v>
      </c>
      <c r="B1053" t="s">
        <v>44</v>
      </c>
      <c r="C1053" t="s">
        <v>41</v>
      </c>
      <c r="D1053">
        <v>49987</v>
      </c>
      <c r="E1053">
        <v>45005</v>
      </c>
      <c r="F1053">
        <v>4982</v>
      </c>
      <c r="G1053" t="s">
        <v>38</v>
      </c>
      <c r="H1053" t="s">
        <v>34</v>
      </c>
      <c r="I1053" t="s">
        <v>24</v>
      </c>
      <c r="J1053" s="2">
        <f>Table1[[#This Row],[Profit]]/Table1[[#This Row],[Sales]]*100</f>
        <v>9.9665913137415725</v>
      </c>
      <c r="K1053" t="str">
        <f>IF(Table1[[#This Row],[Sales]]&gt;=30000,"High", IF(Table1[[#This Row],[Sales]]&gt;=15000,"Medium","Low"))</f>
        <v>High</v>
      </c>
      <c r="L1053" t="str">
        <f>TEXT(Table1[[#This Row],[Order_Date]],"MMM")</f>
        <v>Oct</v>
      </c>
      <c r="M1053" t="str">
        <f>IF(Table1[[#This Row],[Profit]]&gt;=10000,"Excellent",IF(Table1[[#This Row],[Profit]]&gt;5000,"Good","Low"))</f>
        <v>Low</v>
      </c>
      <c r="N1053" t="str">
        <f>TEXT(Table1[[#This Row],[Order_Date]],"YYYY")</f>
        <v>2023</v>
      </c>
    </row>
    <row r="1054" spans="1:14" x14ac:dyDescent="0.25">
      <c r="A1054" s="1">
        <v>45656</v>
      </c>
      <c r="B1054" t="s">
        <v>44</v>
      </c>
      <c r="C1054" t="s">
        <v>41</v>
      </c>
      <c r="D1054">
        <v>25177</v>
      </c>
      <c r="E1054">
        <v>11558</v>
      </c>
      <c r="F1054">
        <v>13619</v>
      </c>
      <c r="G1054" t="s">
        <v>38</v>
      </c>
      <c r="H1054" t="s">
        <v>20</v>
      </c>
      <c r="I1054" t="s">
        <v>42</v>
      </c>
      <c r="J1054" s="2">
        <f>Table1[[#This Row],[Profit]]/Table1[[#This Row],[Sales]]*100</f>
        <v>54.093021408428335</v>
      </c>
      <c r="K1054" t="str">
        <f>IF(Table1[[#This Row],[Sales]]&gt;=30000,"High", IF(Table1[[#This Row],[Sales]]&gt;=15000,"Medium","Low"))</f>
        <v>Medium</v>
      </c>
      <c r="L1054" t="str">
        <f>TEXT(Table1[[#This Row],[Order_Date]],"MMM")</f>
        <v>Dec</v>
      </c>
      <c r="M1054" t="str">
        <f>IF(Table1[[#This Row],[Profit]]&gt;=10000,"Excellent",IF(Table1[[#This Row],[Profit]]&gt;5000,"Good","Low"))</f>
        <v>Excellent</v>
      </c>
      <c r="N1054" t="str">
        <f>TEXT(Table1[[#This Row],[Order_Date]],"YYYY")</f>
        <v>2024</v>
      </c>
    </row>
    <row r="1055" spans="1:14" x14ac:dyDescent="0.25">
      <c r="A1055" s="1">
        <v>45201</v>
      </c>
      <c r="B1055" t="s">
        <v>26</v>
      </c>
      <c r="C1055" t="s">
        <v>41</v>
      </c>
      <c r="D1055">
        <v>42707</v>
      </c>
      <c r="E1055">
        <v>28509</v>
      </c>
      <c r="F1055">
        <v>14198</v>
      </c>
      <c r="G1055" t="s">
        <v>19</v>
      </c>
      <c r="H1055" t="s">
        <v>78</v>
      </c>
      <c r="I1055" t="s">
        <v>15</v>
      </c>
      <c r="J1055" s="2">
        <f>Table1[[#This Row],[Profit]]/Table1[[#This Row],[Sales]]*100</f>
        <v>33.245135457887464</v>
      </c>
      <c r="K1055" t="str">
        <f>IF(Table1[[#This Row],[Sales]]&gt;=30000,"High", IF(Table1[[#This Row],[Sales]]&gt;=15000,"Medium","Low"))</f>
        <v>High</v>
      </c>
      <c r="L1055" t="str">
        <f>TEXT(Table1[[#This Row],[Order_Date]],"MMM")</f>
        <v>Oct</v>
      </c>
      <c r="M1055" t="str">
        <f>IF(Table1[[#This Row],[Profit]]&gt;=10000,"Excellent",IF(Table1[[#This Row],[Profit]]&gt;5000,"Good","Low"))</f>
        <v>Excellent</v>
      </c>
      <c r="N1055" t="str">
        <f>TEXT(Table1[[#This Row],[Order_Date]],"YYYY")</f>
        <v>2023</v>
      </c>
    </row>
    <row r="1056" spans="1:14" x14ac:dyDescent="0.25">
      <c r="A1056" s="1">
        <v>45896</v>
      </c>
      <c r="B1056" t="s">
        <v>44</v>
      </c>
      <c r="C1056" t="s">
        <v>41</v>
      </c>
      <c r="D1056">
        <v>29967</v>
      </c>
      <c r="E1056">
        <v>18383</v>
      </c>
      <c r="F1056">
        <v>11584</v>
      </c>
      <c r="G1056" t="s">
        <v>27</v>
      </c>
      <c r="H1056" t="s">
        <v>23</v>
      </c>
      <c r="I1056" t="s">
        <v>42</v>
      </c>
      <c r="J1056" s="2">
        <f>Table1[[#This Row],[Profit]]/Table1[[#This Row],[Sales]]*100</f>
        <v>38.655854773584274</v>
      </c>
      <c r="K1056" t="str">
        <f>IF(Table1[[#This Row],[Sales]]&gt;=30000,"High", IF(Table1[[#This Row],[Sales]]&gt;=15000,"Medium","Low"))</f>
        <v>Medium</v>
      </c>
      <c r="L1056" t="str">
        <f>TEXT(Table1[[#This Row],[Order_Date]],"MMM")</f>
        <v>Aug</v>
      </c>
      <c r="M1056" t="str">
        <f>IF(Table1[[#This Row],[Profit]]&gt;=10000,"Excellent",IF(Table1[[#This Row],[Profit]]&gt;5000,"Good","Low"))</f>
        <v>Excellent</v>
      </c>
      <c r="N1056" t="str">
        <f>TEXT(Table1[[#This Row],[Order_Date]],"YYYY")</f>
        <v>2025</v>
      </c>
    </row>
    <row r="1057" spans="1:14" x14ac:dyDescent="0.25">
      <c r="A1057" s="1">
        <v>45607</v>
      </c>
      <c r="B1057" t="s">
        <v>44</v>
      </c>
      <c r="C1057" t="s">
        <v>12</v>
      </c>
      <c r="D1057">
        <v>40269</v>
      </c>
      <c r="E1057">
        <v>26506</v>
      </c>
      <c r="F1057">
        <v>13763</v>
      </c>
      <c r="G1057" t="s">
        <v>38</v>
      </c>
      <c r="H1057" t="s">
        <v>63</v>
      </c>
      <c r="I1057" t="s">
        <v>29</v>
      </c>
      <c r="J1057" s="2">
        <f>Table1[[#This Row],[Profit]]/Table1[[#This Row],[Sales]]*100</f>
        <v>34.177655268320542</v>
      </c>
      <c r="K1057" t="str">
        <f>IF(Table1[[#This Row],[Sales]]&gt;=30000,"High", IF(Table1[[#This Row],[Sales]]&gt;=15000,"Medium","Low"))</f>
        <v>High</v>
      </c>
      <c r="L1057" t="str">
        <f>TEXT(Table1[[#This Row],[Order_Date]],"MMM")</f>
        <v>Nov</v>
      </c>
      <c r="M1057" t="str">
        <f>IF(Table1[[#This Row],[Profit]]&gt;=10000,"Excellent",IF(Table1[[#This Row],[Profit]]&gt;5000,"Good","Low"))</f>
        <v>Excellent</v>
      </c>
      <c r="N1057" t="str">
        <f>TEXT(Table1[[#This Row],[Order_Date]],"YYYY")</f>
        <v>2024</v>
      </c>
    </row>
    <row r="1058" spans="1:14" x14ac:dyDescent="0.25">
      <c r="A1058" s="1">
        <v>46175</v>
      </c>
      <c r="B1058" t="s">
        <v>17</v>
      </c>
      <c r="C1058" t="s">
        <v>12</v>
      </c>
      <c r="D1058">
        <v>15121</v>
      </c>
      <c r="E1058">
        <v>1040</v>
      </c>
      <c r="F1058">
        <v>14081</v>
      </c>
      <c r="G1058" t="s">
        <v>27</v>
      </c>
      <c r="H1058" t="s">
        <v>14</v>
      </c>
      <c r="I1058" t="s">
        <v>53</v>
      </c>
      <c r="J1058" s="2">
        <f>Table1[[#This Row],[Profit]]/Table1[[#This Row],[Sales]]*100</f>
        <v>93.122148006084245</v>
      </c>
      <c r="K1058" t="str">
        <f>IF(Table1[[#This Row],[Sales]]&gt;=30000,"High", IF(Table1[[#This Row],[Sales]]&gt;=15000,"Medium","Low"))</f>
        <v>Medium</v>
      </c>
      <c r="L1058" t="str">
        <f>TEXT(Table1[[#This Row],[Order_Date]],"MMM")</f>
        <v>Jun</v>
      </c>
      <c r="M1058" t="str">
        <f>IF(Table1[[#This Row],[Profit]]&gt;=10000,"Excellent",IF(Table1[[#This Row],[Profit]]&gt;5000,"Good","Low"))</f>
        <v>Excellent</v>
      </c>
      <c r="N1058" t="str">
        <f>TEXT(Table1[[#This Row],[Order_Date]],"YYYY")</f>
        <v>2026</v>
      </c>
    </row>
    <row r="1059" spans="1:14" x14ac:dyDescent="0.25">
      <c r="A1059" s="1">
        <v>46108</v>
      </c>
      <c r="B1059" t="s">
        <v>26</v>
      </c>
      <c r="C1059" t="s">
        <v>18</v>
      </c>
      <c r="D1059">
        <v>6026</v>
      </c>
      <c r="E1059">
        <v>2730</v>
      </c>
      <c r="F1059">
        <v>3296</v>
      </c>
      <c r="G1059" t="s">
        <v>19</v>
      </c>
      <c r="H1059" t="s">
        <v>63</v>
      </c>
      <c r="I1059" t="s">
        <v>53</v>
      </c>
      <c r="J1059" s="2">
        <f>Table1[[#This Row],[Profit]]/Table1[[#This Row],[Sales]]*100</f>
        <v>54.696315964155332</v>
      </c>
      <c r="K1059" t="str">
        <f>IF(Table1[[#This Row],[Sales]]&gt;=30000,"High", IF(Table1[[#This Row],[Sales]]&gt;=15000,"Medium","Low"))</f>
        <v>Low</v>
      </c>
      <c r="L1059" t="str">
        <f>TEXT(Table1[[#This Row],[Order_Date]],"MMM")</f>
        <v>Mar</v>
      </c>
      <c r="M1059" t="str">
        <f>IF(Table1[[#This Row],[Profit]]&gt;=10000,"Excellent",IF(Table1[[#This Row],[Profit]]&gt;5000,"Good","Low"))</f>
        <v>Low</v>
      </c>
      <c r="N1059" t="str">
        <f>TEXT(Table1[[#This Row],[Order_Date]],"YYYY")</f>
        <v>2026</v>
      </c>
    </row>
    <row r="1060" spans="1:14" x14ac:dyDescent="0.25">
      <c r="A1060" s="1">
        <v>45327</v>
      </c>
      <c r="B1060" t="s">
        <v>26</v>
      </c>
      <c r="C1060" t="s">
        <v>33</v>
      </c>
      <c r="D1060">
        <v>24708</v>
      </c>
      <c r="E1060">
        <v>15437</v>
      </c>
      <c r="F1060">
        <v>9271</v>
      </c>
      <c r="G1060" t="s">
        <v>19</v>
      </c>
      <c r="H1060" t="s">
        <v>34</v>
      </c>
      <c r="I1060" t="s">
        <v>29</v>
      </c>
      <c r="J1060" s="2">
        <f>Table1[[#This Row],[Profit]]/Table1[[#This Row],[Sales]]*100</f>
        <v>37.52225999676218</v>
      </c>
      <c r="K1060" t="str">
        <f>IF(Table1[[#This Row],[Sales]]&gt;=30000,"High", IF(Table1[[#This Row],[Sales]]&gt;=15000,"Medium","Low"))</f>
        <v>Medium</v>
      </c>
      <c r="L1060" t="str">
        <f>TEXT(Table1[[#This Row],[Order_Date]],"MMM")</f>
        <v>Feb</v>
      </c>
      <c r="M1060" t="str">
        <f>IF(Table1[[#This Row],[Profit]]&gt;=10000,"Excellent",IF(Table1[[#This Row],[Profit]]&gt;5000,"Good","Low"))</f>
        <v>Good</v>
      </c>
      <c r="N1060" t="str">
        <f>TEXT(Table1[[#This Row],[Order_Date]],"YYYY")</f>
        <v>2024</v>
      </c>
    </row>
    <row r="1061" spans="1:14" x14ac:dyDescent="0.25">
      <c r="A1061" s="1">
        <v>45695</v>
      </c>
      <c r="B1061" t="s">
        <v>22</v>
      </c>
      <c r="C1061" t="s">
        <v>33</v>
      </c>
      <c r="D1061">
        <v>48329</v>
      </c>
      <c r="E1061">
        <v>31346</v>
      </c>
      <c r="F1061">
        <v>16983</v>
      </c>
      <c r="G1061" t="s">
        <v>13</v>
      </c>
      <c r="H1061" t="s">
        <v>31</v>
      </c>
      <c r="I1061" t="s">
        <v>29</v>
      </c>
      <c r="J1061" s="2">
        <f>Table1[[#This Row],[Profit]]/Table1[[#This Row],[Sales]]*100</f>
        <v>35.140391897204573</v>
      </c>
      <c r="K1061" t="str">
        <f>IF(Table1[[#This Row],[Sales]]&gt;=30000,"High", IF(Table1[[#This Row],[Sales]]&gt;=15000,"Medium","Low"))</f>
        <v>High</v>
      </c>
      <c r="L1061" t="str">
        <f>TEXT(Table1[[#This Row],[Order_Date]],"MMM")</f>
        <v>Feb</v>
      </c>
      <c r="M1061" t="str">
        <f>IF(Table1[[#This Row],[Profit]]&gt;=10000,"Excellent",IF(Table1[[#This Row],[Profit]]&gt;5000,"Good","Low"))</f>
        <v>Excellent</v>
      </c>
      <c r="N1061" t="str">
        <f>TEXT(Table1[[#This Row],[Order_Date]],"YYYY")</f>
        <v>2025</v>
      </c>
    </row>
    <row r="1062" spans="1:14" x14ac:dyDescent="0.25">
      <c r="A1062" s="1">
        <v>45439</v>
      </c>
      <c r="B1062" t="s">
        <v>44</v>
      </c>
      <c r="C1062" t="s">
        <v>41</v>
      </c>
      <c r="D1062">
        <v>18562</v>
      </c>
      <c r="E1062">
        <v>9965</v>
      </c>
      <c r="F1062">
        <v>8597</v>
      </c>
      <c r="G1062" t="s">
        <v>19</v>
      </c>
      <c r="H1062" t="s">
        <v>23</v>
      </c>
      <c r="I1062" t="s">
        <v>29</v>
      </c>
      <c r="J1062" s="2">
        <f>Table1[[#This Row],[Profit]]/Table1[[#This Row],[Sales]]*100</f>
        <v>46.315052257299861</v>
      </c>
      <c r="K1062" t="str">
        <f>IF(Table1[[#This Row],[Sales]]&gt;=30000,"High", IF(Table1[[#This Row],[Sales]]&gt;=15000,"Medium","Low"))</f>
        <v>Medium</v>
      </c>
      <c r="L1062" t="str">
        <f>TEXT(Table1[[#This Row],[Order_Date]],"MMM")</f>
        <v>May</v>
      </c>
      <c r="M1062" t="str">
        <f>IF(Table1[[#This Row],[Profit]]&gt;=10000,"Excellent",IF(Table1[[#This Row],[Profit]]&gt;5000,"Good","Low"))</f>
        <v>Good</v>
      </c>
      <c r="N1062" t="str">
        <f>TEXT(Table1[[#This Row],[Order_Date]],"YYYY")</f>
        <v>2024</v>
      </c>
    </row>
    <row r="1063" spans="1:14" x14ac:dyDescent="0.25">
      <c r="A1063" s="1">
        <v>45761</v>
      </c>
      <c r="B1063" t="s">
        <v>26</v>
      </c>
      <c r="C1063" t="s">
        <v>12</v>
      </c>
      <c r="D1063">
        <v>13787</v>
      </c>
      <c r="E1063">
        <v>4606</v>
      </c>
      <c r="F1063">
        <v>9181</v>
      </c>
      <c r="G1063" t="s">
        <v>19</v>
      </c>
      <c r="H1063" t="s">
        <v>45</v>
      </c>
      <c r="I1063" t="s">
        <v>42</v>
      </c>
      <c r="J1063" s="2">
        <f>Table1[[#This Row],[Profit]]/Table1[[#This Row],[Sales]]*100</f>
        <v>66.591716834699355</v>
      </c>
      <c r="K1063" t="str">
        <f>IF(Table1[[#This Row],[Sales]]&gt;=30000,"High", IF(Table1[[#This Row],[Sales]]&gt;=15000,"Medium","Low"))</f>
        <v>Low</v>
      </c>
      <c r="L1063" t="str">
        <f>TEXT(Table1[[#This Row],[Order_Date]],"MMM")</f>
        <v>Apr</v>
      </c>
      <c r="M1063" t="str">
        <f>IF(Table1[[#This Row],[Profit]]&gt;=10000,"Excellent",IF(Table1[[#This Row],[Profit]]&gt;5000,"Good","Low"))</f>
        <v>Good</v>
      </c>
      <c r="N1063" t="str">
        <f>TEXT(Table1[[#This Row],[Order_Date]],"YYYY")</f>
        <v>2025</v>
      </c>
    </row>
    <row r="1064" spans="1:14" x14ac:dyDescent="0.25">
      <c r="A1064" s="1">
        <v>46141</v>
      </c>
      <c r="B1064" t="s">
        <v>17</v>
      </c>
      <c r="C1064" t="s">
        <v>36</v>
      </c>
      <c r="D1064">
        <v>21553</v>
      </c>
      <c r="E1064">
        <v>17534</v>
      </c>
      <c r="F1064">
        <v>4019</v>
      </c>
      <c r="G1064" t="s">
        <v>27</v>
      </c>
      <c r="H1064" t="s">
        <v>45</v>
      </c>
      <c r="I1064" t="s">
        <v>53</v>
      </c>
      <c r="J1064" s="2">
        <f>Table1[[#This Row],[Profit]]/Table1[[#This Row],[Sales]]*100</f>
        <v>18.647056094279218</v>
      </c>
      <c r="K1064" t="str">
        <f>IF(Table1[[#This Row],[Sales]]&gt;=30000,"High", IF(Table1[[#This Row],[Sales]]&gt;=15000,"Medium","Low"))</f>
        <v>Medium</v>
      </c>
      <c r="L1064" t="str">
        <f>TEXT(Table1[[#This Row],[Order_Date]],"MMM")</f>
        <v>Apr</v>
      </c>
      <c r="M1064" t="str">
        <f>IF(Table1[[#This Row],[Profit]]&gt;=10000,"Excellent",IF(Table1[[#This Row],[Profit]]&gt;5000,"Good","Low"))</f>
        <v>Low</v>
      </c>
      <c r="N1064" t="str">
        <f>TEXT(Table1[[#This Row],[Order_Date]],"YYYY")</f>
        <v>2026</v>
      </c>
    </row>
    <row r="1065" spans="1:14" x14ac:dyDescent="0.25">
      <c r="A1065" s="1">
        <v>46007</v>
      </c>
      <c r="B1065" t="s">
        <v>26</v>
      </c>
      <c r="C1065" t="s">
        <v>33</v>
      </c>
      <c r="D1065">
        <v>15181</v>
      </c>
      <c r="E1065">
        <v>11101</v>
      </c>
      <c r="F1065">
        <v>4080</v>
      </c>
      <c r="G1065" t="s">
        <v>38</v>
      </c>
      <c r="H1065" t="s">
        <v>60</v>
      </c>
      <c r="I1065" t="s">
        <v>15</v>
      </c>
      <c r="J1065" s="2">
        <f>Table1[[#This Row],[Profit]]/Table1[[#This Row],[Sales]]*100</f>
        <v>26.875699888017916</v>
      </c>
      <c r="K1065" t="str">
        <f>IF(Table1[[#This Row],[Sales]]&gt;=30000,"High", IF(Table1[[#This Row],[Sales]]&gt;=15000,"Medium","Low"))</f>
        <v>Medium</v>
      </c>
      <c r="L1065" t="str">
        <f>TEXT(Table1[[#This Row],[Order_Date]],"MMM")</f>
        <v>Dec</v>
      </c>
      <c r="M1065" t="str">
        <f>IF(Table1[[#This Row],[Profit]]&gt;=10000,"Excellent",IF(Table1[[#This Row],[Profit]]&gt;5000,"Good","Low"))</f>
        <v>Low</v>
      </c>
      <c r="N1065" t="str">
        <f>TEXT(Table1[[#This Row],[Order_Date]],"YYYY")</f>
        <v>2025</v>
      </c>
    </row>
    <row r="1066" spans="1:14" x14ac:dyDescent="0.25">
      <c r="A1066" s="1">
        <v>45707</v>
      </c>
      <c r="B1066" t="s">
        <v>44</v>
      </c>
      <c r="C1066" t="s">
        <v>33</v>
      </c>
      <c r="D1066">
        <v>18073</v>
      </c>
      <c r="E1066">
        <v>4704</v>
      </c>
      <c r="F1066">
        <v>13369</v>
      </c>
      <c r="G1066" t="s">
        <v>13</v>
      </c>
      <c r="H1066" t="s">
        <v>60</v>
      </c>
      <c r="I1066" t="s">
        <v>15</v>
      </c>
      <c r="J1066" s="2">
        <f>Table1[[#This Row],[Profit]]/Table1[[#This Row],[Sales]]*100</f>
        <v>73.972223759198812</v>
      </c>
      <c r="K1066" t="str">
        <f>IF(Table1[[#This Row],[Sales]]&gt;=30000,"High", IF(Table1[[#This Row],[Sales]]&gt;=15000,"Medium","Low"))</f>
        <v>Medium</v>
      </c>
      <c r="L1066" t="str">
        <f>TEXT(Table1[[#This Row],[Order_Date]],"MMM")</f>
        <v>Feb</v>
      </c>
      <c r="M1066" t="str">
        <f>IF(Table1[[#This Row],[Profit]]&gt;=10000,"Excellent",IF(Table1[[#This Row],[Profit]]&gt;5000,"Good","Low"))</f>
        <v>Excellent</v>
      </c>
      <c r="N1066" t="str">
        <f>TEXT(Table1[[#This Row],[Order_Date]],"YYYY")</f>
        <v>2025</v>
      </c>
    </row>
    <row r="1067" spans="1:14" x14ac:dyDescent="0.25">
      <c r="A1067" s="1">
        <v>45593</v>
      </c>
      <c r="B1067" t="s">
        <v>22</v>
      </c>
      <c r="C1067" t="s">
        <v>36</v>
      </c>
      <c r="D1067">
        <v>14180</v>
      </c>
      <c r="E1067">
        <v>6078</v>
      </c>
      <c r="F1067">
        <v>8102</v>
      </c>
      <c r="G1067" t="s">
        <v>38</v>
      </c>
      <c r="H1067" t="s">
        <v>31</v>
      </c>
      <c r="I1067" t="s">
        <v>53</v>
      </c>
      <c r="J1067" s="2">
        <f>Table1[[#This Row],[Profit]]/Table1[[#This Row],[Sales]]*100</f>
        <v>57.136812411847671</v>
      </c>
      <c r="K1067" t="str">
        <f>IF(Table1[[#This Row],[Sales]]&gt;=30000,"High", IF(Table1[[#This Row],[Sales]]&gt;=15000,"Medium","Low"))</f>
        <v>Low</v>
      </c>
      <c r="L1067" t="str">
        <f>TEXT(Table1[[#This Row],[Order_Date]],"MMM")</f>
        <v>Oct</v>
      </c>
      <c r="M1067" t="str">
        <f>IF(Table1[[#This Row],[Profit]]&gt;=10000,"Excellent",IF(Table1[[#This Row],[Profit]]&gt;5000,"Good","Low"))</f>
        <v>Good</v>
      </c>
      <c r="N1067" t="str">
        <f>TEXT(Table1[[#This Row],[Order_Date]],"YYYY")</f>
        <v>2024</v>
      </c>
    </row>
    <row r="1068" spans="1:14" x14ac:dyDescent="0.25">
      <c r="A1068" s="1">
        <v>45772</v>
      </c>
      <c r="B1068" t="s">
        <v>22</v>
      </c>
      <c r="C1068" t="s">
        <v>41</v>
      </c>
      <c r="D1068">
        <v>27585</v>
      </c>
      <c r="E1068">
        <v>12847</v>
      </c>
      <c r="F1068">
        <v>14738</v>
      </c>
      <c r="G1068" t="s">
        <v>13</v>
      </c>
      <c r="H1068" t="s">
        <v>60</v>
      </c>
      <c r="I1068" t="s">
        <v>15</v>
      </c>
      <c r="J1068" s="2">
        <f>Table1[[#This Row],[Profit]]/Table1[[#This Row],[Sales]]*100</f>
        <v>53.427587456951244</v>
      </c>
      <c r="K1068" t="str">
        <f>IF(Table1[[#This Row],[Sales]]&gt;=30000,"High", IF(Table1[[#This Row],[Sales]]&gt;=15000,"Medium","Low"))</f>
        <v>Medium</v>
      </c>
      <c r="L1068" t="str">
        <f>TEXT(Table1[[#This Row],[Order_Date]],"MMM")</f>
        <v>Apr</v>
      </c>
      <c r="M1068" t="str">
        <f>IF(Table1[[#This Row],[Profit]]&gt;=10000,"Excellent",IF(Table1[[#This Row],[Profit]]&gt;5000,"Good","Low"))</f>
        <v>Excellent</v>
      </c>
      <c r="N1068" t="str">
        <f>TEXT(Table1[[#This Row],[Order_Date]],"YYYY")</f>
        <v>2025</v>
      </c>
    </row>
    <row r="1069" spans="1:14" x14ac:dyDescent="0.25">
      <c r="A1069" s="1">
        <v>45150</v>
      </c>
      <c r="B1069" t="s">
        <v>22</v>
      </c>
      <c r="C1069" t="s">
        <v>36</v>
      </c>
      <c r="D1069">
        <v>40351</v>
      </c>
      <c r="E1069">
        <v>25489</v>
      </c>
      <c r="F1069">
        <v>14862</v>
      </c>
      <c r="G1069" t="s">
        <v>19</v>
      </c>
      <c r="H1069" t="s">
        <v>45</v>
      </c>
      <c r="I1069" t="s">
        <v>15</v>
      </c>
      <c r="J1069" s="2">
        <f>Table1[[#This Row],[Profit]]/Table1[[#This Row],[Sales]]*100</f>
        <v>36.831800946692773</v>
      </c>
      <c r="K1069" t="str">
        <f>IF(Table1[[#This Row],[Sales]]&gt;=30000,"High", IF(Table1[[#This Row],[Sales]]&gt;=15000,"Medium","Low"))</f>
        <v>High</v>
      </c>
      <c r="L1069" t="str">
        <f>TEXT(Table1[[#This Row],[Order_Date]],"MMM")</f>
        <v>Aug</v>
      </c>
      <c r="M1069" t="str">
        <f>IF(Table1[[#This Row],[Profit]]&gt;=10000,"Excellent",IF(Table1[[#This Row],[Profit]]&gt;5000,"Good","Low"))</f>
        <v>Excellent</v>
      </c>
      <c r="N1069" t="str">
        <f>TEXT(Table1[[#This Row],[Order_Date]],"YYYY")</f>
        <v>2023</v>
      </c>
    </row>
    <row r="1070" spans="1:14" x14ac:dyDescent="0.25">
      <c r="A1070" s="1">
        <v>45346</v>
      </c>
      <c r="B1070" t="s">
        <v>26</v>
      </c>
      <c r="C1070" t="s">
        <v>12</v>
      </c>
      <c r="D1070">
        <v>47901</v>
      </c>
      <c r="E1070">
        <v>47394</v>
      </c>
      <c r="F1070">
        <v>507</v>
      </c>
      <c r="G1070" t="s">
        <v>38</v>
      </c>
      <c r="H1070" t="s">
        <v>45</v>
      </c>
      <c r="I1070" t="s">
        <v>42</v>
      </c>
      <c r="J1070" s="2">
        <f>Table1[[#This Row],[Profit]]/Table1[[#This Row],[Sales]]*100</f>
        <v>1.0584330180998309</v>
      </c>
      <c r="K1070" t="str">
        <f>IF(Table1[[#This Row],[Sales]]&gt;=30000,"High", IF(Table1[[#This Row],[Sales]]&gt;=15000,"Medium","Low"))</f>
        <v>High</v>
      </c>
      <c r="L1070" t="str">
        <f>TEXT(Table1[[#This Row],[Order_Date]],"MMM")</f>
        <v>Feb</v>
      </c>
      <c r="M1070" t="str">
        <f>IF(Table1[[#This Row],[Profit]]&gt;=10000,"Excellent",IF(Table1[[#This Row],[Profit]]&gt;5000,"Good","Low"))</f>
        <v>Low</v>
      </c>
      <c r="N1070" t="str">
        <f>TEXT(Table1[[#This Row],[Order_Date]],"YYYY")</f>
        <v>2024</v>
      </c>
    </row>
    <row r="1071" spans="1:14" x14ac:dyDescent="0.25">
      <c r="A1071" s="1">
        <v>45152</v>
      </c>
      <c r="B1071" t="s">
        <v>44</v>
      </c>
      <c r="C1071" t="s">
        <v>36</v>
      </c>
      <c r="D1071">
        <v>32762</v>
      </c>
      <c r="E1071">
        <v>13510</v>
      </c>
      <c r="F1071">
        <v>19252</v>
      </c>
      <c r="G1071" t="s">
        <v>19</v>
      </c>
      <c r="H1071" t="s">
        <v>78</v>
      </c>
      <c r="I1071" t="s">
        <v>42</v>
      </c>
      <c r="J1071" s="2">
        <f>Table1[[#This Row],[Profit]]/Table1[[#This Row],[Sales]]*100</f>
        <v>58.763201269763755</v>
      </c>
      <c r="K1071" t="str">
        <f>IF(Table1[[#This Row],[Sales]]&gt;=30000,"High", IF(Table1[[#This Row],[Sales]]&gt;=15000,"Medium","Low"))</f>
        <v>High</v>
      </c>
      <c r="L1071" t="str">
        <f>TEXT(Table1[[#This Row],[Order_Date]],"MMM")</f>
        <v>Aug</v>
      </c>
      <c r="M1071" t="str">
        <f>IF(Table1[[#This Row],[Profit]]&gt;=10000,"Excellent",IF(Table1[[#This Row],[Profit]]&gt;5000,"Good","Low"))</f>
        <v>Excellent</v>
      </c>
      <c r="N1071" t="str">
        <f>TEXT(Table1[[#This Row],[Order_Date]],"YYYY")</f>
        <v>2023</v>
      </c>
    </row>
    <row r="1072" spans="1:14" x14ac:dyDescent="0.25">
      <c r="A1072" s="1">
        <v>45280</v>
      </c>
      <c r="B1072" t="s">
        <v>11</v>
      </c>
      <c r="C1072" t="s">
        <v>36</v>
      </c>
      <c r="D1072">
        <v>18452</v>
      </c>
      <c r="E1072">
        <v>5385</v>
      </c>
      <c r="F1072">
        <v>13067</v>
      </c>
      <c r="G1072" t="s">
        <v>27</v>
      </c>
      <c r="H1072" t="s">
        <v>34</v>
      </c>
      <c r="I1072" t="s">
        <v>15</v>
      </c>
      <c r="J1072" s="2">
        <f>Table1[[#This Row],[Profit]]/Table1[[#This Row],[Sales]]*100</f>
        <v>70.816171688705836</v>
      </c>
      <c r="K1072" t="str">
        <f>IF(Table1[[#This Row],[Sales]]&gt;=30000,"High", IF(Table1[[#This Row],[Sales]]&gt;=15000,"Medium","Low"))</f>
        <v>Medium</v>
      </c>
      <c r="L1072" t="str">
        <f>TEXT(Table1[[#This Row],[Order_Date]],"MMM")</f>
        <v>Dec</v>
      </c>
      <c r="M1072" t="str">
        <f>IF(Table1[[#This Row],[Profit]]&gt;=10000,"Excellent",IF(Table1[[#This Row],[Profit]]&gt;5000,"Good","Low"))</f>
        <v>Excellent</v>
      </c>
      <c r="N1072" t="str">
        <f>TEXT(Table1[[#This Row],[Order_Date]],"YYYY")</f>
        <v>2023</v>
      </c>
    </row>
    <row r="1073" spans="1:14" x14ac:dyDescent="0.25">
      <c r="A1073" s="1">
        <v>45471</v>
      </c>
      <c r="B1073" t="s">
        <v>26</v>
      </c>
      <c r="C1073" t="s">
        <v>41</v>
      </c>
      <c r="D1073">
        <v>7339</v>
      </c>
      <c r="E1073">
        <v>6652</v>
      </c>
      <c r="F1073">
        <v>687</v>
      </c>
      <c r="G1073" t="s">
        <v>19</v>
      </c>
      <c r="H1073" t="s">
        <v>14</v>
      </c>
      <c r="I1073" t="s">
        <v>15</v>
      </c>
      <c r="J1073" s="2">
        <f>Table1[[#This Row],[Profit]]/Table1[[#This Row],[Sales]]*100</f>
        <v>9.360948358086933</v>
      </c>
      <c r="K1073" t="str">
        <f>IF(Table1[[#This Row],[Sales]]&gt;=30000,"High", IF(Table1[[#This Row],[Sales]]&gt;=15000,"Medium","Low"))</f>
        <v>Low</v>
      </c>
      <c r="L1073" t="str">
        <f>TEXT(Table1[[#This Row],[Order_Date]],"MMM")</f>
        <v>Jun</v>
      </c>
      <c r="M1073" t="str">
        <f>IF(Table1[[#This Row],[Profit]]&gt;=10000,"Excellent",IF(Table1[[#This Row],[Profit]]&gt;5000,"Good","Low"))</f>
        <v>Low</v>
      </c>
      <c r="N1073" t="str">
        <f>TEXT(Table1[[#This Row],[Order_Date]],"YYYY")</f>
        <v>2024</v>
      </c>
    </row>
    <row r="1074" spans="1:14" x14ac:dyDescent="0.25">
      <c r="A1074" s="1">
        <v>45900</v>
      </c>
      <c r="B1074" t="s">
        <v>11</v>
      </c>
      <c r="C1074" t="s">
        <v>12</v>
      </c>
      <c r="D1074">
        <v>48893</v>
      </c>
      <c r="E1074">
        <v>30207</v>
      </c>
      <c r="F1074">
        <v>18686</v>
      </c>
      <c r="G1074" t="s">
        <v>38</v>
      </c>
      <c r="H1074" t="s">
        <v>63</v>
      </c>
      <c r="I1074" t="s">
        <v>42</v>
      </c>
      <c r="J1074" s="2">
        <f>Table1[[#This Row],[Profit]]/Table1[[#This Row],[Sales]]*100</f>
        <v>38.218149837400041</v>
      </c>
      <c r="K1074" t="str">
        <f>IF(Table1[[#This Row],[Sales]]&gt;=30000,"High", IF(Table1[[#This Row],[Sales]]&gt;=15000,"Medium","Low"))</f>
        <v>High</v>
      </c>
      <c r="L1074" t="str">
        <f>TEXT(Table1[[#This Row],[Order_Date]],"MMM")</f>
        <v>Aug</v>
      </c>
      <c r="M1074" t="str">
        <f>IF(Table1[[#This Row],[Profit]]&gt;=10000,"Excellent",IF(Table1[[#This Row],[Profit]]&gt;5000,"Good","Low"))</f>
        <v>Excellent</v>
      </c>
      <c r="N1074" t="str">
        <f>TEXT(Table1[[#This Row],[Order_Date]],"YYYY")</f>
        <v>2025</v>
      </c>
    </row>
    <row r="1075" spans="1:14" x14ac:dyDescent="0.25">
      <c r="A1075" s="1">
        <v>45134</v>
      </c>
      <c r="B1075" t="s">
        <v>26</v>
      </c>
      <c r="C1075" t="s">
        <v>18</v>
      </c>
      <c r="D1075">
        <v>46711</v>
      </c>
      <c r="E1075">
        <v>37581</v>
      </c>
      <c r="F1075">
        <v>9130</v>
      </c>
      <c r="G1075" t="s">
        <v>19</v>
      </c>
      <c r="H1075" t="s">
        <v>20</v>
      </c>
      <c r="I1075" t="s">
        <v>15</v>
      </c>
      <c r="J1075" s="2">
        <f>Table1[[#This Row],[Profit]]/Table1[[#This Row],[Sales]]*100</f>
        <v>19.545717282866988</v>
      </c>
      <c r="K1075" t="str">
        <f>IF(Table1[[#This Row],[Sales]]&gt;=30000,"High", IF(Table1[[#This Row],[Sales]]&gt;=15000,"Medium","Low"))</f>
        <v>High</v>
      </c>
      <c r="L1075" t="str">
        <f>TEXT(Table1[[#This Row],[Order_Date]],"MMM")</f>
        <v>Jul</v>
      </c>
      <c r="M1075" t="str">
        <f>IF(Table1[[#This Row],[Profit]]&gt;=10000,"Excellent",IF(Table1[[#This Row],[Profit]]&gt;5000,"Good","Low"))</f>
        <v>Good</v>
      </c>
      <c r="N1075" t="str">
        <f>TEXT(Table1[[#This Row],[Order_Date]],"YYYY")</f>
        <v>2023</v>
      </c>
    </row>
    <row r="1076" spans="1:14" x14ac:dyDescent="0.25">
      <c r="A1076" s="1">
        <v>45427</v>
      </c>
      <c r="B1076" t="s">
        <v>44</v>
      </c>
      <c r="C1076" t="s">
        <v>18</v>
      </c>
      <c r="D1076">
        <v>7526</v>
      </c>
      <c r="E1076">
        <v>908</v>
      </c>
      <c r="F1076">
        <v>6618</v>
      </c>
      <c r="G1076" t="s">
        <v>13</v>
      </c>
      <c r="H1076" t="s">
        <v>28</v>
      </c>
      <c r="I1076" t="s">
        <v>42</v>
      </c>
      <c r="J1076" s="2">
        <f>Table1[[#This Row],[Profit]]/Table1[[#This Row],[Sales]]*100</f>
        <v>87.935158118522466</v>
      </c>
      <c r="K1076" t="str">
        <f>IF(Table1[[#This Row],[Sales]]&gt;=30000,"High", IF(Table1[[#This Row],[Sales]]&gt;=15000,"Medium","Low"))</f>
        <v>Low</v>
      </c>
      <c r="L1076" t="str">
        <f>TEXT(Table1[[#This Row],[Order_Date]],"MMM")</f>
        <v>May</v>
      </c>
      <c r="M1076" t="str">
        <f>IF(Table1[[#This Row],[Profit]]&gt;=10000,"Excellent",IF(Table1[[#This Row],[Profit]]&gt;5000,"Good","Low"))</f>
        <v>Good</v>
      </c>
      <c r="N1076" t="str">
        <f>TEXT(Table1[[#This Row],[Order_Date]],"YYYY")</f>
        <v>2024</v>
      </c>
    </row>
    <row r="1077" spans="1:14" x14ac:dyDescent="0.25">
      <c r="A1077" s="1">
        <v>45511</v>
      </c>
      <c r="B1077" t="s">
        <v>44</v>
      </c>
      <c r="C1077" t="s">
        <v>12</v>
      </c>
      <c r="D1077">
        <v>14080</v>
      </c>
      <c r="E1077">
        <v>315</v>
      </c>
      <c r="F1077">
        <v>13765</v>
      </c>
      <c r="G1077" t="s">
        <v>19</v>
      </c>
      <c r="H1077" t="s">
        <v>78</v>
      </c>
      <c r="I1077" t="s">
        <v>53</v>
      </c>
      <c r="J1077" s="2">
        <f>Table1[[#This Row],[Profit]]/Table1[[#This Row],[Sales]]*100</f>
        <v>97.762784090909093</v>
      </c>
      <c r="K1077" t="str">
        <f>IF(Table1[[#This Row],[Sales]]&gt;=30000,"High", IF(Table1[[#This Row],[Sales]]&gt;=15000,"Medium","Low"))</f>
        <v>Low</v>
      </c>
      <c r="L1077" t="str">
        <f>TEXT(Table1[[#This Row],[Order_Date]],"MMM")</f>
        <v>Aug</v>
      </c>
      <c r="M1077" t="str">
        <f>IF(Table1[[#This Row],[Profit]]&gt;=10000,"Excellent",IF(Table1[[#This Row],[Profit]]&gt;5000,"Good","Low"))</f>
        <v>Excellent</v>
      </c>
      <c r="N1077" t="str">
        <f>TEXT(Table1[[#This Row],[Order_Date]],"YYYY")</f>
        <v>2024</v>
      </c>
    </row>
    <row r="1078" spans="1:14" x14ac:dyDescent="0.25">
      <c r="A1078" s="1">
        <v>45422</v>
      </c>
      <c r="B1078" t="s">
        <v>26</v>
      </c>
      <c r="C1078" t="s">
        <v>18</v>
      </c>
      <c r="D1078">
        <v>37037</v>
      </c>
      <c r="E1078">
        <v>32295</v>
      </c>
      <c r="F1078">
        <v>4742</v>
      </c>
      <c r="G1078" t="s">
        <v>38</v>
      </c>
      <c r="H1078" t="s">
        <v>14</v>
      </c>
      <c r="I1078" t="s">
        <v>24</v>
      </c>
      <c r="J1078" s="2">
        <f>Table1[[#This Row],[Profit]]/Table1[[#This Row],[Sales]]*100</f>
        <v>12.803412803412803</v>
      </c>
      <c r="K1078" t="str">
        <f>IF(Table1[[#This Row],[Sales]]&gt;=30000,"High", IF(Table1[[#This Row],[Sales]]&gt;=15000,"Medium","Low"))</f>
        <v>High</v>
      </c>
      <c r="L1078" t="str">
        <f>TEXT(Table1[[#This Row],[Order_Date]],"MMM")</f>
        <v>May</v>
      </c>
      <c r="M1078" t="str">
        <f>IF(Table1[[#This Row],[Profit]]&gt;=10000,"Excellent",IF(Table1[[#This Row],[Profit]]&gt;5000,"Good","Low"))</f>
        <v>Low</v>
      </c>
      <c r="N1078" t="str">
        <f>TEXT(Table1[[#This Row],[Order_Date]],"YYYY")</f>
        <v>2024</v>
      </c>
    </row>
    <row r="1079" spans="1:14" x14ac:dyDescent="0.25">
      <c r="A1079" s="1">
        <v>45521</v>
      </c>
      <c r="B1079" t="s">
        <v>11</v>
      </c>
      <c r="C1079" t="s">
        <v>18</v>
      </c>
      <c r="D1079">
        <v>33305</v>
      </c>
      <c r="E1079">
        <v>24230</v>
      </c>
      <c r="F1079">
        <v>9075</v>
      </c>
      <c r="G1079" t="s">
        <v>38</v>
      </c>
      <c r="H1079" t="s">
        <v>28</v>
      </c>
      <c r="I1079" t="s">
        <v>53</v>
      </c>
      <c r="J1079" s="2">
        <f>Table1[[#This Row],[Profit]]/Table1[[#This Row],[Sales]]*100</f>
        <v>27.248160936796278</v>
      </c>
      <c r="K1079" t="str">
        <f>IF(Table1[[#This Row],[Sales]]&gt;=30000,"High", IF(Table1[[#This Row],[Sales]]&gt;=15000,"Medium","Low"))</f>
        <v>High</v>
      </c>
      <c r="L1079" t="str">
        <f>TEXT(Table1[[#This Row],[Order_Date]],"MMM")</f>
        <v>Aug</v>
      </c>
      <c r="M1079" t="str">
        <f>IF(Table1[[#This Row],[Profit]]&gt;=10000,"Excellent",IF(Table1[[#This Row],[Profit]]&gt;5000,"Good","Low"))</f>
        <v>Good</v>
      </c>
      <c r="N1079" t="str">
        <f>TEXT(Table1[[#This Row],[Order_Date]],"YYYY")</f>
        <v>2024</v>
      </c>
    </row>
    <row r="1080" spans="1:14" x14ac:dyDescent="0.25">
      <c r="A1080" s="1">
        <v>46144</v>
      </c>
      <c r="B1080" t="s">
        <v>17</v>
      </c>
      <c r="C1080" t="s">
        <v>36</v>
      </c>
      <c r="D1080">
        <v>14073</v>
      </c>
      <c r="E1080">
        <v>9162</v>
      </c>
      <c r="F1080">
        <v>4911</v>
      </c>
      <c r="G1080" t="s">
        <v>38</v>
      </c>
      <c r="H1080" t="s">
        <v>45</v>
      </c>
      <c r="I1080" t="s">
        <v>15</v>
      </c>
      <c r="J1080" s="2">
        <f>Table1[[#This Row],[Profit]]/Table1[[#This Row],[Sales]]*100</f>
        <v>34.89661053080367</v>
      </c>
      <c r="K1080" t="str">
        <f>IF(Table1[[#This Row],[Sales]]&gt;=30000,"High", IF(Table1[[#This Row],[Sales]]&gt;=15000,"Medium","Low"))</f>
        <v>Low</v>
      </c>
      <c r="L1080" t="str">
        <f>TEXT(Table1[[#This Row],[Order_Date]],"MMM")</f>
        <v>May</v>
      </c>
      <c r="M1080" t="str">
        <f>IF(Table1[[#This Row],[Profit]]&gt;=10000,"Excellent",IF(Table1[[#This Row],[Profit]]&gt;5000,"Good","Low"))</f>
        <v>Low</v>
      </c>
      <c r="N1080" t="str">
        <f>TEXT(Table1[[#This Row],[Order_Date]],"YYYY")</f>
        <v>2026</v>
      </c>
    </row>
    <row r="1081" spans="1:14" x14ac:dyDescent="0.25">
      <c r="A1081" s="1">
        <v>45443</v>
      </c>
      <c r="B1081" t="s">
        <v>44</v>
      </c>
      <c r="C1081" t="s">
        <v>41</v>
      </c>
      <c r="D1081">
        <v>32852</v>
      </c>
      <c r="E1081">
        <v>28407</v>
      </c>
      <c r="F1081">
        <v>4445</v>
      </c>
      <c r="G1081" t="s">
        <v>27</v>
      </c>
      <c r="H1081" t="s">
        <v>23</v>
      </c>
      <c r="I1081" t="s">
        <v>24</v>
      </c>
      <c r="J1081" s="2">
        <f>Table1[[#This Row],[Profit]]/Table1[[#This Row],[Sales]]*100</f>
        <v>13.530378667965421</v>
      </c>
      <c r="K1081" t="str">
        <f>IF(Table1[[#This Row],[Sales]]&gt;=30000,"High", IF(Table1[[#This Row],[Sales]]&gt;=15000,"Medium","Low"))</f>
        <v>High</v>
      </c>
      <c r="L1081" t="str">
        <f>TEXT(Table1[[#This Row],[Order_Date]],"MMM")</f>
        <v>May</v>
      </c>
      <c r="M1081" t="str">
        <f>IF(Table1[[#This Row],[Profit]]&gt;=10000,"Excellent",IF(Table1[[#This Row],[Profit]]&gt;5000,"Good","Low"))</f>
        <v>Low</v>
      </c>
      <c r="N1081" t="str">
        <f>TEXT(Table1[[#This Row],[Order_Date]],"YYYY")</f>
        <v>2024</v>
      </c>
    </row>
    <row r="1082" spans="1:14" x14ac:dyDescent="0.25">
      <c r="A1082" s="1">
        <v>45869</v>
      </c>
      <c r="B1082" t="s">
        <v>11</v>
      </c>
      <c r="C1082" t="s">
        <v>33</v>
      </c>
      <c r="D1082">
        <v>11426</v>
      </c>
      <c r="E1082">
        <v>8817</v>
      </c>
      <c r="F1082">
        <v>2609</v>
      </c>
      <c r="G1082" t="s">
        <v>38</v>
      </c>
      <c r="H1082" t="s">
        <v>28</v>
      </c>
      <c r="I1082" t="s">
        <v>42</v>
      </c>
      <c r="J1082" s="2">
        <f>Table1[[#This Row],[Profit]]/Table1[[#This Row],[Sales]]*100</f>
        <v>22.833887624715558</v>
      </c>
      <c r="K1082" t="str">
        <f>IF(Table1[[#This Row],[Sales]]&gt;=30000,"High", IF(Table1[[#This Row],[Sales]]&gt;=15000,"Medium","Low"))</f>
        <v>Low</v>
      </c>
      <c r="L1082" t="str">
        <f>TEXT(Table1[[#This Row],[Order_Date]],"MMM")</f>
        <v>Jul</v>
      </c>
      <c r="M1082" t="str">
        <f>IF(Table1[[#This Row],[Profit]]&gt;=10000,"Excellent",IF(Table1[[#This Row],[Profit]]&gt;5000,"Good","Low"))</f>
        <v>Low</v>
      </c>
      <c r="N1082" t="str">
        <f>TEXT(Table1[[#This Row],[Order_Date]],"YYYY")</f>
        <v>2025</v>
      </c>
    </row>
    <row r="1083" spans="1:14" x14ac:dyDescent="0.25">
      <c r="A1083" s="1">
        <v>45752</v>
      </c>
      <c r="B1083" t="s">
        <v>44</v>
      </c>
      <c r="C1083" t="s">
        <v>41</v>
      </c>
      <c r="D1083">
        <v>39239</v>
      </c>
      <c r="E1083">
        <v>21151</v>
      </c>
      <c r="F1083">
        <v>18088</v>
      </c>
      <c r="G1083" t="s">
        <v>38</v>
      </c>
      <c r="H1083" t="s">
        <v>34</v>
      </c>
      <c r="I1083" t="s">
        <v>24</v>
      </c>
      <c r="J1083" s="2">
        <f>Table1[[#This Row],[Profit]]/Table1[[#This Row],[Sales]]*100</f>
        <v>46.096995336272585</v>
      </c>
      <c r="K1083" t="str">
        <f>IF(Table1[[#This Row],[Sales]]&gt;=30000,"High", IF(Table1[[#This Row],[Sales]]&gt;=15000,"Medium","Low"))</f>
        <v>High</v>
      </c>
      <c r="L1083" t="str">
        <f>TEXT(Table1[[#This Row],[Order_Date]],"MMM")</f>
        <v>Apr</v>
      </c>
      <c r="M1083" t="str">
        <f>IF(Table1[[#This Row],[Profit]]&gt;=10000,"Excellent",IF(Table1[[#This Row],[Profit]]&gt;5000,"Good","Low"))</f>
        <v>Excellent</v>
      </c>
      <c r="N1083" t="str">
        <f>TEXT(Table1[[#This Row],[Order_Date]],"YYYY")</f>
        <v>2025</v>
      </c>
    </row>
    <row r="1084" spans="1:14" x14ac:dyDescent="0.25">
      <c r="A1084" s="1">
        <v>45268</v>
      </c>
      <c r="B1084" t="s">
        <v>11</v>
      </c>
      <c r="C1084" t="s">
        <v>12</v>
      </c>
      <c r="D1084">
        <v>40338</v>
      </c>
      <c r="E1084">
        <v>23024</v>
      </c>
      <c r="F1084">
        <v>17314</v>
      </c>
      <c r="G1084" t="s">
        <v>13</v>
      </c>
      <c r="H1084" t="s">
        <v>63</v>
      </c>
      <c r="I1084" t="s">
        <v>15</v>
      </c>
      <c r="J1084" s="2">
        <f>Table1[[#This Row],[Profit]]/Table1[[#This Row],[Sales]]*100</f>
        <v>42.922306509990584</v>
      </c>
      <c r="K1084" t="str">
        <f>IF(Table1[[#This Row],[Sales]]&gt;=30000,"High", IF(Table1[[#This Row],[Sales]]&gt;=15000,"Medium","Low"))</f>
        <v>High</v>
      </c>
      <c r="L1084" t="str">
        <f>TEXT(Table1[[#This Row],[Order_Date]],"MMM")</f>
        <v>Dec</v>
      </c>
      <c r="M1084" t="str">
        <f>IF(Table1[[#This Row],[Profit]]&gt;=10000,"Excellent",IF(Table1[[#This Row],[Profit]]&gt;5000,"Good","Low"))</f>
        <v>Excellent</v>
      </c>
      <c r="N1084" t="str">
        <f>TEXT(Table1[[#This Row],[Order_Date]],"YYYY")</f>
        <v>2023</v>
      </c>
    </row>
    <row r="1085" spans="1:14" x14ac:dyDescent="0.25">
      <c r="A1085" s="1">
        <v>45937</v>
      </c>
      <c r="B1085" t="s">
        <v>11</v>
      </c>
      <c r="C1085" t="s">
        <v>12</v>
      </c>
      <c r="D1085">
        <v>41289</v>
      </c>
      <c r="E1085">
        <v>27799</v>
      </c>
      <c r="F1085">
        <v>13490</v>
      </c>
      <c r="G1085" t="s">
        <v>38</v>
      </c>
      <c r="H1085" t="s">
        <v>63</v>
      </c>
      <c r="I1085" t="s">
        <v>42</v>
      </c>
      <c r="J1085" s="2">
        <f>Table1[[#This Row],[Profit]]/Table1[[#This Row],[Sales]]*100</f>
        <v>32.672140279493327</v>
      </c>
      <c r="K1085" t="str">
        <f>IF(Table1[[#This Row],[Sales]]&gt;=30000,"High", IF(Table1[[#This Row],[Sales]]&gt;=15000,"Medium","Low"))</f>
        <v>High</v>
      </c>
      <c r="L1085" t="str">
        <f>TEXT(Table1[[#This Row],[Order_Date]],"MMM")</f>
        <v>Oct</v>
      </c>
      <c r="M1085" t="str">
        <f>IF(Table1[[#This Row],[Profit]]&gt;=10000,"Excellent",IF(Table1[[#This Row],[Profit]]&gt;5000,"Good","Low"))</f>
        <v>Excellent</v>
      </c>
      <c r="N1085" t="str">
        <f>TEXT(Table1[[#This Row],[Order_Date]],"YYYY")</f>
        <v>2025</v>
      </c>
    </row>
    <row r="1086" spans="1:14" x14ac:dyDescent="0.25">
      <c r="A1086" s="1">
        <v>45294</v>
      </c>
      <c r="B1086" t="s">
        <v>26</v>
      </c>
      <c r="C1086" t="s">
        <v>36</v>
      </c>
      <c r="D1086">
        <v>30133</v>
      </c>
      <c r="E1086">
        <v>12899</v>
      </c>
      <c r="F1086">
        <v>17234</v>
      </c>
      <c r="G1086" t="s">
        <v>38</v>
      </c>
      <c r="H1086" t="s">
        <v>31</v>
      </c>
      <c r="I1086" t="s">
        <v>24</v>
      </c>
      <c r="J1086" s="2">
        <f>Table1[[#This Row],[Profit]]/Table1[[#This Row],[Sales]]*100</f>
        <v>57.193110543258221</v>
      </c>
      <c r="K1086" t="str">
        <f>IF(Table1[[#This Row],[Sales]]&gt;=30000,"High", IF(Table1[[#This Row],[Sales]]&gt;=15000,"Medium","Low"))</f>
        <v>High</v>
      </c>
      <c r="L1086" t="str">
        <f>TEXT(Table1[[#This Row],[Order_Date]],"MMM")</f>
        <v>Jan</v>
      </c>
      <c r="M1086" t="str">
        <f>IF(Table1[[#This Row],[Profit]]&gt;=10000,"Excellent",IF(Table1[[#This Row],[Profit]]&gt;5000,"Good","Low"))</f>
        <v>Excellent</v>
      </c>
      <c r="N1086" t="str">
        <f>TEXT(Table1[[#This Row],[Order_Date]],"YYYY")</f>
        <v>2024</v>
      </c>
    </row>
    <row r="1087" spans="1:14" x14ac:dyDescent="0.25">
      <c r="A1087" s="1">
        <v>45874</v>
      </c>
      <c r="B1087" t="s">
        <v>26</v>
      </c>
      <c r="C1087" t="s">
        <v>18</v>
      </c>
      <c r="D1087">
        <v>19073</v>
      </c>
      <c r="E1087">
        <v>9545</v>
      </c>
      <c r="F1087">
        <v>9528</v>
      </c>
      <c r="G1087" t="s">
        <v>38</v>
      </c>
      <c r="H1087" t="s">
        <v>23</v>
      </c>
      <c r="I1087" t="s">
        <v>15</v>
      </c>
      <c r="J1087" s="2">
        <f>Table1[[#This Row],[Profit]]/Table1[[#This Row],[Sales]]*100</f>
        <v>49.955434383683738</v>
      </c>
      <c r="K1087" t="str">
        <f>IF(Table1[[#This Row],[Sales]]&gt;=30000,"High", IF(Table1[[#This Row],[Sales]]&gt;=15000,"Medium","Low"))</f>
        <v>Medium</v>
      </c>
      <c r="L1087" t="str">
        <f>TEXT(Table1[[#This Row],[Order_Date]],"MMM")</f>
        <v>Aug</v>
      </c>
      <c r="M1087" t="str">
        <f>IF(Table1[[#This Row],[Profit]]&gt;=10000,"Excellent",IF(Table1[[#This Row],[Profit]]&gt;5000,"Good","Low"))</f>
        <v>Good</v>
      </c>
      <c r="N1087" t="str">
        <f>TEXT(Table1[[#This Row],[Order_Date]],"YYYY")</f>
        <v>2025</v>
      </c>
    </row>
    <row r="1088" spans="1:14" x14ac:dyDescent="0.25">
      <c r="A1088" s="1">
        <v>45498</v>
      </c>
      <c r="B1088" t="s">
        <v>26</v>
      </c>
      <c r="C1088" t="s">
        <v>41</v>
      </c>
      <c r="D1088">
        <v>15449</v>
      </c>
      <c r="E1088">
        <v>10792</v>
      </c>
      <c r="F1088">
        <v>4657</v>
      </c>
      <c r="G1088" t="s">
        <v>38</v>
      </c>
      <c r="H1088" t="s">
        <v>14</v>
      </c>
      <c r="I1088" t="s">
        <v>29</v>
      </c>
      <c r="J1088" s="2">
        <f>Table1[[#This Row],[Profit]]/Table1[[#This Row],[Sales]]*100</f>
        <v>30.144345912356783</v>
      </c>
      <c r="K1088" t="str">
        <f>IF(Table1[[#This Row],[Sales]]&gt;=30000,"High", IF(Table1[[#This Row],[Sales]]&gt;=15000,"Medium","Low"))</f>
        <v>Medium</v>
      </c>
      <c r="L1088" t="str">
        <f>TEXT(Table1[[#This Row],[Order_Date]],"MMM")</f>
        <v>Jul</v>
      </c>
      <c r="M1088" t="str">
        <f>IF(Table1[[#This Row],[Profit]]&gt;=10000,"Excellent",IF(Table1[[#This Row],[Profit]]&gt;5000,"Good","Low"))</f>
        <v>Low</v>
      </c>
      <c r="N1088" t="str">
        <f>TEXT(Table1[[#This Row],[Order_Date]],"YYYY")</f>
        <v>2024</v>
      </c>
    </row>
    <row r="1089" spans="1:14" x14ac:dyDescent="0.25">
      <c r="A1089" s="1">
        <v>46014</v>
      </c>
      <c r="B1089" t="s">
        <v>22</v>
      </c>
      <c r="C1089" t="s">
        <v>12</v>
      </c>
      <c r="D1089">
        <v>7674</v>
      </c>
      <c r="E1089">
        <v>3622</v>
      </c>
      <c r="F1089">
        <v>4052</v>
      </c>
      <c r="G1089" t="s">
        <v>27</v>
      </c>
      <c r="H1089" t="s">
        <v>45</v>
      </c>
      <c r="I1089" t="s">
        <v>24</v>
      </c>
      <c r="J1089" s="2">
        <f>Table1[[#This Row],[Profit]]/Table1[[#This Row],[Sales]]*100</f>
        <v>52.801667969768054</v>
      </c>
      <c r="K1089" t="str">
        <f>IF(Table1[[#This Row],[Sales]]&gt;=30000,"High", IF(Table1[[#This Row],[Sales]]&gt;=15000,"Medium","Low"))</f>
        <v>Low</v>
      </c>
      <c r="L1089" t="str">
        <f>TEXT(Table1[[#This Row],[Order_Date]],"MMM")</f>
        <v>Dec</v>
      </c>
      <c r="M1089" t="str">
        <f>IF(Table1[[#This Row],[Profit]]&gt;=10000,"Excellent",IF(Table1[[#This Row],[Profit]]&gt;5000,"Good","Low"))</f>
        <v>Low</v>
      </c>
      <c r="N1089" t="str">
        <f>TEXT(Table1[[#This Row],[Order_Date]],"YYYY")</f>
        <v>2025</v>
      </c>
    </row>
    <row r="1090" spans="1:14" x14ac:dyDescent="0.25">
      <c r="A1090" s="1">
        <v>45910</v>
      </c>
      <c r="B1090" t="s">
        <v>44</v>
      </c>
      <c r="C1090" t="s">
        <v>18</v>
      </c>
      <c r="D1090">
        <v>16145</v>
      </c>
      <c r="E1090">
        <v>13988</v>
      </c>
      <c r="F1090">
        <v>2157</v>
      </c>
      <c r="G1090" t="s">
        <v>27</v>
      </c>
      <c r="H1090" t="s">
        <v>20</v>
      </c>
      <c r="I1090" t="s">
        <v>53</v>
      </c>
      <c r="J1090" s="2">
        <f>Table1[[#This Row],[Profit]]/Table1[[#This Row],[Sales]]*100</f>
        <v>13.360173428305977</v>
      </c>
      <c r="K1090" t="str">
        <f>IF(Table1[[#This Row],[Sales]]&gt;=30000,"High", IF(Table1[[#This Row],[Sales]]&gt;=15000,"Medium","Low"))</f>
        <v>Medium</v>
      </c>
      <c r="L1090" t="str">
        <f>TEXT(Table1[[#This Row],[Order_Date]],"MMM")</f>
        <v>Sep</v>
      </c>
      <c r="M1090" t="str">
        <f>IF(Table1[[#This Row],[Profit]]&gt;=10000,"Excellent",IF(Table1[[#This Row],[Profit]]&gt;5000,"Good","Low"))</f>
        <v>Low</v>
      </c>
      <c r="N1090" t="str">
        <f>TEXT(Table1[[#This Row],[Order_Date]],"YYYY")</f>
        <v>2025</v>
      </c>
    </row>
    <row r="1091" spans="1:14" x14ac:dyDescent="0.25">
      <c r="A1091" s="1">
        <v>45977</v>
      </c>
      <c r="B1091" t="s">
        <v>22</v>
      </c>
      <c r="C1091" t="s">
        <v>33</v>
      </c>
      <c r="D1091">
        <v>42344</v>
      </c>
      <c r="E1091">
        <v>30177</v>
      </c>
      <c r="F1091">
        <v>12167</v>
      </c>
      <c r="G1091" t="s">
        <v>19</v>
      </c>
      <c r="H1091" t="s">
        <v>78</v>
      </c>
      <c r="I1091" t="s">
        <v>29</v>
      </c>
      <c r="J1091" s="2">
        <f>Table1[[#This Row],[Profit]]/Table1[[#This Row],[Sales]]*100</f>
        <v>28.73370489325524</v>
      </c>
      <c r="K1091" t="str">
        <f>IF(Table1[[#This Row],[Sales]]&gt;=30000,"High", IF(Table1[[#This Row],[Sales]]&gt;=15000,"Medium","Low"))</f>
        <v>High</v>
      </c>
      <c r="L1091" t="str">
        <f>TEXT(Table1[[#This Row],[Order_Date]],"MMM")</f>
        <v>Nov</v>
      </c>
      <c r="M1091" t="str">
        <f>IF(Table1[[#This Row],[Profit]]&gt;=10000,"Excellent",IF(Table1[[#This Row],[Profit]]&gt;5000,"Good","Low"))</f>
        <v>Excellent</v>
      </c>
      <c r="N1091" t="str">
        <f>TEXT(Table1[[#This Row],[Order_Date]],"YYYY")</f>
        <v>2025</v>
      </c>
    </row>
    <row r="1092" spans="1:14" x14ac:dyDescent="0.25">
      <c r="A1092" s="1">
        <v>45598</v>
      </c>
      <c r="B1092" t="s">
        <v>26</v>
      </c>
      <c r="C1092" t="s">
        <v>12</v>
      </c>
      <c r="D1092">
        <v>29815</v>
      </c>
      <c r="E1092">
        <v>24812</v>
      </c>
      <c r="F1092">
        <v>5003</v>
      </c>
      <c r="G1092" t="s">
        <v>13</v>
      </c>
      <c r="H1092" t="s">
        <v>45</v>
      </c>
      <c r="I1092" t="s">
        <v>29</v>
      </c>
      <c r="J1092" s="2">
        <f>Table1[[#This Row],[Profit]]/Table1[[#This Row],[Sales]]*100</f>
        <v>16.780144222706692</v>
      </c>
      <c r="K1092" t="str">
        <f>IF(Table1[[#This Row],[Sales]]&gt;=30000,"High", IF(Table1[[#This Row],[Sales]]&gt;=15000,"Medium","Low"))</f>
        <v>Medium</v>
      </c>
      <c r="L1092" t="str">
        <f>TEXT(Table1[[#This Row],[Order_Date]],"MMM")</f>
        <v>Nov</v>
      </c>
      <c r="M1092" t="str">
        <f>IF(Table1[[#This Row],[Profit]]&gt;=10000,"Excellent",IF(Table1[[#This Row],[Profit]]&gt;5000,"Good","Low"))</f>
        <v>Good</v>
      </c>
      <c r="N1092" t="str">
        <f>TEXT(Table1[[#This Row],[Order_Date]],"YYYY")</f>
        <v>2024</v>
      </c>
    </row>
    <row r="1093" spans="1:14" x14ac:dyDescent="0.25">
      <c r="A1093" s="1">
        <v>45480</v>
      </c>
      <c r="B1093" t="s">
        <v>26</v>
      </c>
      <c r="C1093" t="s">
        <v>12</v>
      </c>
      <c r="D1093">
        <v>36820</v>
      </c>
      <c r="E1093">
        <v>23922</v>
      </c>
      <c r="F1093">
        <v>12898</v>
      </c>
      <c r="G1093" t="s">
        <v>13</v>
      </c>
      <c r="H1093" t="s">
        <v>63</v>
      </c>
      <c r="I1093" t="s">
        <v>42</v>
      </c>
      <c r="J1093" s="2">
        <f>Table1[[#This Row],[Profit]]/Table1[[#This Row],[Sales]]*100</f>
        <v>35.029875067897883</v>
      </c>
      <c r="K1093" t="str">
        <f>IF(Table1[[#This Row],[Sales]]&gt;=30000,"High", IF(Table1[[#This Row],[Sales]]&gt;=15000,"Medium","Low"))</f>
        <v>High</v>
      </c>
      <c r="L1093" t="str">
        <f>TEXT(Table1[[#This Row],[Order_Date]],"MMM")</f>
        <v>Jul</v>
      </c>
      <c r="M1093" t="str">
        <f>IF(Table1[[#This Row],[Profit]]&gt;=10000,"Excellent",IF(Table1[[#This Row],[Profit]]&gt;5000,"Good","Low"))</f>
        <v>Excellent</v>
      </c>
      <c r="N1093" t="str">
        <f>TEXT(Table1[[#This Row],[Order_Date]],"YYYY")</f>
        <v>2024</v>
      </c>
    </row>
    <row r="1094" spans="1:14" x14ac:dyDescent="0.25">
      <c r="A1094" s="1">
        <v>45499</v>
      </c>
      <c r="B1094" t="s">
        <v>26</v>
      </c>
      <c r="C1094" t="s">
        <v>18</v>
      </c>
      <c r="D1094">
        <v>41637</v>
      </c>
      <c r="E1094">
        <v>26994</v>
      </c>
      <c r="F1094">
        <v>14643</v>
      </c>
      <c r="G1094" t="s">
        <v>13</v>
      </c>
      <c r="H1094" t="s">
        <v>63</v>
      </c>
      <c r="I1094" t="s">
        <v>15</v>
      </c>
      <c r="J1094" s="2">
        <f>Table1[[#This Row],[Profit]]/Table1[[#This Row],[Sales]]*100</f>
        <v>35.168239786728151</v>
      </c>
      <c r="K1094" t="str">
        <f>IF(Table1[[#This Row],[Sales]]&gt;=30000,"High", IF(Table1[[#This Row],[Sales]]&gt;=15000,"Medium","Low"))</f>
        <v>High</v>
      </c>
      <c r="L1094" t="str">
        <f>TEXT(Table1[[#This Row],[Order_Date]],"MMM")</f>
        <v>Jul</v>
      </c>
      <c r="M1094" t="str">
        <f>IF(Table1[[#This Row],[Profit]]&gt;=10000,"Excellent",IF(Table1[[#This Row],[Profit]]&gt;5000,"Good","Low"))</f>
        <v>Excellent</v>
      </c>
      <c r="N1094" t="str">
        <f>TEXT(Table1[[#This Row],[Order_Date]],"YYYY")</f>
        <v>2024</v>
      </c>
    </row>
    <row r="1095" spans="1:14" x14ac:dyDescent="0.25">
      <c r="A1095" s="1">
        <v>45641</v>
      </c>
      <c r="B1095" t="s">
        <v>26</v>
      </c>
      <c r="C1095" t="s">
        <v>36</v>
      </c>
      <c r="D1095">
        <v>17189</v>
      </c>
      <c r="E1095">
        <v>2043</v>
      </c>
      <c r="F1095">
        <v>15146</v>
      </c>
      <c r="G1095" t="s">
        <v>19</v>
      </c>
      <c r="H1095" t="s">
        <v>63</v>
      </c>
      <c r="I1095" t="s">
        <v>42</v>
      </c>
      <c r="J1095" s="2">
        <f>Table1[[#This Row],[Profit]]/Table1[[#This Row],[Sales]]*100</f>
        <v>88.114491826167892</v>
      </c>
      <c r="K1095" t="str">
        <f>IF(Table1[[#This Row],[Sales]]&gt;=30000,"High", IF(Table1[[#This Row],[Sales]]&gt;=15000,"Medium","Low"))</f>
        <v>Medium</v>
      </c>
      <c r="L1095" t="str">
        <f>TEXT(Table1[[#This Row],[Order_Date]],"MMM")</f>
        <v>Dec</v>
      </c>
      <c r="M1095" t="str">
        <f>IF(Table1[[#This Row],[Profit]]&gt;=10000,"Excellent",IF(Table1[[#This Row],[Profit]]&gt;5000,"Good","Low"))</f>
        <v>Excellent</v>
      </c>
      <c r="N1095" t="str">
        <f>TEXT(Table1[[#This Row],[Order_Date]],"YYYY")</f>
        <v>2024</v>
      </c>
    </row>
    <row r="1096" spans="1:14" x14ac:dyDescent="0.25">
      <c r="A1096" s="1">
        <v>45591</v>
      </c>
      <c r="B1096" t="s">
        <v>22</v>
      </c>
      <c r="C1096" t="s">
        <v>33</v>
      </c>
      <c r="D1096">
        <v>31637</v>
      </c>
      <c r="E1096">
        <v>14079</v>
      </c>
      <c r="F1096">
        <v>17558</v>
      </c>
      <c r="G1096" t="s">
        <v>13</v>
      </c>
      <c r="H1096" t="s">
        <v>23</v>
      </c>
      <c r="I1096" t="s">
        <v>53</v>
      </c>
      <c r="J1096" s="2">
        <f>Table1[[#This Row],[Profit]]/Table1[[#This Row],[Sales]]*100</f>
        <v>55.498308942061513</v>
      </c>
      <c r="K1096" t="str">
        <f>IF(Table1[[#This Row],[Sales]]&gt;=30000,"High", IF(Table1[[#This Row],[Sales]]&gt;=15000,"Medium","Low"))</f>
        <v>High</v>
      </c>
      <c r="L1096" t="str">
        <f>TEXT(Table1[[#This Row],[Order_Date]],"MMM")</f>
        <v>Oct</v>
      </c>
      <c r="M1096" t="str">
        <f>IF(Table1[[#This Row],[Profit]]&gt;=10000,"Excellent",IF(Table1[[#This Row],[Profit]]&gt;5000,"Good","Low"))</f>
        <v>Excellent</v>
      </c>
      <c r="N1096" t="str">
        <f>TEXT(Table1[[#This Row],[Order_Date]],"YYYY")</f>
        <v>2024</v>
      </c>
    </row>
    <row r="1097" spans="1:14" x14ac:dyDescent="0.25">
      <c r="A1097" s="1">
        <v>45301</v>
      </c>
      <c r="B1097" t="s">
        <v>26</v>
      </c>
      <c r="C1097" t="s">
        <v>41</v>
      </c>
      <c r="D1097">
        <v>21446</v>
      </c>
      <c r="E1097">
        <v>6367</v>
      </c>
      <c r="F1097">
        <v>15079</v>
      </c>
      <c r="G1097" t="s">
        <v>13</v>
      </c>
      <c r="H1097" t="s">
        <v>31</v>
      </c>
      <c r="I1097" t="s">
        <v>29</v>
      </c>
      <c r="J1097" s="2">
        <f>Table1[[#This Row],[Profit]]/Table1[[#This Row],[Sales]]*100</f>
        <v>70.311479996269696</v>
      </c>
      <c r="K1097" t="str">
        <f>IF(Table1[[#This Row],[Sales]]&gt;=30000,"High", IF(Table1[[#This Row],[Sales]]&gt;=15000,"Medium","Low"))</f>
        <v>Medium</v>
      </c>
      <c r="L1097" t="str">
        <f>TEXT(Table1[[#This Row],[Order_Date]],"MMM")</f>
        <v>Jan</v>
      </c>
      <c r="M1097" t="str">
        <f>IF(Table1[[#This Row],[Profit]]&gt;=10000,"Excellent",IF(Table1[[#This Row],[Profit]]&gt;5000,"Good","Low"))</f>
        <v>Excellent</v>
      </c>
      <c r="N1097" t="str">
        <f>TEXT(Table1[[#This Row],[Order_Date]],"YYYY")</f>
        <v>2024</v>
      </c>
    </row>
    <row r="1098" spans="1:14" x14ac:dyDescent="0.25">
      <c r="A1098" s="1">
        <v>46172</v>
      </c>
      <c r="B1098" t="s">
        <v>26</v>
      </c>
      <c r="C1098" t="s">
        <v>12</v>
      </c>
      <c r="D1098">
        <v>33884</v>
      </c>
      <c r="E1098">
        <v>25144</v>
      </c>
      <c r="F1098">
        <v>8740</v>
      </c>
      <c r="G1098" t="s">
        <v>38</v>
      </c>
      <c r="H1098" t="s">
        <v>78</v>
      </c>
      <c r="I1098" t="s">
        <v>24</v>
      </c>
      <c r="J1098" s="2">
        <f>Table1[[#This Row],[Profit]]/Table1[[#This Row],[Sales]]*100</f>
        <v>25.793885019478218</v>
      </c>
      <c r="K1098" t="str">
        <f>IF(Table1[[#This Row],[Sales]]&gt;=30000,"High", IF(Table1[[#This Row],[Sales]]&gt;=15000,"Medium","Low"))</f>
        <v>High</v>
      </c>
      <c r="L1098" t="str">
        <f>TEXT(Table1[[#This Row],[Order_Date]],"MMM")</f>
        <v>May</v>
      </c>
      <c r="M1098" t="str">
        <f>IF(Table1[[#This Row],[Profit]]&gt;=10000,"Excellent",IF(Table1[[#This Row],[Profit]]&gt;5000,"Good","Low"))</f>
        <v>Good</v>
      </c>
      <c r="N1098" t="str">
        <f>TEXT(Table1[[#This Row],[Order_Date]],"YYYY")</f>
        <v>2026</v>
      </c>
    </row>
    <row r="1099" spans="1:14" x14ac:dyDescent="0.25">
      <c r="A1099" s="1">
        <v>45705</v>
      </c>
      <c r="B1099" t="s">
        <v>22</v>
      </c>
      <c r="C1099" t="s">
        <v>36</v>
      </c>
      <c r="D1099">
        <v>30580</v>
      </c>
      <c r="E1099">
        <v>23831</v>
      </c>
      <c r="F1099">
        <v>6749</v>
      </c>
      <c r="G1099" t="s">
        <v>38</v>
      </c>
      <c r="H1099" t="s">
        <v>28</v>
      </c>
      <c r="I1099" t="s">
        <v>53</v>
      </c>
      <c r="J1099" s="2">
        <f>Table1[[#This Row],[Profit]]/Table1[[#This Row],[Sales]]*100</f>
        <v>22.069980379332897</v>
      </c>
      <c r="K1099" t="str">
        <f>IF(Table1[[#This Row],[Sales]]&gt;=30000,"High", IF(Table1[[#This Row],[Sales]]&gt;=15000,"Medium","Low"))</f>
        <v>High</v>
      </c>
      <c r="L1099" t="str">
        <f>TEXT(Table1[[#This Row],[Order_Date]],"MMM")</f>
        <v>Feb</v>
      </c>
      <c r="M1099" t="str">
        <f>IF(Table1[[#This Row],[Profit]]&gt;=10000,"Excellent",IF(Table1[[#This Row],[Profit]]&gt;5000,"Good","Low"))</f>
        <v>Good</v>
      </c>
      <c r="N1099" t="str">
        <f>TEXT(Table1[[#This Row],[Order_Date]],"YYYY")</f>
        <v>2025</v>
      </c>
    </row>
    <row r="1100" spans="1:14" x14ac:dyDescent="0.25">
      <c r="A1100" s="1">
        <v>45675</v>
      </c>
      <c r="B1100" t="s">
        <v>44</v>
      </c>
      <c r="C1100" t="s">
        <v>33</v>
      </c>
      <c r="D1100">
        <v>31584</v>
      </c>
      <c r="E1100">
        <v>29206</v>
      </c>
      <c r="F1100">
        <v>2378</v>
      </c>
      <c r="G1100" t="s">
        <v>38</v>
      </c>
      <c r="H1100" t="s">
        <v>31</v>
      </c>
      <c r="I1100" t="s">
        <v>15</v>
      </c>
      <c r="J1100" s="2">
        <f>Table1[[#This Row],[Profit]]/Table1[[#This Row],[Sales]]*100</f>
        <v>7.5291286727456939</v>
      </c>
      <c r="K1100" t="str">
        <f>IF(Table1[[#This Row],[Sales]]&gt;=30000,"High", IF(Table1[[#This Row],[Sales]]&gt;=15000,"Medium","Low"))</f>
        <v>High</v>
      </c>
      <c r="L1100" t="str">
        <f>TEXT(Table1[[#This Row],[Order_Date]],"MMM")</f>
        <v>Jan</v>
      </c>
      <c r="M1100" t="str">
        <f>IF(Table1[[#This Row],[Profit]]&gt;=10000,"Excellent",IF(Table1[[#This Row],[Profit]]&gt;5000,"Good","Low"))</f>
        <v>Low</v>
      </c>
      <c r="N1100" t="str">
        <f>TEXT(Table1[[#This Row],[Order_Date]],"YYYY")</f>
        <v>2025</v>
      </c>
    </row>
    <row r="1101" spans="1:14" x14ac:dyDescent="0.25">
      <c r="A1101" s="1">
        <v>45790</v>
      </c>
      <c r="B1101" t="s">
        <v>17</v>
      </c>
      <c r="C1101" t="s">
        <v>12</v>
      </c>
      <c r="D1101">
        <v>47474</v>
      </c>
      <c r="E1101">
        <v>33911</v>
      </c>
      <c r="F1101">
        <v>13563</v>
      </c>
      <c r="G1101" t="s">
        <v>19</v>
      </c>
      <c r="H1101" t="s">
        <v>78</v>
      </c>
      <c r="I1101" t="s">
        <v>53</v>
      </c>
      <c r="J1101" s="2">
        <f>Table1[[#This Row],[Profit]]/Table1[[#This Row],[Sales]]*100</f>
        <v>28.569322155284997</v>
      </c>
      <c r="K1101" t="str">
        <f>IF(Table1[[#This Row],[Sales]]&gt;=30000,"High", IF(Table1[[#This Row],[Sales]]&gt;=15000,"Medium","Low"))</f>
        <v>High</v>
      </c>
      <c r="L1101" t="str">
        <f>TEXT(Table1[[#This Row],[Order_Date]],"MMM")</f>
        <v>May</v>
      </c>
      <c r="M1101" t="str">
        <f>IF(Table1[[#This Row],[Profit]]&gt;=10000,"Excellent",IF(Table1[[#This Row],[Profit]]&gt;5000,"Good","Low"))</f>
        <v>Excellent</v>
      </c>
      <c r="N1101" t="str">
        <f>TEXT(Table1[[#This Row],[Order_Date]],"YYYY")</f>
        <v>2025</v>
      </c>
    </row>
    <row r="1102" spans="1:14" x14ac:dyDescent="0.25">
      <c r="A1102" s="1">
        <v>45286</v>
      </c>
      <c r="B1102" t="s">
        <v>17</v>
      </c>
      <c r="C1102" t="s">
        <v>12</v>
      </c>
      <c r="D1102">
        <v>27457</v>
      </c>
      <c r="E1102">
        <v>16515</v>
      </c>
      <c r="F1102">
        <v>10942</v>
      </c>
      <c r="G1102" t="s">
        <v>27</v>
      </c>
      <c r="H1102" t="s">
        <v>23</v>
      </c>
      <c r="I1102" t="s">
        <v>29</v>
      </c>
      <c r="J1102" s="2">
        <f>Table1[[#This Row],[Profit]]/Table1[[#This Row],[Sales]]*100</f>
        <v>39.851404013548461</v>
      </c>
      <c r="K1102" t="str">
        <f>IF(Table1[[#This Row],[Sales]]&gt;=30000,"High", IF(Table1[[#This Row],[Sales]]&gt;=15000,"Medium","Low"))</f>
        <v>Medium</v>
      </c>
      <c r="L1102" t="str">
        <f>TEXT(Table1[[#This Row],[Order_Date]],"MMM")</f>
        <v>Dec</v>
      </c>
      <c r="M1102" t="str">
        <f>IF(Table1[[#This Row],[Profit]]&gt;=10000,"Excellent",IF(Table1[[#This Row],[Profit]]&gt;5000,"Good","Low"))</f>
        <v>Excellent</v>
      </c>
      <c r="N1102" t="str">
        <f>TEXT(Table1[[#This Row],[Order_Date]],"YYYY")</f>
        <v>2023</v>
      </c>
    </row>
    <row r="1103" spans="1:14" x14ac:dyDescent="0.25">
      <c r="A1103" s="1">
        <v>45541</v>
      </c>
      <c r="B1103" t="s">
        <v>26</v>
      </c>
      <c r="C1103" t="s">
        <v>41</v>
      </c>
      <c r="D1103">
        <v>49346</v>
      </c>
      <c r="E1103">
        <v>43866</v>
      </c>
      <c r="F1103">
        <v>5480</v>
      </c>
      <c r="G1103" t="s">
        <v>27</v>
      </c>
      <c r="H1103" t="s">
        <v>20</v>
      </c>
      <c r="I1103" t="s">
        <v>53</v>
      </c>
      <c r="J1103" s="2">
        <f>Table1[[#This Row],[Profit]]/Table1[[#This Row],[Sales]]*100</f>
        <v>11.10525675839987</v>
      </c>
      <c r="K1103" t="str">
        <f>IF(Table1[[#This Row],[Sales]]&gt;=30000,"High", IF(Table1[[#This Row],[Sales]]&gt;=15000,"Medium","Low"))</f>
        <v>High</v>
      </c>
      <c r="L1103" t="str">
        <f>TEXT(Table1[[#This Row],[Order_Date]],"MMM")</f>
        <v>Sep</v>
      </c>
      <c r="M1103" t="str">
        <f>IF(Table1[[#This Row],[Profit]]&gt;=10000,"Excellent",IF(Table1[[#This Row],[Profit]]&gt;5000,"Good","Low"))</f>
        <v>Good</v>
      </c>
      <c r="N1103" t="str">
        <f>TEXT(Table1[[#This Row],[Order_Date]],"YYYY")</f>
        <v>2024</v>
      </c>
    </row>
    <row r="1104" spans="1:14" x14ac:dyDescent="0.25">
      <c r="A1104" s="1">
        <v>46108</v>
      </c>
      <c r="B1104" t="s">
        <v>17</v>
      </c>
      <c r="C1104" t="s">
        <v>41</v>
      </c>
      <c r="D1104">
        <v>19378</v>
      </c>
      <c r="E1104">
        <v>452</v>
      </c>
      <c r="F1104">
        <v>18926</v>
      </c>
      <c r="G1104" t="s">
        <v>27</v>
      </c>
      <c r="H1104" t="s">
        <v>63</v>
      </c>
      <c r="I1104" t="s">
        <v>24</v>
      </c>
      <c r="J1104" s="2">
        <f>Table1[[#This Row],[Profit]]/Table1[[#This Row],[Sales]]*100</f>
        <v>97.667457941996076</v>
      </c>
      <c r="K1104" t="str">
        <f>IF(Table1[[#This Row],[Sales]]&gt;=30000,"High", IF(Table1[[#This Row],[Sales]]&gt;=15000,"Medium","Low"))</f>
        <v>Medium</v>
      </c>
      <c r="L1104" t="str">
        <f>TEXT(Table1[[#This Row],[Order_Date]],"MMM")</f>
        <v>Mar</v>
      </c>
      <c r="M1104" t="str">
        <f>IF(Table1[[#This Row],[Profit]]&gt;=10000,"Excellent",IF(Table1[[#This Row],[Profit]]&gt;5000,"Good","Low"))</f>
        <v>Excellent</v>
      </c>
      <c r="N1104" t="str">
        <f>TEXT(Table1[[#This Row],[Order_Date]],"YYYY")</f>
        <v>2026</v>
      </c>
    </row>
    <row r="1105" spans="1:14" x14ac:dyDescent="0.25">
      <c r="A1105" s="1">
        <v>45862</v>
      </c>
      <c r="B1105" t="s">
        <v>44</v>
      </c>
      <c r="C1105" t="s">
        <v>33</v>
      </c>
      <c r="D1105">
        <v>15758</v>
      </c>
      <c r="E1105">
        <v>10586</v>
      </c>
      <c r="F1105">
        <v>5172</v>
      </c>
      <c r="G1105" t="s">
        <v>19</v>
      </c>
      <c r="H1105" t="s">
        <v>78</v>
      </c>
      <c r="I1105" t="s">
        <v>15</v>
      </c>
      <c r="J1105" s="2">
        <f>Table1[[#This Row],[Profit]]/Table1[[#This Row],[Sales]]*100</f>
        <v>32.821424038583572</v>
      </c>
      <c r="K1105" t="str">
        <f>IF(Table1[[#This Row],[Sales]]&gt;=30000,"High", IF(Table1[[#This Row],[Sales]]&gt;=15000,"Medium","Low"))</f>
        <v>Medium</v>
      </c>
      <c r="L1105" t="str">
        <f>TEXT(Table1[[#This Row],[Order_Date]],"MMM")</f>
        <v>Jul</v>
      </c>
      <c r="M1105" t="str">
        <f>IF(Table1[[#This Row],[Profit]]&gt;=10000,"Excellent",IF(Table1[[#This Row],[Profit]]&gt;5000,"Good","Low"))</f>
        <v>Good</v>
      </c>
      <c r="N1105" t="str">
        <f>TEXT(Table1[[#This Row],[Order_Date]],"YYYY")</f>
        <v>2025</v>
      </c>
    </row>
    <row r="1106" spans="1:14" x14ac:dyDescent="0.25">
      <c r="A1106" s="1">
        <v>45894</v>
      </c>
      <c r="B1106" t="s">
        <v>11</v>
      </c>
      <c r="C1106" t="s">
        <v>33</v>
      </c>
      <c r="D1106">
        <v>17466</v>
      </c>
      <c r="E1106">
        <v>10459</v>
      </c>
      <c r="F1106">
        <v>7007</v>
      </c>
      <c r="G1106" t="s">
        <v>19</v>
      </c>
      <c r="H1106" t="s">
        <v>60</v>
      </c>
      <c r="I1106" t="s">
        <v>42</v>
      </c>
      <c r="J1106" s="2">
        <f>Table1[[#This Row],[Profit]]/Table1[[#This Row],[Sales]]*100</f>
        <v>40.117943432955457</v>
      </c>
      <c r="K1106" t="str">
        <f>IF(Table1[[#This Row],[Sales]]&gt;=30000,"High", IF(Table1[[#This Row],[Sales]]&gt;=15000,"Medium","Low"))</f>
        <v>Medium</v>
      </c>
      <c r="L1106" t="str">
        <f>TEXT(Table1[[#This Row],[Order_Date]],"MMM")</f>
        <v>Aug</v>
      </c>
      <c r="M1106" t="str">
        <f>IF(Table1[[#This Row],[Profit]]&gt;=10000,"Excellent",IF(Table1[[#This Row],[Profit]]&gt;5000,"Good","Low"))</f>
        <v>Good</v>
      </c>
      <c r="N1106" t="str">
        <f>TEXT(Table1[[#This Row],[Order_Date]],"YYYY")</f>
        <v>2025</v>
      </c>
    </row>
    <row r="1107" spans="1:14" x14ac:dyDescent="0.25">
      <c r="A1107" s="1">
        <v>45250</v>
      </c>
      <c r="B1107" t="s">
        <v>26</v>
      </c>
      <c r="C1107" t="s">
        <v>33</v>
      </c>
      <c r="D1107">
        <v>24481</v>
      </c>
      <c r="E1107">
        <v>13201</v>
      </c>
      <c r="F1107">
        <v>11280</v>
      </c>
      <c r="G1107" t="s">
        <v>27</v>
      </c>
      <c r="H1107" t="s">
        <v>60</v>
      </c>
      <c r="I1107" t="s">
        <v>42</v>
      </c>
      <c r="J1107" s="2">
        <f>Table1[[#This Row],[Profit]]/Table1[[#This Row],[Sales]]*100</f>
        <v>46.076549160573506</v>
      </c>
      <c r="K1107" t="str">
        <f>IF(Table1[[#This Row],[Sales]]&gt;=30000,"High", IF(Table1[[#This Row],[Sales]]&gt;=15000,"Medium","Low"))</f>
        <v>Medium</v>
      </c>
      <c r="L1107" t="str">
        <f>TEXT(Table1[[#This Row],[Order_Date]],"MMM")</f>
        <v>Nov</v>
      </c>
      <c r="M1107" t="str">
        <f>IF(Table1[[#This Row],[Profit]]&gt;=10000,"Excellent",IF(Table1[[#This Row],[Profit]]&gt;5000,"Good","Low"))</f>
        <v>Excellent</v>
      </c>
      <c r="N1107" t="str">
        <f>TEXT(Table1[[#This Row],[Order_Date]],"YYYY")</f>
        <v>2023</v>
      </c>
    </row>
    <row r="1108" spans="1:14" x14ac:dyDescent="0.25">
      <c r="A1108" s="1">
        <v>45161</v>
      </c>
      <c r="B1108" t="s">
        <v>11</v>
      </c>
      <c r="C1108" t="s">
        <v>36</v>
      </c>
      <c r="D1108">
        <v>32262</v>
      </c>
      <c r="E1108">
        <v>15865</v>
      </c>
      <c r="F1108">
        <v>16397</v>
      </c>
      <c r="G1108" t="s">
        <v>13</v>
      </c>
      <c r="H1108" t="s">
        <v>34</v>
      </c>
      <c r="I1108" t="s">
        <v>24</v>
      </c>
      <c r="J1108" s="2">
        <f>Table1[[#This Row],[Profit]]/Table1[[#This Row],[Sales]]*100</f>
        <v>50.824499411071841</v>
      </c>
      <c r="K1108" t="str">
        <f>IF(Table1[[#This Row],[Sales]]&gt;=30000,"High", IF(Table1[[#This Row],[Sales]]&gt;=15000,"Medium","Low"))</f>
        <v>High</v>
      </c>
      <c r="L1108" t="str">
        <f>TEXT(Table1[[#This Row],[Order_Date]],"MMM")</f>
        <v>Aug</v>
      </c>
      <c r="M1108" t="str">
        <f>IF(Table1[[#This Row],[Profit]]&gt;=10000,"Excellent",IF(Table1[[#This Row],[Profit]]&gt;5000,"Good","Low"))</f>
        <v>Excellent</v>
      </c>
      <c r="N1108" t="str">
        <f>TEXT(Table1[[#This Row],[Order_Date]],"YYYY")</f>
        <v>2023</v>
      </c>
    </row>
    <row r="1109" spans="1:14" x14ac:dyDescent="0.25">
      <c r="A1109" s="1">
        <v>45648</v>
      </c>
      <c r="B1109" t="s">
        <v>44</v>
      </c>
      <c r="C1109" t="s">
        <v>41</v>
      </c>
      <c r="D1109">
        <v>28705</v>
      </c>
      <c r="E1109">
        <v>18464</v>
      </c>
      <c r="F1109">
        <v>10241</v>
      </c>
      <c r="G1109" t="s">
        <v>27</v>
      </c>
      <c r="H1109" t="s">
        <v>60</v>
      </c>
      <c r="I1109" t="s">
        <v>53</v>
      </c>
      <c r="J1109" s="2">
        <f>Table1[[#This Row],[Profit]]/Table1[[#This Row],[Sales]]*100</f>
        <v>35.676711374325031</v>
      </c>
      <c r="K1109" t="str">
        <f>IF(Table1[[#This Row],[Sales]]&gt;=30000,"High", IF(Table1[[#This Row],[Sales]]&gt;=15000,"Medium","Low"))</f>
        <v>Medium</v>
      </c>
      <c r="L1109" t="str">
        <f>TEXT(Table1[[#This Row],[Order_Date]],"MMM")</f>
        <v>Dec</v>
      </c>
      <c r="M1109" t="str">
        <f>IF(Table1[[#This Row],[Profit]]&gt;=10000,"Excellent",IF(Table1[[#This Row],[Profit]]&gt;5000,"Good","Low"))</f>
        <v>Excellent</v>
      </c>
      <c r="N1109" t="str">
        <f>TEXT(Table1[[#This Row],[Order_Date]],"YYYY")</f>
        <v>2024</v>
      </c>
    </row>
    <row r="1110" spans="1:14" x14ac:dyDescent="0.25">
      <c r="A1110" s="1">
        <v>45502</v>
      </c>
      <c r="B1110" t="s">
        <v>22</v>
      </c>
      <c r="C1110" t="s">
        <v>12</v>
      </c>
      <c r="D1110">
        <v>18456</v>
      </c>
      <c r="E1110">
        <v>8824</v>
      </c>
      <c r="F1110">
        <v>9632</v>
      </c>
      <c r="G1110" t="s">
        <v>27</v>
      </c>
      <c r="H1110" t="s">
        <v>23</v>
      </c>
      <c r="I1110" t="s">
        <v>53</v>
      </c>
      <c r="J1110" s="2">
        <f>Table1[[#This Row],[Profit]]/Table1[[#This Row],[Sales]]*100</f>
        <v>52.188990030342438</v>
      </c>
      <c r="K1110" t="str">
        <f>IF(Table1[[#This Row],[Sales]]&gt;=30000,"High", IF(Table1[[#This Row],[Sales]]&gt;=15000,"Medium","Low"))</f>
        <v>Medium</v>
      </c>
      <c r="L1110" t="str">
        <f>TEXT(Table1[[#This Row],[Order_Date]],"MMM")</f>
        <v>Jul</v>
      </c>
      <c r="M1110" t="str">
        <f>IF(Table1[[#This Row],[Profit]]&gt;=10000,"Excellent",IF(Table1[[#This Row],[Profit]]&gt;5000,"Good","Low"))</f>
        <v>Good</v>
      </c>
      <c r="N1110" t="str">
        <f>TEXT(Table1[[#This Row],[Order_Date]],"YYYY")</f>
        <v>2024</v>
      </c>
    </row>
    <row r="1111" spans="1:14" x14ac:dyDescent="0.25">
      <c r="A1111" s="1">
        <v>45594</v>
      </c>
      <c r="B1111" t="s">
        <v>22</v>
      </c>
      <c r="C1111" t="s">
        <v>18</v>
      </c>
      <c r="D1111">
        <v>5122</v>
      </c>
      <c r="E1111">
        <v>1414</v>
      </c>
      <c r="F1111">
        <v>3708</v>
      </c>
      <c r="G1111" t="s">
        <v>19</v>
      </c>
      <c r="H1111" t="s">
        <v>60</v>
      </c>
      <c r="I1111" t="s">
        <v>53</v>
      </c>
      <c r="J1111" s="2">
        <f>Table1[[#This Row],[Profit]]/Table1[[#This Row],[Sales]]*100</f>
        <v>72.393596251464274</v>
      </c>
      <c r="K1111" t="str">
        <f>IF(Table1[[#This Row],[Sales]]&gt;=30000,"High", IF(Table1[[#This Row],[Sales]]&gt;=15000,"Medium","Low"))</f>
        <v>Low</v>
      </c>
      <c r="L1111" t="str">
        <f>TEXT(Table1[[#This Row],[Order_Date]],"MMM")</f>
        <v>Oct</v>
      </c>
      <c r="M1111" t="str">
        <f>IF(Table1[[#This Row],[Profit]]&gt;=10000,"Excellent",IF(Table1[[#This Row],[Profit]]&gt;5000,"Good","Low"))</f>
        <v>Low</v>
      </c>
      <c r="N1111" t="str">
        <f>TEXT(Table1[[#This Row],[Order_Date]],"YYYY")</f>
        <v>2024</v>
      </c>
    </row>
    <row r="1112" spans="1:14" x14ac:dyDescent="0.25">
      <c r="A1112" s="1">
        <v>45483</v>
      </c>
      <c r="B1112" t="s">
        <v>11</v>
      </c>
      <c r="C1112" t="s">
        <v>41</v>
      </c>
      <c r="D1112">
        <v>20704</v>
      </c>
      <c r="E1112">
        <v>3014</v>
      </c>
      <c r="F1112">
        <v>17690</v>
      </c>
      <c r="G1112" t="s">
        <v>19</v>
      </c>
      <c r="H1112" t="s">
        <v>14</v>
      </c>
      <c r="I1112" t="s">
        <v>53</v>
      </c>
      <c r="J1112" s="2">
        <f>Table1[[#This Row],[Profit]]/Table1[[#This Row],[Sales]]*100</f>
        <v>85.442426584234937</v>
      </c>
      <c r="K1112" t="str">
        <f>IF(Table1[[#This Row],[Sales]]&gt;=30000,"High", IF(Table1[[#This Row],[Sales]]&gt;=15000,"Medium","Low"))</f>
        <v>Medium</v>
      </c>
      <c r="L1112" t="str">
        <f>TEXT(Table1[[#This Row],[Order_Date]],"MMM")</f>
        <v>Jul</v>
      </c>
      <c r="M1112" t="str">
        <f>IF(Table1[[#This Row],[Profit]]&gt;=10000,"Excellent",IF(Table1[[#This Row],[Profit]]&gt;5000,"Good","Low"))</f>
        <v>Excellent</v>
      </c>
      <c r="N1112" t="str">
        <f>TEXT(Table1[[#This Row],[Order_Date]],"YYYY")</f>
        <v>2024</v>
      </c>
    </row>
    <row r="1113" spans="1:14" x14ac:dyDescent="0.25">
      <c r="A1113" s="1">
        <v>45881</v>
      </c>
      <c r="B1113" t="s">
        <v>44</v>
      </c>
      <c r="C1113" t="s">
        <v>12</v>
      </c>
      <c r="D1113">
        <v>10579</v>
      </c>
      <c r="E1113">
        <v>5117</v>
      </c>
      <c r="F1113">
        <v>5462</v>
      </c>
      <c r="G1113" t="s">
        <v>13</v>
      </c>
      <c r="H1113" t="s">
        <v>28</v>
      </c>
      <c r="I1113" t="s">
        <v>53</v>
      </c>
      <c r="J1113" s="2">
        <f>Table1[[#This Row],[Profit]]/Table1[[#This Row],[Sales]]*100</f>
        <v>51.630588902542776</v>
      </c>
      <c r="K1113" t="str">
        <f>IF(Table1[[#This Row],[Sales]]&gt;=30000,"High", IF(Table1[[#This Row],[Sales]]&gt;=15000,"Medium","Low"))</f>
        <v>Low</v>
      </c>
      <c r="L1113" t="str">
        <f>TEXT(Table1[[#This Row],[Order_Date]],"MMM")</f>
        <v>Aug</v>
      </c>
      <c r="M1113" t="str">
        <f>IF(Table1[[#This Row],[Profit]]&gt;=10000,"Excellent",IF(Table1[[#This Row],[Profit]]&gt;5000,"Good","Low"))</f>
        <v>Good</v>
      </c>
      <c r="N1113" t="str">
        <f>TEXT(Table1[[#This Row],[Order_Date]],"YYYY")</f>
        <v>2025</v>
      </c>
    </row>
    <row r="1114" spans="1:14" x14ac:dyDescent="0.25">
      <c r="A1114" s="1">
        <v>45408</v>
      </c>
      <c r="B1114" t="s">
        <v>44</v>
      </c>
      <c r="C1114" t="s">
        <v>33</v>
      </c>
      <c r="D1114">
        <v>35289</v>
      </c>
      <c r="E1114">
        <v>27443</v>
      </c>
      <c r="F1114">
        <v>7846</v>
      </c>
      <c r="G1114" t="s">
        <v>38</v>
      </c>
      <c r="H1114" t="s">
        <v>60</v>
      </c>
      <c r="I1114" t="s">
        <v>53</v>
      </c>
      <c r="J1114" s="2">
        <f>Table1[[#This Row],[Profit]]/Table1[[#This Row],[Sales]]*100</f>
        <v>22.233557199127208</v>
      </c>
      <c r="K1114" t="str">
        <f>IF(Table1[[#This Row],[Sales]]&gt;=30000,"High", IF(Table1[[#This Row],[Sales]]&gt;=15000,"Medium","Low"))</f>
        <v>High</v>
      </c>
      <c r="L1114" t="str">
        <f>TEXT(Table1[[#This Row],[Order_Date]],"MMM")</f>
        <v>Apr</v>
      </c>
      <c r="M1114" t="str">
        <f>IF(Table1[[#This Row],[Profit]]&gt;=10000,"Excellent",IF(Table1[[#This Row],[Profit]]&gt;5000,"Good","Low"))</f>
        <v>Good</v>
      </c>
      <c r="N1114" t="str">
        <f>TEXT(Table1[[#This Row],[Order_Date]],"YYYY")</f>
        <v>2024</v>
      </c>
    </row>
    <row r="1115" spans="1:14" x14ac:dyDescent="0.25">
      <c r="A1115" s="1">
        <v>45472</v>
      </c>
      <c r="B1115" t="s">
        <v>22</v>
      </c>
      <c r="C1115" t="s">
        <v>12</v>
      </c>
      <c r="D1115">
        <v>35215</v>
      </c>
      <c r="E1115">
        <v>27490</v>
      </c>
      <c r="F1115">
        <v>7725</v>
      </c>
      <c r="G1115" t="s">
        <v>19</v>
      </c>
      <c r="H1115" t="s">
        <v>78</v>
      </c>
      <c r="I1115" t="s">
        <v>53</v>
      </c>
      <c r="J1115" s="2">
        <f>Table1[[#This Row],[Profit]]/Table1[[#This Row],[Sales]]*100</f>
        <v>21.936674712480478</v>
      </c>
      <c r="K1115" t="str">
        <f>IF(Table1[[#This Row],[Sales]]&gt;=30000,"High", IF(Table1[[#This Row],[Sales]]&gt;=15000,"Medium","Low"))</f>
        <v>High</v>
      </c>
      <c r="L1115" t="str">
        <f>TEXT(Table1[[#This Row],[Order_Date]],"MMM")</f>
        <v>Jun</v>
      </c>
      <c r="M1115" t="str">
        <f>IF(Table1[[#This Row],[Profit]]&gt;=10000,"Excellent",IF(Table1[[#This Row],[Profit]]&gt;5000,"Good","Low"))</f>
        <v>Good</v>
      </c>
      <c r="N1115" t="str">
        <f>TEXT(Table1[[#This Row],[Order_Date]],"YYYY")</f>
        <v>2024</v>
      </c>
    </row>
    <row r="1116" spans="1:14" x14ac:dyDescent="0.25">
      <c r="A1116" s="1">
        <v>46010</v>
      </c>
      <c r="B1116" t="s">
        <v>26</v>
      </c>
      <c r="C1116" t="s">
        <v>41</v>
      </c>
      <c r="D1116">
        <v>30648</v>
      </c>
      <c r="E1116">
        <v>24634</v>
      </c>
      <c r="F1116">
        <v>6014</v>
      </c>
      <c r="G1116" t="s">
        <v>13</v>
      </c>
      <c r="H1116" t="s">
        <v>78</v>
      </c>
      <c r="I1116" t="s">
        <v>24</v>
      </c>
      <c r="J1116" s="2">
        <f>Table1[[#This Row],[Profit]]/Table1[[#This Row],[Sales]]*100</f>
        <v>19.622813886713651</v>
      </c>
      <c r="K1116" t="str">
        <f>IF(Table1[[#This Row],[Sales]]&gt;=30000,"High", IF(Table1[[#This Row],[Sales]]&gt;=15000,"Medium","Low"))</f>
        <v>High</v>
      </c>
      <c r="L1116" t="str">
        <f>TEXT(Table1[[#This Row],[Order_Date]],"MMM")</f>
        <v>Dec</v>
      </c>
      <c r="M1116" t="str">
        <f>IF(Table1[[#This Row],[Profit]]&gt;=10000,"Excellent",IF(Table1[[#This Row],[Profit]]&gt;5000,"Good","Low"))</f>
        <v>Good</v>
      </c>
      <c r="N1116" t="str">
        <f>TEXT(Table1[[#This Row],[Order_Date]],"YYYY")</f>
        <v>2025</v>
      </c>
    </row>
    <row r="1117" spans="1:14" x14ac:dyDescent="0.25">
      <c r="A1117" s="1">
        <v>45300</v>
      </c>
      <c r="B1117" t="s">
        <v>11</v>
      </c>
      <c r="C1117" t="s">
        <v>12</v>
      </c>
      <c r="D1117">
        <v>20543</v>
      </c>
      <c r="E1117">
        <v>2579</v>
      </c>
      <c r="F1117">
        <v>17964</v>
      </c>
      <c r="G1117" t="s">
        <v>38</v>
      </c>
      <c r="H1117" t="s">
        <v>20</v>
      </c>
      <c r="I1117" t="s">
        <v>15</v>
      </c>
      <c r="J1117" s="2">
        <f>Table1[[#This Row],[Profit]]/Table1[[#This Row],[Sales]]*100</f>
        <v>87.445845300102221</v>
      </c>
      <c r="K1117" t="str">
        <f>IF(Table1[[#This Row],[Sales]]&gt;=30000,"High", IF(Table1[[#This Row],[Sales]]&gt;=15000,"Medium","Low"))</f>
        <v>Medium</v>
      </c>
      <c r="L1117" t="str">
        <f>TEXT(Table1[[#This Row],[Order_Date]],"MMM")</f>
        <v>Jan</v>
      </c>
      <c r="M1117" t="str">
        <f>IF(Table1[[#This Row],[Profit]]&gt;=10000,"Excellent",IF(Table1[[#This Row],[Profit]]&gt;5000,"Good","Low"))</f>
        <v>Excellent</v>
      </c>
      <c r="N1117" t="str">
        <f>TEXT(Table1[[#This Row],[Order_Date]],"YYYY")</f>
        <v>2024</v>
      </c>
    </row>
    <row r="1118" spans="1:14" x14ac:dyDescent="0.25">
      <c r="A1118" s="1">
        <v>45940</v>
      </c>
      <c r="B1118" t="s">
        <v>17</v>
      </c>
      <c r="C1118" t="s">
        <v>12</v>
      </c>
      <c r="D1118">
        <v>19590</v>
      </c>
      <c r="E1118">
        <v>10854</v>
      </c>
      <c r="F1118">
        <v>8736</v>
      </c>
      <c r="G1118" t="s">
        <v>38</v>
      </c>
      <c r="H1118" t="s">
        <v>14</v>
      </c>
      <c r="I1118" t="s">
        <v>42</v>
      </c>
      <c r="J1118" s="2">
        <f>Table1[[#This Row],[Profit]]/Table1[[#This Row],[Sales]]*100</f>
        <v>44.594180704441037</v>
      </c>
      <c r="K1118" t="str">
        <f>IF(Table1[[#This Row],[Sales]]&gt;=30000,"High", IF(Table1[[#This Row],[Sales]]&gt;=15000,"Medium","Low"))</f>
        <v>Medium</v>
      </c>
      <c r="L1118" t="str">
        <f>TEXT(Table1[[#This Row],[Order_Date]],"MMM")</f>
        <v>Oct</v>
      </c>
      <c r="M1118" t="str">
        <f>IF(Table1[[#This Row],[Profit]]&gt;=10000,"Excellent",IF(Table1[[#This Row],[Profit]]&gt;5000,"Good","Low"))</f>
        <v>Good</v>
      </c>
      <c r="N1118" t="str">
        <f>TEXT(Table1[[#This Row],[Order_Date]],"YYYY")</f>
        <v>2025</v>
      </c>
    </row>
    <row r="1119" spans="1:14" x14ac:dyDescent="0.25">
      <c r="A1119" s="1">
        <v>46093</v>
      </c>
      <c r="B1119" t="s">
        <v>22</v>
      </c>
      <c r="C1119" t="s">
        <v>41</v>
      </c>
      <c r="D1119">
        <v>29536</v>
      </c>
      <c r="E1119">
        <v>10496</v>
      </c>
      <c r="F1119">
        <v>19040</v>
      </c>
      <c r="G1119" t="s">
        <v>13</v>
      </c>
      <c r="H1119" t="s">
        <v>45</v>
      </c>
      <c r="I1119" t="s">
        <v>29</v>
      </c>
      <c r="J1119" s="2">
        <f>Table1[[#This Row],[Profit]]/Table1[[#This Row],[Sales]]*100</f>
        <v>64.463705308775729</v>
      </c>
      <c r="K1119" t="str">
        <f>IF(Table1[[#This Row],[Sales]]&gt;=30000,"High", IF(Table1[[#This Row],[Sales]]&gt;=15000,"Medium","Low"))</f>
        <v>Medium</v>
      </c>
      <c r="L1119" t="str">
        <f>TEXT(Table1[[#This Row],[Order_Date]],"MMM")</f>
        <v>Mar</v>
      </c>
      <c r="M1119" t="str">
        <f>IF(Table1[[#This Row],[Profit]]&gt;=10000,"Excellent",IF(Table1[[#This Row],[Profit]]&gt;5000,"Good","Low"))</f>
        <v>Excellent</v>
      </c>
      <c r="N1119" t="str">
        <f>TEXT(Table1[[#This Row],[Order_Date]],"YYYY")</f>
        <v>2026</v>
      </c>
    </row>
    <row r="1120" spans="1:14" x14ac:dyDescent="0.25">
      <c r="A1120" s="1">
        <v>45740</v>
      </c>
      <c r="B1120" t="s">
        <v>26</v>
      </c>
      <c r="C1120" t="s">
        <v>12</v>
      </c>
      <c r="D1120">
        <v>19596</v>
      </c>
      <c r="E1120">
        <v>6499</v>
      </c>
      <c r="F1120">
        <v>13097</v>
      </c>
      <c r="G1120" t="s">
        <v>38</v>
      </c>
      <c r="H1120" t="s">
        <v>20</v>
      </c>
      <c r="I1120" t="s">
        <v>15</v>
      </c>
      <c r="J1120" s="2">
        <f>Table1[[#This Row],[Profit]]/Table1[[#This Row],[Sales]]*100</f>
        <v>66.835068381302307</v>
      </c>
      <c r="K1120" t="str">
        <f>IF(Table1[[#This Row],[Sales]]&gt;=30000,"High", IF(Table1[[#This Row],[Sales]]&gt;=15000,"Medium","Low"))</f>
        <v>Medium</v>
      </c>
      <c r="L1120" t="str">
        <f>TEXT(Table1[[#This Row],[Order_Date]],"MMM")</f>
        <v>Mar</v>
      </c>
      <c r="M1120" t="str">
        <f>IF(Table1[[#This Row],[Profit]]&gt;=10000,"Excellent",IF(Table1[[#This Row],[Profit]]&gt;5000,"Good","Low"))</f>
        <v>Excellent</v>
      </c>
      <c r="N1120" t="str">
        <f>TEXT(Table1[[#This Row],[Order_Date]],"YYYY")</f>
        <v>2025</v>
      </c>
    </row>
    <row r="1121" spans="1:14" x14ac:dyDescent="0.25">
      <c r="A1121" s="1">
        <v>45791</v>
      </c>
      <c r="B1121" t="s">
        <v>26</v>
      </c>
      <c r="C1121" t="s">
        <v>18</v>
      </c>
      <c r="D1121">
        <v>23703</v>
      </c>
      <c r="E1121">
        <v>19451</v>
      </c>
      <c r="F1121">
        <v>4252</v>
      </c>
      <c r="G1121" t="s">
        <v>19</v>
      </c>
      <c r="H1121" t="s">
        <v>31</v>
      </c>
      <c r="I1121" t="s">
        <v>29</v>
      </c>
      <c r="J1121" s="2">
        <f>Table1[[#This Row],[Profit]]/Table1[[#This Row],[Sales]]*100</f>
        <v>17.938657553896132</v>
      </c>
      <c r="K1121" t="str">
        <f>IF(Table1[[#This Row],[Sales]]&gt;=30000,"High", IF(Table1[[#This Row],[Sales]]&gt;=15000,"Medium","Low"))</f>
        <v>Medium</v>
      </c>
      <c r="L1121" t="str">
        <f>TEXT(Table1[[#This Row],[Order_Date]],"MMM")</f>
        <v>May</v>
      </c>
      <c r="M1121" t="str">
        <f>IF(Table1[[#This Row],[Profit]]&gt;=10000,"Excellent",IF(Table1[[#This Row],[Profit]]&gt;5000,"Good","Low"))</f>
        <v>Low</v>
      </c>
      <c r="N1121" t="str">
        <f>TEXT(Table1[[#This Row],[Order_Date]],"YYYY")</f>
        <v>2025</v>
      </c>
    </row>
    <row r="1122" spans="1:14" x14ac:dyDescent="0.25">
      <c r="A1122" s="1">
        <v>45204</v>
      </c>
      <c r="B1122" t="s">
        <v>26</v>
      </c>
      <c r="C1122" t="s">
        <v>36</v>
      </c>
      <c r="D1122">
        <v>6528</v>
      </c>
      <c r="E1122">
        <v>2361</v>
      </c>
      <c r="F1122">
        <v>4167</v>
      </c>
      <c r="G1122" t="s">
        <v>38</v>
      </c>
      <c r="H1122" t="s">
        <v>31</v>
      </c>
      <c r="I1122" t="s">
        <v>15</v>
      </c>
      <c r="J1122" s="2">
        <f>Table1[[#This Row],[Profit]]/Table1[[#This Row],[Sales]]*100</f>
        <v>63.83272058823529</v>
      </c>
      <c r="K1122" t="str">
        <f>IF(Table1[[#This Row],[Sales]]&gt;=30000,"High", IF(Table1[[#This Row],[Sales]]&gt;=15000,"Medium","Low"))</f>
        <v>Low</v>
      </c>
      <c r="L1122" t="str">
        <f>TEXT(Table1[[#This Row],[Order_Date]],"MMM")</f>
        <v>Oct</v>
      </c>
      <c r="M1122" t="str">
        <f>IF(Table1[[#This Row],[Profit]]&gt;=10000,"Excellent",IF(Table1[[#This Row],[Profit]]&gt;5000,"Good","Low"))</f>
        <v>Low</v>
      </c>
      <c r="N1122" t="str">
        <f>TEXT(Table1[[#This Row],[Order_Date]],"YYYY")</f>
        <v>2023</v>
      </c>
    </row>
    <row r="1123" spans="1:14" x14ac:dyDescent="0.25">
      <c r="A1123" s="1">
        <v>45592</v>
      </c>
      <c r="B1123" t="s">
        <v>26</v>
      </c>
      <c r="C1123" t="s">
        <v>41</v>
      </c>
      <c r="D1123">
        <v>22003</v>
      </c>
      <c r="E1123">
        <v>15905</v>
      </c>
      <c r="F1123">
        <v>6098</v>
      </c>
      <c r="G1123" t="s">
        <v>19</v>
      </c>
      <c r="H1123" t="s">
        <v>20</v>
      </c>
      <c r="I1123" t="s">
        <v>15</v>
      </c>
      <c r="J1123" s="2">
        <f>Table1[[#This Row],[Profit]]/Table1[[#This Row],[Sales]]*100</f>
        <v>27.714402581466164</v>
      </c>
      <c r="K1123" t="str">
        <f>IF(Table1[[#This Row],[Sales]]&gt;=30000,"High", IF(Table1[[#This Row],[Sales]]&gt;=15000,"Medium","Low"))</f>
        <v>Medium</v>
      </c>
      <c r="L1123" t="str">
        <f>TEXT(Table1[[#This Row],[Order_Date]],"MMM")</f>
        <v>Oct</v>
      </c>
      <c r="M1123" t="str">
        <f>IF(Table1[[#This Row],[Profit]]&gt;=10000,"Excellent",IF(Table1[[#This Row],[Profit]]&gt;5000,"Good","Low"))</f>
        <v>Good</v>
      </c>
      <c r="N1123" t="str">
        <f>TEXT(Table1[[#This Row],[Order_Date]],"YYYY")</f>
        <v>2024</v>
      </c>
    </row>
    <row r="1124" spans="1:14" x14ac:dyDescent="0.25">
      <c r="A1124" s="1">
        <v>45890</v>
      </c>
      <c r="B1124" t="s">
        <v>22</v>
      </c>
      <c r="C1124" t="s">
        <v>33</v>
      </c>
      <c r="D1124">
        <v>22903</v>
      </c>
      <c r="E1124">
        <v>22206</v>
      </c>
      <c r="F1124">
        <v>697</v>
      </c>
      <c r="G1124" t="s">
        <v>19</v>
      </c>
      <c r="H1124" t="s">
        <v>28</v>
      </c>
      <c r="I1124" t="s">
        <v>53</v>
      </c>
      <c r="J1124" s="2">
        <f>Table1[[#This Row],[Profit]]/Table1[[#This Row],[Sales]]*100</f>
        <v>3.0432694406846266</v>
      </c>
      <c r="K1124" t="str">
        <f>IF(Table1[[#This Row],[Sales]]&gt;=30000,"High", IF(Table1[[#This Row],[Sales]]&gt;=15000,"Medium","Low"))</f>
        <v>Medium</v>
      </c>
      <c r="L1124" t="str">
        <f>TEXT(Table1[[#This Row],[Order_Date]],"MMM")</f>
        <v>Aug</v>
      </c>
      <c r="M1124" t="str">
        <f>IF(Table1[[#This Row],[Profit]]&gt;=10000,"Excellent",IF(Table1[[#This Row],[Profit]]&gt;5000,"Good","Low"))</f>
        <v>Low</v>
      </c>
      <c r="N1124" t="str">
        <f>TEXT(Table1[[#This Row],[Order_Date]],"YYYY")</f>
        <v>2025</v>
      </c>
    </row>
    <row r="1125" spans="1:14" x14ac:dyDescent="0.25">
      <c r="A1125" s="1">
        <v>45704</v>
      </c>
      <c r="B1125" t="s">
        <v>44</v>
      </c>
      <c r="C1125" t="s">
        <v>41</v>
      </c>
      <c r="D1125">
        <v>25572</v>
      </c>
      <c r="E1125">
        <v>7149</v>
      </c>
      <c r="F1125">
        <v>18423</v>
      </c>
      <c r="G1125" t="s">
        <v>13</v>
      </c>
      <c r="H1125" t="s">
        <v>20</v>
      </c>
      <c r="I1125" t="s">
        <v>42</v>
      </c>
      <c r="J1125" s="2">
        <f>Table1[[#This Row],[Profit]]/Table1[[#This Row],[Sales]]*100</f>
        <v>72.043641482871891</v>
      </c>
      <c r="K1125" t="str">
        <f>IF(Table1[[#This Row],[Sales]]&gt;=30000,"High", IF(Table1[[#This Row],[Sales]]&gt;=15000,"Medium","Low"))</f>
        <v>Medium</v>
      </c>
      <c r="L1125" t="str">
        <f>TEXT(Table1[[#This Row],[Order_Date]],"MMM")</f>
        <v>Feb</v>
      </c>
      <c r="M1125" t="str">
        <f>IF(Table1[[#This Row],[Profit]]&gt;=10000,"Excellent",IF(Table1[[#This Row],[Profit]]&gt;5000,"Good","Low"))</f>
        <v>Excellent</v>
      </c>
      <c r="N1125" t="str">
        <f>TEXT(Table1[[#This Row],[Order_Date]],"YYYY")</f>
        <v>2025</v>
      </c>
    </row>
    <row r="1126" spans="1:14" x14ac:dyDescent="0.25">
      <c r="A1126" s="1">
        <v>45309</v>
      </c>
      <c r="B1126" t="s">
        <v>44</v>
      </c>
      <c r="C1126" t="s">
        <v>36</v>
      </c>
      <c r="D1126">
        <v>44049</v>
      </c>
      <c r="E1126">
        <v>33502</v>
      </c>
      <c r="F1126">
        <v>10547</v>
      </c>
      <c r="G1126" t="s">
        <v>13</v>
      </c>
      <c r="H1126" t="s">
        <v>20</v>
      </c>
      <c r="I1126" t="s">
        <v>29</v>
      </c>
      <c r="J1126" s="2">
        <f>Table1[[#This Row],[Profit]]/Table1[[#This Row],[Sales]]*100</f>
        <v>23.943789870371631</v>
      </c>
      <c r="K1126" t="str">
        <f>IF(Table1[[#This Row],[Sales]]&gt;=30000,"High", IF(Table1[[#This Row],[Sales]]&gt;=15000,"Medium","Low"))</f>
        <v>High</v>
      </c>
      <c r="L1126" t="str">
        <f>TEXT(Table1[[#This Row],[Order_Date]],"MMM")</f>
        <v>Jan</v>
      </c>
      <c r="M1126" t="str">
        <f>IF(Table1[[#This Row],[Profit]]&gt;=10000,"Excellent",IF(Table1[[#This Row],[Profit]]&gt;5000,"Good","Low"))</f>
        <v>Excellent</v>
      </c>
      <c r="N1126" t="str">
        <f>TEXT(Table1[[#This Row],[Order_Date]],"YYYY")</f>
        <v>2024</v>
      </c>
    </row>
    <row r="1127" spans="1:14" x14ac:dyDescent="0.25">
      <c r="A1127" s="1">
        <v>45372</v>
      </c>
      <c r="B1127" t="s">
        <v>22</v>
      </c>
      <c r="C1127" t="s">
        <v>36</v>
      </c>
      <c r="D1127">
        <v>31075</v>
      </c>
      <c r="E1127">
        <v>14899</v>
      </c>
      <c r="F1127">
        <v>16176</v>
      </c>
      <c r="G1127" t="s">
        <v>27</v>
      </c>
      <c r="H1127" t="s">
        <v>28</v>
      </c>
      <c r="I1127" t="s">
        <v>42</v>
      </c>
      <c r="J1127" s="2">
        <f>Table1[[#This Row],[Profit]]/Table1[[#This Row],[Sales]]*100</f>
        <v>52.054706355591307</v>
      </c>
      <c r="K1127" t="str">
        <f>IF(Table1[[#This Row],[Sales]]&gt;=30000,"High", IF(Table1[[#This Row],[Sales]]&gt;=15000,"Medium","Low"))</f>
        <v>High</v>
      </c>
      <c r="L1127" t="str">
        <f>TEXT(Table1[[#This Row],[Order_Date]],"MMM")</f>
        <v>Mar</v>
      </c>
      <c r="M1127" t="str">
        <f>IF(Table1[[#This Row],[Profit]]&gt;=10000,"Excellent",IF(Table1[[#This Row],[Profit]]&gt;5000,"Good","Low"))</f>
        <v>Excellent</v>
      </c>
      <c r="N1127" t="str">
        <f>TEXT(Table1[[#This Row],[Order_Date]],"YYYY")</f>
        <v>2024</v>
      </c>
    </row>
    <row r="1128" spans="1:14" x14ac:dyDescent="0.25">
      <c r="A1128" s="1">
        <v>46106</v>
      </c>
      <c r="B1128" t="s">
        <v>22</v>
      </c>
      <c r="C1128" t="s">
        <v>36</v>
      </c>
      <c r="D1128">
        <v>20522</v>
      </c>
      <c r="E1128">
        <v>3027</v>
      </c>
      <c r="F1128">
        <v>17495</v>
      </c>
      <c r="G1128" t="s">
        <v>38</v>
      </c>
      <c r="H1128" t="s">
        <v>31</v>
      </c>
      <c r="I1128" t="s">
        <v>42</v>
      </c>
      <c r="J1128" s="2">
        <f>Table1[[#This Row],[Profit]]/Table1[[#This Row],[Sales]]*100</f>
        <v>85.249975635902928</v>
      </c>
      <c r="K1128" t="str">
        <f>IF(Table1[[#This Row],[Sales]]&gt;=30000,"High", IF(Table1[[#This Row],[Sales]]&gt;=15000,"Medium","Low"))</f>
        <v>Medium</v>
      </c>
      <c r="L1128" t="str">
        <f>TEXT(Table1[[#This Row],[Order_Date]],"MMM")</f>
        <v>Mar</v>
      </c>
      <c r="M1128" t="str">
        <f>IF(Table1[[#This Row],[Profit]]&gt;=10000,"Excellent",IF(Table1[[#This Row],[Profit]]&gt;5000,"Good","Low"))</f>
        <v>Excellent</v>
      </c>
      <c r="N1128" t="str">
        <f>TEXT(Table1[[#This Row],[Order_Date]],"YYYY")</f>
        <v>2026</v>
      </c>
    </row>
    <row r="1129" spans="1:14" x14ac:dyDescent="0.25">
      <c r="A1129" s="1">
        <v>45929</v>
      </c>
      <c r="B1129" t="s">
        <v>22</v>
      </c>
      <c r="C1129" t="s">
        <v>33</v>
      </c>
      <c r="D1129">
        <v>11322</v>
      </c>
      <c r="E1129">
        <v>5789</v>
      </c>
      <c r="F1129">
        <v>5533</v>
      </c>
      <c r="G1129" t="s">
        <v>19</v>
      </c>
      <c r="H1129" t="s">
        <v>28</v>
      </c>
      <c r="I1129" t="s">
        <v>42</v>
      </c>
      <c r="J1129" s="2">
        <f>Table1[[#This Row],[Profit]]/Table1[[#This Row],[Sales]]*100</f>
        <v>48.869457692987105</v>
      </c>
      <c r="K1129" t="str">
        <f>IF(Table1[[#This Row],[Sales]]&gt;=30000,"High", IF(Table1[[#This Row],[Sales]]&gt;=15000,"Medium","Low"))</f>
        <v>Low</v>
      </c>
      <c r="L1129" t="str">
        <f>TEXT(Table1[[#This Row],[Order_Date]],"MMM")</f>
        <v>Sep</v>
      </c>
      <c r="M1129" t="str">
        <f>IF(Table1[[#This Row],[Profit]]&gt;=10000,"Excellent",IF(Table1[[#This Row],[Profit]]&gt;5000,"Good","Low"))</f>
        <v>Good</v>
      </c>
      <c r="N1129" t="str">
        <f>TEXT(Table1[[#This Row],[Order_Date]],"YYYY")</f>
        <v>2025</v>
      </c>
    </row>
    <row r="1130" spans="1:14" x14ac:dyDescent="0.25">
      <c r="A1130" s="1">
        <v>46144</v>
      </c>
      <c r="B1130" t="s">
        <v>22</v>
      </c>
      <c r="C1130" t="s">
        <v>18</v>
      </c>
      <c r="D1130">
        <v>15347</v>
      </c>
      <c r="E1130">
        <v>9800</v>
      </c>
      <c r="F1130">
        <v>5547</v>
      </c>
      <c r="G1130" t="s">
        <v>13</v>
      </c>
      <c r="H1130" t="s">
        <v>28</v>
      </c>
      <c r="I1130" t="s">
        <v>53</v>
      </c>
      <c r="J1130" s="2">
        <f>Table1[[#This Row],[Profit]]/Table1[[#This Row],[Sales]]*100</f>
        <v>36.143871766469019</v>
      </c>
      <c r="K1130" t="str">
        <f>IF(Table1[[#This Row],[Sales]]&gt;=30000,"High", IF(Table1[[#This Row],[Sales]]&gt;=15000,"Medium","Low"))</f>
        <v>Medium</v>
      </c>
      <c r="L1130" t="str">
        <f>TEXT(Table1[[#This Row],[Order_Date]],"MMM")</f>
        <v>May</v>
      </c>
      <c r="M1130" t="str">
        <f>IF(Table1[[#This Row],[Profit]]&gt;=10000,"Excellent",IF(Table1[[#This Row],[Profit]]&gt;5000,"Good","Low"))</f>
        <v>Good</v>
      </c>
      <c r="N1130" t="str">
        <f>TEXT(Table1[[#This Row],[Order_Date]],"YYYY")</f>
        <v>2026</v>
      </c>
    </row>
    <row r="1131" spans="1:14" x14ac:dyDescent="0.25">
      <c r="A1131" s="1">
        <v>45387</v>
      </c>
      <c r="B1131" t="s">
        <v>22</v>
      </c>
      <c r="C1131" t="s">
        <v>18</v>
      </c>
      <c r="D1131">
        <v>5971</v>
      </c>
      <c r="E1131">
        <v>4442</v>
      </c>
      <c r="F1131">
        <v>1529</v>
      </c>
      <c r="G1131" t="s">
        <v>27</v>
      </c>
      <c r="H1131" t="s">
        <v>34</v>
      </c>
      <c r="I1131" t="s">
        <v>24</v>
      </c>
      <c r="J1131" s="2">
        <f>Table1[[#This Row],[Profit]]/Table1[[#This Row],[Sales]]*100</f>
        <v>25.607100988109195</v>
      </c>
      <c r="K1131" t="str">
        <f>IF(Table1[[#This Row],[Sales]]&gt;=30000,"High", IF(Table1[[#This Row],[Sales]]&gt;=15000,"Medium","Low"))</f>
        <v>Low</v>
      </c>
      <c r="L1131" t="str">
        <f>TEXT(Table1[[#This Row],[Order_Date]],"MMM")</f>
        <v>Apr</v>
      </c>
      <c r="M1131" t="str">
        <f>IF(Table1[[#This Row],[Profit]]&gt;=10000,"Excellent",IF(Table1[[#This Row],[Profit]]&gt;5000,"Good","Low"))</f>
        <v>Low</v>
      </c>
      <c r="N1131" t="str">
        <f>TEXT(Table1[[#This Row],[Order_Date]],"YYYY")</f>
        <v>2024</v>
      </c>
    </row>
    <row r="1132" spans="1:14" x14ac:dyDescent="0.25">
      <c r="A1132" s="1">
        <v>45942</v>
      </c>
      <c r="B1132" t="s">
        <v>26</v>
      </c>
      <c r="C1132" t="s">
        <v>41</v>
      </c>
      <c r="D1132">
        <v>6626</v>
      </c>
      <c r="E1132">
        <v>2512</v>
      </c>
      <c r="F1132">
        <v>4114</v>
      </c>
      <c r="G1132" t="s">
        <v>27</v>
      </c>
      <c r="H1132" t="s">
        <v>14</v>
      </c>
      <c r="I1132" t="s">
        <v>29</v>
      </c>
      <c r="J1132" s="2">
        <f>Table1[[#This Row],[Profit]]/Table1[[#This Row],[Sales]]*100</f>
        <v>62.088741322064593</v>
      </c>
      <c r="K1132" t="str">
        <f>IF(Table1[[#This Row],[Sales]]&gt;=30000,"High", IF(Table1[[#This Row],[Sales]]&gt;=15000,"Medium","Low"))</f>
        <v>Low</v>
      </c>
      <c r="L1132" t="str">
        <f>TEXT(Table1[[#This Row],[Order_Date]],"MMM")</f>
        <v>Oct</v>
      </c>
      <c r="M1132" t="str">
        <f>IF(Table1[[#This Row],[Profit]]&gt;=10000,"Excellent",IF(Table1[[#This Row],[Profit]]&gt;5000,"Good","Low"))</f>
        <v>Low</v>
      </c>
      <c r="N1132" t="str">
        <f>TEXT(Table1[[#This Row],[Order_Date]],"YYYY")</f>
        <v>2025</v>
      </c>
    </row>
    <row r="1133" spans="1:14" x14ac:dyDescent="0.25">
      <c r="A1133" s="1">
        <v>45966</v>
      </c>
      <c r="B1133" t="s">
        <v>17</v>
      </c>
      <c r="C1133" t="s">
        <v>12</v>
      </c>
      <c r="D1133">
        <v>17091</v>
      </c>
      <c r="E1133">
        <v>9592</v>
      </c>
      <c r="F1133">
        <v>7499</v>
      </c>
      <c r="G1133" t="s">
        <v>27</v>
      </c>
      <c r="H1133" t="s">
        <v>23</v>
      </c>
      <c r="I1133" t="s">
        <v>53</v>
      </c>
      <c r="J1133" s="2">
        <f>Table1[[#This Row],[Profit]]/Table1[[#This Row],[Sales]]*100</f>
        <v>43.876894271838978</v>
      </c>
      <c r="K1133" t="str">
        <f>IF(Table1[[#This Row],[Sales]]&gt;=30000,"High", IF(Table1[[#This Row],[Sales]]&gt;=15000,"Medium","Low"))</f>
        <v>Medium</v>
      </c>
      <c r="L1133" t="str">
        <f>TEXT(Table1[[#This Row],[Order_Date]],"MMM")</f>
        <v>Nov</v>
      </c>
      <c r="M1133" t="str">
        <f>IF(Table1[[#This Row],[Profit]]&gt;=10000,"Excellent",IF(Table1[[#This Row],[Profit]]&gt;5000,"Good","Low"))</f>
        <v>Good</v>
      </c>
      <c r="N1133" t="str">
        <f>TEXT(Table1[[#This Row],[Order_Date]],"YYYY")</f>
        <v>2025</v>
      </c>
    </row>
    <row r="1134" spans="1:14" x14ac:dyDescent="0.25">
      <c r="A1134" s="1">
        <v>45416</v>
      </c>
      <c r="B1134" t="s">
        <v>26</v>
      </c>
      <c r="C1134" t="s">
        <v>18</v>
      </c>
      <c r="D1134">
        <v>9618</v>
      </c>
      <c r="E1134">
        <v>6851</v>
      </c>
      <c r="F1134">
        <v>2767</v>
      </c>
      <c r="G1134" t="s">
        <v>27</v>
      </c>
      <c r="H1134" t="s">
        <v>45</v>
      </c>
      <c r="I1134" t="s">
        <v>24</v>
      </c>
      <c r="J1134" s="2">
        <f>Table1[[#This Row],[Profit]]/Table1[[#This Row],[Sales]]*100</f>
        <v>28.768974838843835</v>
      </c>
      <c r="K1134" t="str">
        <f>IF(Table1[[#This Row],[Sales]]&gt;=30000,"High", IF(Table1[[#This Row],[Sales]]&gt;=15000,"Medium","Low"))</f>
        <v>Low</v>
      </c>
      <c r="L1134" t="str">
        <f>TEXT(Table1[[#This Row],[Order_Date]],"MMM")</f>
        <v>May</v>
      </c>
      <c r="M1134" t="str">
        <f>IF(Table1[[#This Row],[Profit]]&gt;=10000,"Excellent",IF(Table1[[#This Row],[Profit]]&gt;5000,"Good","Low"))</f>
        <v>Low</v>
      </c>
      <c r="N1134" t="str">
        <f>TEXT(Table1[[#This Row],[Order_Date]],"YYYY")</f>
        <v>2024</v>
      </c>
    </row>
    <row r="1135" spans="1:14" x14ac:dyDescent="0.25">
      <c r="A1135" s="1">
        <v>45614</v>
      </c>
      <c r="B1135" t="s">
        <v>44</v>
      </c>
      <c r="C1135" t="s">
        <v>36</v>
      </c>
      <c r="D1135">
        <v>11337</v>
      </c>
      <c r="E1135">
        <v>2587</v>
      </c>
      <c r="F1135">
        <v>8750</v>
      </c>
      <c r="G1135" t="s">
        <v>19</v>
      </c>
      <c r="H1135" t="s">
        <v>14</v>
      </c>
      <c r="I1135" t="s">
        <v>53</v>
      </c>
      <c r="J1135" s="2">
        <f>Table1[[#This Row],[Profit]]/Table1[[#This Row],[Sales]]*100</f>
        <v>77.180912057863637</v>
      </c>
      <c r="K1135" t="str">
        <f>IF(Table1[[#This Row],[Sales]]&gt;=30000,"High", IF(Table1[[#This Row],[Sales]]&gt;=15000,"Medium","Low"))</f>
        <v>Low</v>
      </c>
      <c r="L1135" t="str">
        <f>TEXT(Table1[[#This Row],[Order_Date]],"MMM")</f>
        <v>Nov</v>
      </c>
      <c r="M1135" t="str">
        <f>IF(Table1[[#This Row],[Profit]]&gt;=10000,"Excellent",IF(Table1[[#This Row],[Profit]]&gt;5000,"Good","Low"))</f>
        <v>Good</v>
      </c>
      <c r="N1135" t="str">
        <f>TEXT(Table1[[#This Row],[Order_Date]],"YYYY")</f>
        <v>2024</v>
      </c>
    </row>
    <row r="1136" spans="1:14" x14ac:dyDescent="0.25">
      <c r="A1136" s="1">
        <v>46180</v>
      </c>
      <c r="B1136" t="s">
        <v>26</v>
      </c>
      <c r="C1136" t="s">
        <v>33</v>
      </c>
      <c r="D1136">
        <v>11692</v>
      </c>
      <c r="E1136">
        <v>3587</v>
      </c>
      <c r="F1136">
        <v>8105</v>
      </c>
      <c r="G1136" t="s">
        <v>38</v>
      </c>
      <c r="H1136" t="s">
        <v>31</v>
      </c>
      <c r="I1136" t="s">
        <v>42</v>
      </c>
      <c r="J1136" s="2">
        <f>Table1[[#This Row],[Profit]]/Table1[[#This Row],[Sales]]*100</f>
        <v>69.320903181662672</v>
      </c>
      <c r="K1136" t="str">
        <f>IF(Table1[[#This Row],[Sales]]&gt;=30000,"High", IF(Table1[[#This Row],[Sales]]&gt;=15000,"Medium","Low"))</f>
        <v>Low</v>
      </c>
      <c r="L1136" t="str">
        <f>TEXT(Table1[[#This Row],[Order_Date]],"MMM")</f>
        <v>Jun</v>
      </c>
      <c r="M1136" t="str">
        <f>IF(Table1[[#This Row],[Profit]]&gt;=10000,"Excellent",IF(Table1[[#This Row],[Profit]]&gt;5000,"Good","Low"))</f>
        <v>Good</v>
      </c>
      <c r="N1136" t="str">
        <f>TEXT(Table1[[#This Row],[Order_Date]],"YYYY")</f>
        <v>2026</v>
      </c>
    </row>
    <row r="1137" spans="1:14" x14ac:dyDescent="0.25">
      <c r="A1137" s="1">
        <v>45188</v>
      </c>
      <c r="B1137" t="s">
        <v>22</v>
      </c>
      <c r="C1137" t="s">
        <v>33</v>
      </c>
      <c r="D1137">
        <v>11629</v>
      </c>
      <c r="E1137">
        <v>10103</v>
      </c>
      <c r="F1137">
        <v>1526</v>
      </c>
      <c r="G1137" t="s">
        <v>13</v>
      </c>
      <c r="H1137" t="s">
        <v>34</v>
      </c>
      <c r="I1137" t="s">
        <v>24</v>
      </c>
      <c r="J1137" s="2">
        <f>Table1[[#This Row],[Profit]]/Table1[[#This Row],[Sales]]*100</f>
        <v>13.122366497549232</v>
      </c>
      <c r="K1137" t="str">
        <f>IF(Table1[[#This Row],[Sales]]&gt;=30000,"High", IF(Table1[[#This Row],[Sales]]&gt;=15000,"Medium","Low"))</f>
        <v>Low</v>
      </c>
      <c r="L1137" t="str">
        <f>TEXT(Table1[[#This Row],[Order_Date]],"MMM")</f>
        <v>Sep</v>
      </c>
      <c r="M1137" t="str">
        <f>IF(Table1[[#This Row],[Profit]]&gt;=10000,"Excellent",IF(Table1[[#This Row],[Profit]]&gt;5000,"Good","Low"))</f>
        <v>Low</v>
      </c>
      <c r="N1137" t="str">
        <f>TEXT(Table1[[#This Row],[Order_Date]],"YYYY")</f>
        <v>2023</v>
      </c>
    </row>
    <row r="1138" spans="1:14" x14ac:dyDescent="0.25">
      <c r="A1138" s="1">
        <v>46118</v>
      </c>
      <c r="B1138" t="s">
        <v>11</v>
      </c>
      <c r="C1138" t="s">
        <v>36</v>
      </c>
      <c r="D1138">
        <v>47850</v>
      </c>
      <c r="E1138">
        <v>31568</v>
      </c>
      <c r="F1138">
        <v>16282</v>
      </c>
      <c r="G1138" t="s">
        <v>27</v>
      </c>
      <c r="H1138" t="s">
        <v>34</v>
      </c>
      <c r="I1138" t="s">
        <v>24</v>
      </c>
      <c r="J1138" s="2">
        <f>Table1[[#This Row],[Profit]]/Table1[[#This Row],[Sales]]*100</f>
        <v>34.027168234064789</v>
      </c>
      <c r="K1138" t="str">
        <f>IF(Table1[[#This Row],[Sales]]&gt;=30000,"High", IF(Table1[[#This Row],[Sales]]&gt;=15000,"Medium","Low"))</f>
        <v>High</v>
      </c>
      <c r="L1138" t="str">
        <f>TEXT(Table1[[#This Row],[Order_Date]],"MMM")</f>
        <v>Apr</v>
      </c>
      <c r="M1138" t="str">
        <f>IF(Table1[[#This Row],[Profit]]&gt;=10000,"Excellent",IF(Table1[[#This Row],[Profit]]&gt;5000,"Good","Low"))</f>
        <v>Excellent</v>
      </c>
      <c r="N1138" t="str">
        <f>TEXT(Table1[[#This Row],[Order_Date]],"YYYY")</f>
        <v>2026</v>
      </c>
    </row>
    <row r="1139" spans="1:14" x14ac:dyDescent="0.25">
      <c r="A1139" s="1">
        <v>46023</v>
      </c>
      <c r="B1139" t="s">
        <v>11</v>
      </c>
      <c r="C1139" t="s">
        <v>36</v>
      </c>
      <c r="D1139">
        <v>25925</v>
      </c>
      <c r="E1139">
        <v>13688</v>
      </c>
      <c r="F1139">
        <v>12237</v>
      </c>
      <c r="G1139" t="s">
        <v>27</v>
      </c>
      <c r="H1139" t="s">
        <v>20</v>
      </c>
      <c r="I1139" t="s">
        <v>53</v>
      </c>
      <c r="J1139" s="2">
        <f>Table1[[#This Row],[Profit]]/Table1[[#This Row],[Sales]]*100</f>
        <v>47.201542912246865</v>
      </c>
      <c r="K1139" t="str">
        <f>IF(Table1[[#This Row],[Sales]]&gt;=30000,"High", IF(Table1[[#This Row],[Sales]]&gt;=15000,"Medium","Low"))</f>
        <v>Medium</v>
      </c>
      <c r="L1139" t="str">
        <f>TEXT(Table1[[#This Row],[Order_Date]],"MMM")</f>
        <v>Jan</v>
      </c>
      <c r="M1139" t="str">
        <f>IF(Table1[[#This Row],[Profit]]&gt;=10000,"Excellent",IF(Table1[[#This Row],[Profit]]&gt;5000,"Good","Low"))</f>
        <v>Excellent</v>
      </c>
      <c r="N1139" t="str">
        <f>TEXT(Table1[[#This Row],[Order_Date]],"YYYY")</f>
        <v>2026</v>
      </c>
    </row>
    <row r="1140" spans="1:14" x14ac:dyDescent="0.25">
      <c r="A1140" s="1">
        <v>46103</v>
      </c>
      <c r="B1140" t="s">
        <v>26</v>
      </c>
      <c r="C1140" t="s">
        <v>33</v>
      </c>
      <c r="D1140">
        <v>34924</v>
      </c>
      <c r="E1140">
        <v>16299</v>
      </c>
      <c r="F1140">
        <v>18625</v>
      </c>
      <c r="G1140" t="s">
        <v>19</v>
      </c>
      <c r="H1140" t="s">
        <v>20</v>
      </c>
      <c r="I1140" t="s">
        <v>42</v>
      </c>
      <c r="J1140" s="2">
        <f>Table1[[#This Row],[Profit]]/Table1[[#This Row],[Sales]]*100</f>
        <v>53.330088191501545</v>
      </c>
      <c r="K1140" t="str">
        <f>IF(Table1[[#This Row],[Sales]]&gt;=30000,"High", IF(Table1[[#This Row],[Sales]]&gt;=15000,"Medium","Low"))</f>
        <v>High</v>
      </c>
      <c r="L1140" t="str">
        <f>TEXT(Table1[[#This Row],[Order_Date]],"MMM")</f>
        <v>Mar</v>
      </c>
      <c r="M1140" t="str">
        <f>IF(Table1[[#This Row],[Profit]]&gt;=10000,"Excellent",IF(Table1[[#This Row],[Profit]]&gt;5000,"Good","Low"))</f>
        <v>Excellent</v>
      </c>
      <c r="N1140" t="str">
        <f>TEXT(Table1[[#This Row],[Order_Date]],"YYYY")</f>
        <v>2026</v>
      </c>
    </row>
    <row r="1141" spans="1:14" x14ac:dyDescent="0.25">
      <c r="A1141" s="1">
        <v>45574</v>
      </c>
      <c r="B1141" t="s">
        <v>44</v>
      </c>
      <c r="C1141" t="s">
        <v>36</v>
      </c>
      <c r="D1141">
        <v>32875</v>
      </c>
      <c r="E1141">
        <v>16905</v>
      </c>
      <c r="F1141">
        <v>15970</v>
      </c>
      <c r="G1141" t="s">
        <v>38</v>
      </c>
      <c r="H1141" t="s">
        <v>34</v>
      </c>
      <c r="I1141" t="s">
        <v>29</v>
      </c>
      <c r="J1141" s="2">
        <f>Table1[[#This Row],[Profit]]/Table1[[#This Row],[Sales]]*100</f>
        <v>48.577946768060833</v>
      </c>
      <c r="K1141" t="str">
        <f>IF(Table1[[#This Row],[Sales]]&gt;=30000,"High", IF(Table1[[#This Row],[Sales]]&gt;=15000,"Medium","Low"))</f>
        <v>High</v>
      </c>
      <c r="L1141" t="str">
        <f>TEXT(Table1[[#This Row],[Order_Date]],"MMM")</f>
        <v>Oct</v>
      </c>
      <c r="M1141" t="str">
        <f>IF(Table1[[#This Row],[Profit]]&gt;=10000,"Excellent",IF(Table1[[#This Row],[Profit]]&gt;5000,"Good","Low"))</f>
        <v>Excellent</v>
      </c>
      <c r="N1141" t="str">
        <f>TEXT(Table1[[#This Row],[Order_Date]],"YYYY")</f>
        <v>2024</v>
      </c>
    </row>
    <row r="1142" spans="1:14" x14ac:dyDescent="0.25">
      <c r="A1142" s="1">
        <v>45670</v>
      </c>
      <c r="B1142" t="s">
        <v>17</v>
      </c>
      <c r="C1142" t="s">
        <v>41</v>
      </c>
      <c r="D1142">
        <v>24731</v>
      </c>
      <c r="E1142">
        <v>24114</v>
      </c>
      <c r="F1142">
        <v>617</v>
      </c>
      <c r="G1142" t="s">
        <v>13</v>
      </c>
      <c r="H1142" t="s">
        <v>31</v>
      </c>
      <c r="I1142" t="s">
        <v>15</v>
      </c>
      <c r="J1142" s="2">
        <f>Table1[[#This Row],[Profit]]/Table1[[#This Row],[Sales]]*100</f>
        <v>2.4948445271117223</v>
      </c>
      <c r="K1142" t="str">
        <f>IF(Table1[[#This Row],[Sales]]&gt;=30000,"High", IF(Table1[[#This Row],[Sales]]&gt;=15000,"Medium","Low"))</f>
        <v>Medium</v>
      </c>
      <c r="L1142" t="str">
        <f>TEXT(Table1[[#This Row],[Order_Date]],"MMM")</f>
        <v>Jan</v>
      </c>
      <c r="M1142" t="str">
        <f>IF(Table1[[#This Row],[Profit]]&gt;=10000,"Excellent",IF(Table1[[#This Row],[Profit]]&gt;5000,"Good","Low"))</f>
        <v>Low</v>
      </c>
      <c r="N1142" t="str">
        <f>TEXT(Table1[[#This Row],[Order_Date]],"YYYY")</f>
        <v>2025</v>
      </c>
    </row>
    <row r="1143" spans="1:14" x14ac:dyDescent="0.25">
      <c r="A1143" s="1">
        <v>45988</v>
      </c>
      <c r="B1143" t="s">
        <v>44</v>
      </c>
      <c r="C1143" t="s">
        <v>12</v>
      </c>
      <c r="D1143">
        <v>39688</v>
      </c>
      <c r="E1143">
        <v>38102</v>
      </c>
      <c r="F1143">
        <v>1586</v>
      </c>
      <c r="G1143" t="s">
        <v>27</v>
      </c>
      <c r="H1143" t="s">
        <v>45</v>
      </c>
      <c r="I1143" t="s">
        <v>15</v>
      </c>
      <c r="J1143" s="2">
        <f>Table1[[#This Row],[Profit]]/Table1[[#This Row],[Sales]]*100</f>
        <v>3.9961701269905259</v>
      </c>
      <c r="K1143" t="str">
        <f>IF(Table1[[#This Row],[Sales]]&gt;=30000,"High", IF(Table1[[#This Row],[Sales]]&gt;=15000,"Medium","Low"))</f>
        <v>High</v>
      </c>
      <c r="L1143" t="str">
        <f>TEXT(Table1[[#This Row],[Order_Date]],"MMM")</f>
        <v>Nov</v>
      </c>
      <c r="M1143" t="str">
        <f>IF(Table1[[#This Row],[Profit]]&gt;=10000,"Excellent",IF(Table1[[#This Row],[Profit]]&gt;5000,"Good","Low"))</f>
        <v>Low</v>
      </c>
      <c r="N1143" t="str">
        <f>TEXT(Table1[[#This Row],[Order_Date]],"YYYY")</f>
        <v>2025</v>
      </c>
    </row>
    <row r="1144" spans="1:14" x14ac:dyDescent="0.25">
      <c r="A1144" s="1">
        <v>45226</v>
      </c>
      <c r="B1144" t="s">
        <v>22</v>
      </c>
      <c r="C1144" t="s">
        <v>12</v>
      </c>
      <c r="D1144">
        <v>27652</v>
      </c>
      <c r="E1144">
        <v>25326</v>
      </c>
      <c r="F1144">
        <v>2326</v>
      </c>
      <c r="G1144" t="s">
        <v>27</v>
      </c>
      <c r="H1144" t="s">
        <v>60</v>
      </c>
      <c r="I1144" t="s">
        <v>53</v>
      </c>
      <c r="J1144" s="2">
        <f>Table1[[#This Row],[Profit]]/Table1[[#This Row],[Sales]]*100</f>
        <v>8.4116881238246783</v>
      </c>
      <c r="K1144" t="str">
        <f>IF(Table1[[#This Row],[Sales]]&gt;=30000,"High", IF(Table1[[#This Row],[Sales]]&gt;=15000,"Medium","Low"))</f>
        <v>Medium</v>
      </c>
      <c r="L1144" t="str">
        <f>TEXT(Table1[[#This Row],[Order_Date]],"MMM")</f>
        <v>Oct</v>
      </c>
      <c r="M1144" t="str">
        <f>IF(Table1[[#This Row],[Profit]]&gt;=10000,"Excellent",IF(Table1[[#This Row],[Profit]]&gt;5000,"Good","Low"))</f>
        <v>Low</v>
      </c>
      <c r="N1144" t="str">
        <f>TEXT(Table1[[#This Row],[Order_Date]],"YYYY")</f>
        <v>2023</v>
      </c>
    </row>
    <row r="1145" spans="1:14" x14ac:dyDescent="0.25">
      <c r="A1145" s="1">
        <v>45521</v>
      </c>
      <c r="B1145" t="s">
        <v>11</v>
      </c>
      <c r="C1145" t="s">
        <v>36</v>
      </c>
      <c r="D1145">
        <v>41098</v>
      </c>
      <c r="E1145">
        <v>30358</v>
      </c>
      <c r="F1145">
        <v>10740</v>
      </c>
      <c r="G1145" t="s">
        <v>38</v>
      </c>
      <c r="H1145" t="s">
        <v>14</v>
      </c>
      <c r="I1145" t="s">
        <v>42</v>
      </c>
      <c r="J1145" s="2">
        <f>Table1[[#This Row],[Profit]]/Table1[[#This Row],[Sales]]*100</f>
        <v>26.132658523529123</v>
      </c>
      <c r="K1145" t="str">
        <f>IF(Table1[[#This Row],[Sales]]&gt;=30000,"High", IF(Table1[[#This Row],[Sales]]&gt;=15000,"Medium","Low"))</f>
        <v>High</v>
      </c>
      <c r="L1145" t="str">
        <f>TEXT(Table1[[#This Row],[Order_Date]],"MMM")</f>
        <v>Aug</v>
      </c>
      <c r="M1145" t="str">
        <f>IF(Table1[[#This Row],[Profit]]&gt;=10000,"Excellent",IF(Table1[[#This Row],[Profit]]&gt;5000,"Good","Low"))</f>
        <v>Excellent</v>
      </c>
      <c r="N1145" t="str">
        <f>TEXT(Table1[[#This Row],[Order_Date]],"YYYY")</f>
        <v>2024</v>
      </c>
    </row>
    <row r="1146" spans="1:14" x14ac:dyDescent="0.25">
      <c r="A1146" s="1">
        <v>45354</v>
      </c>
      <c r="B1146" t="s">
        <v>26</v>
      </c>
      <c r="C1146" t="s">
        <v>18</v>
      </c>
      <c r="D1146">
        <v>36520</v>
      </c>
      <c r="E1146">
        <v>27543</v>
      </c>
      <c r="F1146">
        <v>8977</v>
      </c>
      <c r="G1146" t="s">
        <v>27</v>
      </c>
      <c r="H1146" t="s">
        <v>14</v>
      </c>
      <c r="I1146" t="s">
        <v>29</v>
      </c>
      <c r="J1146" s="2">
        <f>Table1[[#This Row],[Profit]]/Table1[[#This Row],[Sales]]*100</f>
        <v>24.581051478641839</v>
      </c>
      <c r="K1146" t="str">
        <f>IF(Table1[[#This Row],[Sales]]&gt;=30000,"High", IF(Table1[[#This Row],[Sales]]&gt;=15000,"Medium","Low"))</f>
        <v>High</v>
      </c>
      <c r="L1146" t="str">
        <f>TEXT(Table1[[#This Row],[Order_Date]],"MMM")</f>
        <v>Mar</v>
      </c>
      <c r="M1146" t="str">
        <f>IF(Table1[[#This Row],[Profit]]&gt;=10000,"Excellent",IF(Table1[[#This Row],[Profit]]&gt;5000,"Good","Low"))</f>
        <v>Good</v>
      </c>
      <c r="N1146" t="str">
        <f>TEXT(Table1[[#This Row],[Order_Date]],"YYYY")</f>
        <v>2024</v>
      </c>
    </row>
    <row r="1147" spans="1:14" x14ac:dyDescent="0.25">
      <c r="A1147" s="1">
        <v>46123</v>
      </c>
      <c r="B1147" t="s">
        <v>22</v>
      </c>
      <c r="C1147" t="s">
        <v>18</v>
      </c>
      <c r="D1147">
        <v>10011</v>
      </c>
      <c r="E1147">
        <v>7546</v>
      </c>
      <c r="F1147">
        <v>2465</v>
      </c>
      <c r="G1147" t="s">
        <v>38</v>
      </c>
      <c r="H1147" t="s">
        <v>63</v>
      </c>
      <c r="I1147" t="s">
        <v>42</v>
      </c>
      <c r="J1147" s="2">
        <f>Table1[[#This Row],[Profit]]/Table1[[#This Row],[Sales]]*100</f>
        <v>24.622914793726899</v>
      </c>
      <c r="K1147" t="str">
        <f>IF(Table1[[#This Row],[Sales]]&gt;=30000,"High", IF(Table1[[#This Row],[Sales]]&gt;=15000,"Medium","Low"))</f>
        <v>Low</v>
      </c>
      <c r="L1147" t="str">
        <f>TEXT(Table1[[#This Row],[Order_Date]],"MMM")</f>
        <v>Apr</v>
      </c>
      <c r="M1147" t="str">
        <f>IF(Table1[[#This Row],[Profit]]&gt;=10000,"Excellent",IF(Table1[[#This Row],[Profit]]&gt;5000,"Good","Low"))</f>
        <v>Low</v>
      </c>
      <c r="N1147" t="str">
        <f>TEXT(Table1[[#This Row],[Order_Date]],"YYYY")</f>
        <v>2026</v>
      </c>
    </row>
    <row r="1148" spans="1:14" x14ac:dyDescent="0.25">
      <c r="A1148" s="1">
        <v>45295</v>
      </c>
      <c r="B1148" t="s">
        <v>11</v>
      </c>
      <c r="C1148" t="s">
        <v>41</v>
      </c>
      <c r="D1148">
        <v>9776</v>
      </c>
      <c r="E1148">
        <v>6663</v>
      </c>
      <c r="F1148">
        <v>3113</v>
      </c>
      <c r="G1148" t="s">
        <v>38</v>
      </c>
      <c r="H1148" t="s">
        <v>28</v>
      </c>
      <c r="I1148" t="s">
        <v>15</v>
      </c>
      <c r="J1148" s="2">
        <f>Table1[[#This Row],[Profit]]/Table1[[#This Row],[Sales]]*100</f>
        <v>31.843289689034371</v>
      </c>
      <c r="K1148" t="str">
        <f>IF(Table1[[#This Row],[Sales]]&gt;=30000,"High", IF(Table1[[#This Row],[Sales]]&gt;=15000,"Medium","Low"))</f>
        <v>Low</v>
      </c>
      <c r="L1148" t="str">
        <f>TEXT(Table1[[#This Row],[Order_Date]],"MMM")</f>
        <v>Jan</v>
      </c>
      <c r="M1148" t="str">
        <f>IF(Table1[[#This Row],[Profit]]&gt;=10000,"Excellent",IF(Table1[[#This Row],[Profit]]&gt;5000,"Good","Low"))</f>
        <v>Low</v>
      </c>
      <c r="N1148" t="str">
        <f>TEXT(Table1[[#This Row],[Order_Date]],"YYYY")</f>
        <v>2024</v>
      </c>
    </row>
    <row r="1149" spans="1:14" x14ac:dyDescent="0.25">
      <c r="A1149" s="1">
        <v>45116</v>
      </c>
      <c r="B1149" t="s">
        <v>22</v>
      </c>
      <c r="C1149" t="s">
        <v>41</v>
      </c>
      <c r="D1149">
        <v>17984</v>
      </c>
      <c r="E1149">
        <v>9441</v>
      </c>
      <c r="F1149">
        <v>8543</v>
      </c>
      <c r="G1149" t="s">
        <v>27</v>
      </c>
      <c r="H1149" t="s">
        <v>28</v>
      </c>
      <c r="I1149" t="s">
        <v>15</v>
      </c>
      <c r="J1149" s="2">
        <f>Table1[[#This Row],[Profit]]/Table1[[#This Row],[Sales]]*100</f>
        <v>47.503336298932389</v>
      </c>
      <c r="K1149" t="str">
        <f>IF(Table1[[#This Row],[Sales]]&gt;=30000,"High", IF(Table1[[#This Row],[Sales]]&gt;=15000,"Medium","Low"))</f>
        <v>Medium</v>
      </c>
      <c r="L1149" t="str">
        <f>TEXT(Table1[[#This Row],[Order_Date]],"MMM")</f>
        <v>Jul</v>
      </c>
      <c r="M1149" t="str">
        <f>IF(Table1[[#This Row],[Profit]]&gt;=10000,"Excellent",IF(Table1[[#This Row],[Profit]]&gt;5000,"Good","Low"))</f>
        <v>Good</v>
      </c>
      <c r="N1149" t="str">
        <f>TEXT(Table1[[#This Row],[Order_Date]],"YYYY")</f>
        <v>2023</v>
      </c>
    </row>
    <row r="1150" spans="1:14" x14ac:dyDescent="0.25">
      <c r="A1150" s="1">
        <v>45683</v>
      </c>
      <c r="B1150" t="s">
        <v>17</v>
      </c>
      <c r="C1150" t="s">
        <v>36</v>
      </c>
      <c r="D1150">
        <v>16244</v>
      </c>
      <c r="E1150">
        <v>14343</v>
      </c>
      <c r="F1150">
        <v>1901</v>
      </c>
      <c r="G1150" t="s">
        <v>38</v>
      </c>
      <c r="H1150" t="s">
        <v>31</v>
      </c>
      <c r="I1150" t="s">
        <v>15</v>
      </c>
      <c r="J1150" s="2">
        <f>Table1[[#This Row],[Profit]]/Table1[[#This Row],[Sales]]*100</f>
        <v>11.702782565870477</v>
      </c>
      <c r="K1150" t="str">
        <f>IF(Table1[[#This Row],[Sales]]&gt;=30000,"High", IF(Table1[[#This Row],[Sales]]&gt;=15000,"Medium","Low"))</f>
        <v>Medium</v>
      </c>
      <c r="L1150" t="str">
        <f>TEXT(Table1[[#This Row],[Order_Date]],"MMM")</f>
        <v>Jan</v>
      </c>
      <c r="M1150" t="str">
        <f>IF(Table1[[#This Row],[Profit]]&gt;=10000,"Excellent",IF(Table1[[#This Row],[Profit]]&gt;5000,"Good","Low"))</f>
        <v>Low</v>
      </c>
      <c r="N1150" t="str">
        <f>TEXT(Table1[[#This Row],[Order_Date]],"YYYY")</f>
        <v>2025</v>
      </c>
    </row>
    <row r="1151" spans="1:14" x14ac:dyDescent="0.25">
      <c r="A1151" s="1">
        <v>45872</v>
      </c>
      <c r="B1151" t="s">
        <v>11</v>
      </c>
      <c r="C1151" t="s">
        <v>36</v>
      </c>
      <c r="D1151">
        <v>10375</v>
      </c>
      <c r="E1151">
        <v>5827</v>
      </c>
      <c r="F1151">
        <v>4548</v>
      </c>
      <c r="G1151" t="s">
        <v>13</v>
      </c>
      <c r="H1151" t="s">
        <v>34</v>
      </c>
      <c r="I1151" t="s">
        <v>15</v>
      </c>
      <c r="J1151" s="2">
        <f>Table1[[#This Row],[Profit]]/Table1[[#This Row],[Sales]]*100</f>
        <v>43.836144578313252</v>
      </c>
      <c r="K1151" t="str">
        <f>IF(Table1[[#This Row],[Sales]]&gt;=30000,"High", IF(Table1[[#This Row],[Sales]]&gt;=15000,"Medium","Low"))</f>
        <v>Low</v>
      </c>
      <c r="L1151" t="str">
        <f>TEXT(Table1[[#This Row],[Order_Date]],"MMM")</f>
        <v>Aug</v>
      </c>
      <c r="M1151" t="str">
        <f>IF(Table1[[#This Row],[Profit]]&gt;=10000,"Excellent",IF(Table1[[#This Row],[Profit]]&gt;5000,"Good","Low"))</f>
        <v>Low</v>
      </c>
      <c r="N1151" t="str">
        <f>TEXT(Table1[[#This Row],[Order_Date]],"YYYY")</f>
        <v>2025</v>
      </c>
    </row>
    <row r="1152" spans="1:14" x14ac:dyDescent="0.25">
      <c r="A1152" s="1">
        <v>45697</v>
      </c>
      <c r="B1152" t="s">
        <v>22</v>
      </c>
      <c r="C1152" t="s">
        <v>41</v>
      </c>
      <c r="D1152">
        <v>35401</v>
      </c>
      <c r="E1152">
        <v>26208</v>
      </c>
      <c r="F1152">
        <v>9193</v>
      </c>
      <c r="G1152" t="s">
        <v>27</v>
      </c>
      <c r="H1152" t="s">
        <v>14</v>
      </c>
      <c r="I1152" t="s">
        <v>42</v>
      </c>
      <c r="J1152" s="2">
        <f>Table1[[#This Row],[Profit]]/Table1[[#This Row],[Sales]]*100</f>
        <v>25.968192988898618</v>
      </c>
      <c r="K1152" t="str">
        <f>IF(Table1[[#This Row],[Sales]]&gt;=30000,"High", IF(Table1[[#This Row],[Sales]]&gt;=15000,"Medium","Low"))</f>
        <v>High</v>
      </c>
      <c r="L1152" t="str">
        <f>TEXT(Table1[[#This Row],[Order_Date]],"MMM")</f>
        <v>Feb</v>
      </c>
      <c r="M1152" t="str">
        <f>IF(Table1[[#This Row],[Profit]]&gt;=10000,"Excellent",IF(Table1[[#This Row],[Profit]]&gt;5000,"Good","Low"))</f>
        <v>Good</v>
      </c>
      <c r="N1152" t="str">
        <f>TEXT(Table1[[#This Row],[Order_Date]],"YYYY")</f>
        <v>2025</v>
      </c>
    </row>
    <row r="1153" spans="1:14" x14ac:dyDescent="0.25">
      <c r="A1153" s="1">
        <v>46197</v>
      </c>
      <c r="B1153" t="s">
        <v>44</v>
      </c>
      <c r="C1153" t="s">
        <v>41</v>
      </c>
      <c r="D1153">
        <v>18555</v>
      </c>
      <c r="E1153">
        <v>2907</v>
      </c>
      <c r="F1153">
        <v>15648</v>
      </c>
      <c r="G1153" t="s">
        <v>27</v>
      </c>
      <c r="H1153" t="s">
        <v>34</v>
      </c>
      <c r="I1153" t="s">
        <v>42</v>
      </c>
      <c r="J1153" s="2">
        <f>Table1[[#This Row],[Profit]]/Table1[[#This Row],[Sales]]*100</f>
        <v>84.333063864187551</v>
      </c>
      <c r="K1153" t="str">
        <f>IF(Table1[[#This Row],[Sales]]&gt;=30000,"High", IF(Table1[[#This Row],[Sales]]&gt;=15000,"Medium","Low"))</f>
        <v>Medium</v>
      </c>
      <c r="L1153" t="str">
        <f>TEXT(Table1[[#This Row],[Order_Date]],"MMM")</f>
        <v>Jun</v>
      </c>
      <c r="M1153" t="str">
        <f>IF(Table1[[#This Row],[Profit]]&gt;=10000,"Excellent",IF(Table1[[#This Row],[Profit]]&gt;5000,"Good","Low"))</f>
        <v>Excellent</v>
      </c>
      <c r="N1153" t="str">
        <f>TEXT(Table1[[#This Row],[Order_Date]],"YYYY")</f>
        <v>2026</v>
      </c>
    </row>
    <row r="1154" spans="1:14" x14ac:dyDescent="0.25">
      <c r="A1154" s="1">
        <v>45850</v>
      </c>
      <c r="B1154" t="s">
        <v>22</v>
      </c>
      <c r="C1154" t="s">
        <v>36</v>
      </c>
      <c r="D1154">
        <v>11496</v>
      </c>
      <c r="E1154">
        <v>10398</v>
      </c>
      <c r="F1154">
        <v>1098</v>
      </c>
      <c r="G1154" t="s">
        <v>13</v>
      </c>
      <c r="H1154" t="s">
        <v>60</v>
      </c>
      <c r="I1154" t="s">
        <v>24</v>
      </c>
      <c r="J1154" s="2">
        <f>Table1[[#This Row],[Profit]]/Table1[[#This Row],[Sales]]*100</f>
        <v>9.5511482254697277</v>
      </c>
      <c r="K1154" t="str">
        <f>IF(Table1[[#This Row],[Sales]]&gt;=30000,"High", IF(Table1[[#This Row],[Sales]]&gt;=15000,"Medium","Low"))</f>
        <v>Low</v>
      </c>
      <c r="L1154" t="str">
        <f>TEXT(Table1[[#This Row],[Order_Date]],"MMM")</f>
        <v>Jul</v>
      </c>
      <c r="M1154" t="str">
        <f>IF(Table1[[#This Row],[Profit]]&gt;=10000,"Excellent",IF(Table1[[#This Row],[Profit]]&gt;5000,"Good","Low"))</f>
        <v>Low</v>
      </c>
      <c r="N1154" t="str">
        <f>TEXT(Table1[[#This Row],[Order_Date]],"YYYY")</f>
        <v>2025</v>
      </c>
    </row>
    <row r="1155" spans="1:14" x14ac:dyDescent="0.25">
      <c r="A1155" s="1">
        <v>46105</v>
      </c>
      <c r="B1155" t="s">
        <v>17</v>
      </c>
      <c r="C1155" t="s">
        <v>36</v>
      </c>
      <c r="D1155">
        <v>7216</v>
      </c>
      <c r="E1155">
        <v>6029</v>
      </c>
      <c r="F1155">
        <v>1187</v>
      </c>
      <c r="G1155" t="s">
        <v>13</v>
      </c>
      <c r="H1155" t="s">
        <v>78</v>
      </c>
      <c r="I1155" t="s">
        <v>24</v>
      </c>
      <c r="J1155" s="2">
        <f>Table1[[#This Row],[Profit]]/Table1[[#This Row],[Sales]]*100</f>
        <v>16.449556541019955</v>
      </c>
      <c r="K1155" t="str">
        <f>IF(Table1[[#This Row],[Sales]]&gt;=30000,"High", IF(Table1[[#This Row],[Sales]]&gt;=15000,"Medium","Low"))</f>
        <v>Low</v>
      </c>
      <c r="L1155" t="str">
        <f>TEXT(Table1[[#This Row],[Order_Date]],"MMM")</f>
        <v>Mar</v>
      </c>
      <c r="M1155" t="str">
        <f>IF(Table1[[#This Row],[Profit]]&gt;=10000,"Excellent",IF(Table1[[#This Row],[Profit]]&gt;5000,"Good","Low"))</f>
        <v>Low</v>
      </c>
      <c r="N1155" t="str">
        <f>TEXT(Table1[[#This Row],[Order_Date]],"YYYY")</f>
        <v>2026</v>
      </c>
    </row>
    <row r="1156" spans="1:14" x14ac:dyDescent="0.25">
      <c r="A1156" s="1">
        <v>45631</v>
      </c>
      <c r="B1156" t="s">
        <v>44</v>
      </c>
      <c r="C1156" t="s">
        <v>18</v>
      </c>
      <c r="D1156">
        <v>33346</v>
      </c>
      <c r="E1156">
        <v>21889</v>
      </c>
      <c r="F1156">
        <v>11457</v>
      </c>
      <c r="G1156" t="s">
        <v>27</v>
      </c>
      <c r="H1156" t="s">
        <v>31</v>
      </c>
      <c r="I1156" t="s">
        <v>24</v>
      </c>
      <c r="J1156" s="2">
        <f>Table1[[#This Row],[Profit]]/Table1[[#This Row],[Sales]]*100</f>
        <v>34.357943981287107</v>
      </c>
      <c r="K1156" t="str">
        <f>IF(Table1[[#This Row],[Sales]]&gt;=30000,"High", IF(Table1[[#This Row],[Sales]]&gt;=15000,"Medium","Low"))</f>
        <v>High</v>
      </c>
      <c r="L1156" t="str">
        <f>TEXT(Table1[[#This Row],[Order_Date]],"MMM")</f>
        <v>Dec</v>
      </c>
      <c r="M1156" t="str">
        <f>IF(Table1[[#This Row],[Profit]]&gt;=10000,"Excellent",IF(Table1[[#This Row],[Profit]]&gt;5000,"Good","Low"))</f>
        <v>Excellent</v>
      </c>
      <c r="N1156" t="str">
        <f>TEXT(Table1[[#This Row],[Order_Date]],"YYYY")</f>
        <v>2024</v>
      </c>
    </row>
    <row r="1157" spans="1:14" x14ac:dyDescent="0.25">
      <c r="A1157" s="1">
        <v>45756</v>
      </c>
      <c r="B1157" t="s">
        <v>44</v>
      </c>
      <c r="C1157" t="s">
        <v>36</v>
      </c>
      <c r="D1157">
        <v>7745</v>
      </c>
      <c r="E1157">
        <v>612</v>
      </c>
      <c r="F1157">
        <v>7133</v>
      </c>
      <c r="G1157" t="s">
        <v>27</v>
      </c>
      <c r="H1157" t="s">
        <v>45</v>
      </c>
      <c r="I1157" t="s">
        <v>53</v>
      </c>
      <c r="J1157" s="2">
        <f>Table1[[#This Row],[Profit]]/Table1[[#This Row],[Sales]]*100</f>
        <v>92.098127824402837</v>
      </c>
      <c r="K1157" t="str">
        <f>IF(Table1[[#This Row],[Sales]]&gt;=30000,"High", IF(Table1[[#This Row],[Sales]]&gt;=15000,"Medium","Low"))</f>
        <v>Low</v>
      </c>
      <c r="L1157" t="str">
        <f>TEXT(Table1[[#This Row],[Order_Date]],"MMM")</f>
        <v>Apr</v>
      </c>
      <c r="M1157" t="str">
        <f>IF(Table1[[#This Row],[Profit]]&gt;=10000,"Excellent",IF(Table1[[#This Row],[Profit]]&gt;5000,"Good","Low"))</f>
        <v>Good</v>
      </c>
      <c r="N1157" t="str">
        <f>TEXT(Table1[[#This Row],[Order_Date]],"YYYY")</f>
        <v>2025</v>
      </c>
    </row>
    <row r="1158" spans="1:14" x14ac:dyDescent="0.25">
      <c r="A1158" s="1">
        <v>45752</v>
      </c>
      <c r="B1158" t="s">
        <v>17</v>
      </c>
      <c r="C1158" t="s">
        <v>36</v>
      </c>
      <c r="D1158">
        <v>25903</v>
      </c>
      <c r="E1158">
        <v>5906</v>
      </c>
      <c r="F1158">
        <v>19997</v>
      </c>
      <c r="G1158" t="s">
        <v>13</v>
      </c>
      <c r="H1158" t="s">
        <v>23</v>
      </c>
      <c r="I1158" t="s">
        <v>53</v>
      </c>
      <c r="J1158" s="2">
        <f>Table1[[#This Row],[Profit]]/Table1[[#This Row],[Sales]]*100</f>
        <v>77.19955217542369</v>
      </c>
      <c r="K1158" t="str">
        <f>IF(Table1[[#This Row],[Sales]]&gt;=30000,"High", IF(Table1[[#This Row],[Sales]]&gt;=15000,"Medium","Low"))</f>
        <v>Medium</v>
      </c>
      <c r="L1158" t="str">
        <f>TEXT(Table1[[#This Row],[Order_Date]],"MMM")</f>
        <v>Apr</v>
      </c>
      <c r="M1158" t="str">
        <f>IF(Table1[[#This Row],[Profit]]&gt;=10000,"Excellent",IF(Table1[[#This Row],[Profit]]&gt;5000,"Good","Low"))</f>
        <v>Excellent</v>
      </c>
      <c r="N1158" t="str">
        <f>TEXT(Table1[[#This Row],[Order_Date]],"YYYY")</f>
        <v>2025</v>
      </c>
    </row>
    <row r="1159" spans="1:14" x14ac:dyDescent="0.25">
      <c r="A1159" s="1">
        <v>45504</v>
      </c>
      <c r="B1159" t="s">
        <v>22</v>
      </c>
      <c r="C1159" t="s">
        <v>33</v>
      </c>
      <c r="D1159">
        <v>21695</v>
      </c>
      <c r="E1159">
        <v>10344</v>
      </c>
      <c r="F1159">
        <v>11351</v>
      </c>
      <c r="G1159" t="s">
        <v>13</v>
      </c>
      <c r="H1159" t="s">
        <v>23</v>
      </c>
      <c r="I1159" t="s">
        <v>42</v>
      </c>
      <c r="J1159" s="2">
        <f>Table1[[#This Row],[Profit]]/Table1[[#This Row],[Sales]]*100</f>
        <v>52.32081124683107</v>
      </c>
      <c r="K1159" t="str">
        <f>IF(Table1[[#This Row],[Sales]]&gt;=30000,"High", IF(Table1[[#This Row],[Sales]]&gt;=15000,"Medium","Low"))</f>
        <v>Medium</v>
      </c>
      <c r="L1159" t="str">
        <f>TEXT(Table1[[#This Row],[Order_Date]],"MMM")</f>
        <v>Jul</v>
      </c>
      <c r="M1159" t="str">
        <f>IF(Table1[[#This Row],[Profit]]&gt;=10000,"Excellent",IF(Table1[[#This Row],[Profit]]&gt;5000,"Good","Low"))</f>
        <v>Excellent</v>
      </c>
      <c r="N1159" t="str">
        <f>TEXT(Table1[[#This Row],[Order_Date]],"YYYY")</f>
        <v>2024</v>
      </c>
    </row>
    <row r="1160" spans="1:14" x14ac:dyDescent="0.25">
      <c r="A1160" s="1">
        <v>45419</v>
      </c>
      <c r="B1160" t="s">
        <v>17</v>
      </c>
      <c r="C1160" t="s">
        <v>18</v>
      </c>
      <c r="D1160">
        <v>32821</v>
      </c>
      <c r="E1160">
        <v>28724</v>
      </c>
      <c r="F1160">
        <v>4097</v>
      </c>
      <c r="G1160" t="s">
        <v>38</v>
      </c>
      <c r="H1160" t="s">
        <v>28</v>
      </c>
      <c r="I1160" t="s">
        <v>29</v>
      </c>
      <c r="J1160" s="2">
        <f>Table1[[#This Row],[Profit]]/Table1[[#This Row],[Sales]]*100</f>
        <v>12.482861582523384</v>
      </c>
      <c r="K1160" t="str">
        <f>IF(Table1[[#This Row],[Sales]]&gt;=30000,"High", IF(Table1[[#This Row],[Sales]]&gt;=15000,"Medium","Low"))</f>
        <v>High</v>
      </c>
      <c r="L1160" t="str">
        <f>TEXT(Table1[[#This Row],[Order_Date]],"MMM")</f>
        <v>May</v>
      </c>
      <c r="M1160" t="str">
        <f>IF(Table1[[#This Row],[Profit]]&gt;=10000,"Excellent",IF(Table1[[#This Row],[Profit]]&gt;5000,"Good","Low"))</f>
        <v>Low</v>
      </c>
      <c r="N1160" t="str">
        <f>TEXT(Table1[[#This Row],[Order_Date]],"YYYY")</f>
        <v>2024</v>
      </c>
    </row>
    <row r="1161" spans="1:14" x14ac:dyDescent="0.25">
      <c r="A1161" s="1">
        <v>45782</v>
      </c>
      <c r="B1161" t="s">
        <v>26</v>
      </c>
      <c r="C1161" t="s">
        <v>41</v>
      </c>
      <c r="D1161">
        <v>48250</v>
      </c>
      <c r="E1161">
        <v>31685</v>
      </c>
      <c r="F1161">
        <v>16565</v>
      </c>
      <c r="G1161" t="s">
        <v>19</v>
      </c>
      <c r="H1161" t="s">
        <v>45</v>
      </c>
      <c r="I1161" t="s">
        <v>53</v>
      </c>
      <c r="J1161" s="2">
        <f>Table1[[#This Row],[Profit]]/Table1[[#This Row],[Sales]]*100</f>
        <v>34.331606217616581</v>
      </c>
      <c r="K1161" t="str">
        <f>IF(Table1[[#This Row],[Sales]]&gt;=30000,"High", IF(Table1[[#This Row],[Sales]]&gt;=15000,"Medium","Low"))</f>
        <v>High</v>
      </c>
      <c r="L1161" t="str">
        <f>TEXT(Table1[[#This Row],[Order_Date]],"MMM")</f>
        <v>May</v>
      </c>
      <c r="M1161" t="str">
        <f>IF(Table1[[#This Row],[Profit]]&gt;=10000,"Excellent",IF(Table1[[#This Row],[Profit]]&gt;5000,"Good","Low"))</f>
        <v>Excellent</v>
      </c>
      <c r="N1161" t="str">
        <f>TEXT(Table1[[#This Row],[Order_Date]],"YYYY")</f>
        <v>2025</v>
      </c>
    </row>
    <row r="1162" spans="1:14" x14ac:dyDescent="0.25">
      <c r="A1162" s="1">
        <v>45325</v>
      </c>
      <c r="B1162" t="s">
        <v>22</v>
      </c>
      <c r="C1162" t="s">
        <v>41</v>
      </c>
      <c r="D1162">
        <v>33209</v>
      </c>
      <c r="E1162">
        <v>27035</v>
      </c>
      <c r="F1162">
        <v>6174</v>
      </c>
      <c r="G1162" t="s">
        <v>27</v>
      </c>
      <c r="H1162" t="s">
        <v>60</v>
      </c>
      <c r="I1162" t="s">
        <v>29</v>
      </c>
      <c r="J1162" s="2">
        <f>Table1[[#This Row],[Profit]]/Table1[[#This Row],[Sales]]*100</f>
        <v>18.591345719533862</v>
      </c>
      <c r="K1162" t="str">
        <f>IF(Table1[[#This Row],[Sales]]&gt;=30000,"High", IF(Table1[[#This Row],[Sales]]&gt;=15000,"Medium","Low"))</f>
        <v>High</v>
      </c>
      <c r="L1162" t="str">
        <f>TEXT(Table1[[#This Row],[Order_Date]],"MMM")</f>
        <v>Feb</v>
      </c>
      <c r="M1162" t="str">
        <f>IF(Table1[[#This Row],[Profit]]&gt;=10000,"Excellent",IF(Table1[[#This Row],[Profit]]&gt;5000,"Good","Low"))</f>
        <v>Good</v>
      </c>
      <c r="N1162" t="str">
        <f>TEXT(Table1[[#This Row],[Order_Date]],"YYYY")</f>
        <v>2024</v>
      </c>
    </row>
    <row r="1163" spans="1:14" x14ac:dyDescent="0.25">
      <c r="A1163" s="1">
        <v>45548</v>
      </c>
      <c r="B1163" t="s">
        <v>17</v>
      </c>
      <c r="C1163" t="s">
        <v>12</v>
      </c>
      <c r="D1163">
        <v>45420</v>
      </c>
      <c r="E1163">
        <v>42561</v>
      </c>
      <c r="F1163">
        <v>2859</v>
      </c>
      <c r="G1163" t="s">
        <v>27</v>
      </c>
      <c r="H1163" t="s">
        <v>63</v>
      </c>
      <c r="I1163" t="s">
        <v>42</v>
      </c>
      <c r="J1163" s="2">
        <f>Table1[[#This Row],[Profit]]/Table1[[#This Row],[Sales]]*100</f>
        <v>6.2945838837516517</v>
      </c>
      <c r="K1163" t="str">
        <f>IF(Table1[[#This Row],[Sales]]&gt;=30000,"High", IF(Table1[[#This Row],[Sales]]&gt;=15000,"Medium","Low"))</f>
        <v>High</v>
      </c>
      <c r="L1163" t="str">
        <f>TEXT(Table1[[#This Row],[Order_Date]],"MMM")</f>
        <v>Sep</v>
      </c>
      <c r="M1163" t="str">
        <f>IF(Table1[[#This Row],[Profit]]&gt;=10000,"Excellent",IF(Table1[[#This Row],[Profit]]&gt;5000,"Good","Low"))</f>
        <v>Low</v>
      </c>
      <c r="N1163" t="str">
        <f>TEXT(Table1[[#This Row],[Order_Date]],"YYYY")</f>
        <v>2024</v>
      </c>
    </row>
    <row r="1164" spans="1:14" x14ac:dyDescent="0.25">
      <c r="A1164" s="1">
        <v>45810</v>
      </c>
      <c r="B1164" t="s">
        <v>26</v>
      </c>
      <c r="C1164" t="s">
        <v>18</v>
      </c>
      <c r="D1164">
        <v>40378</v>
      </c>
      <c r="E1164">
        <v>34153</v>
      </c>
      <c r="F1164">
        <v>6225</v>
      </c>
      <c r="G1164" t="s">
        <v>19</v>
      </c>
      <c r="H1164" t="s">
        <v>34</v>
      </c>
      <c r="I1164" t="s">
        <v>53</v>
      </c>
      <c r="J1164" s="2">
        <f>Table1[[#This Row],[Profit]]/Table1[[#This Row],[Sales]]*100</f>
        <v>15.416811134776362</v>
      </c>
      <c r="K1164" t="str">
        <f>IF(Table1[[#This Row],[Sales]]&gt;=30000,"High", IF(Table1[[#This Row],[Sales]]&gt;=15000,"Medium","Low"))</f>
        <v>High</v>
      </c>
      <c r="L1164" t="str">
        <f>TEXT(Table1[[#This Row],[Order_Date]],"MMM")</f>
        <v>Jun</v>
      </c>
      <c r="M1164" t="str">
        <f>IF(Table1[[#This Row],[Profit]]&gt;=10000,"Excellent",IF(Table1[[#This Row],[Profit]]&gt;5000,"Good","Low"))</f>
        <v>Good</v>
      </c>
      <c r="N1164" t="str">
        <f>TEXT(Table1[[#This Row],[Order_Date]],"YYYY")</f>
        <v>2025</v>
      </c>
    </row>
    <row r="1165" spans="1:14" x14ac:dyDescent="0.25">
      <c r="A1165" s="1">
        <v>45441</v>
      </c>
      <c r="B1165" t="s">
        <v>22</v>
      </c>
      <c r="C1165" t="s">
        <v>41</v>
      </c>
      <c r="D1165">
        <v>35384</v>
      </c>
      <c r="E1165">
        <v>16676</v>
      </c>
      <c r="F1165">
        <v>18708</v>
      </c>
      <c r="G1165" t="s">
        <v>38</v>
      </c>
      <c r="H1165" t="s">
        <v>31</v>
      </c>
      <c r="I1165" t="s">
        <v>29</v>
      </c>
      <c r="J1165" s="2">
        <f>Table1[[#This Row],[Profit]]/Table1[[#This Row],[Sales]]*100</f>
        <v>52.871354284422331</v>
      </c>
      <c r="K1165" t="str">
        <f>IF(Table1[[#This Row],[Sales]]&gt;=30000,"High", IF(Table1[[#This Row],[Sales]]&gt;=15000,"Medium","Low"))</f>
        <v>High</v>
      </c>
      <c r="L1165" t="str">
        <f>TEXT(Table1[[#This Row],[Order_Date]],"MMM")</f>
        <v>May</v>
      </c>
      <c r="M1165" t="str">
        <f>IF(Table1[[#This Row],[Profit]]&gt;=10000,"Excellent",IF(Table1[[#This Row],[Profit]]&gt;5000,"Good","Low"))</f>
        <v>Excellent</v>
      </c>
      <c r="N1165" t="str">
        <f>TEXT(Table1[[#This Row],[Order_Date]],"YYYY")</f>
        <v>2024</v>
      </c>
    </row>
    <row r="1166" spans="1:14" x14ac:dyDescent="0.25">
      <c r="A1166" s="1">
        <v>45124</v>
      </c>
      <c r="B1166" t="s">
        <v>22</v>
      </c>
      <c r="C1166" t="s">
        <v>33</v>
      </c>
      <c r="D1166">
        <v>5350</v>
      </c>
      <c r="E1166">
        <v>2463</v>
      </c>
      <c r="F1166">
        <v>2887</v>
      </c>
      <c r="G1166" t="s">
        <v>38</v>
      </c>
      <c r="H1166" t="s">
        <v>23</v>
      </c>
      <c r="I1166" t="s">
        <v>24</v>
      </c>
      <c r="J1166" s="2">
        <f>Table1[[#This Row],[Profit]]/Table1[[#This Row],[Sales]]*100</f>
        <v>53.962616822429908</v>
      </c>
      <c r="K1166" t="str">
        <f>IF(Table1[[#This Row],[Sales]]&gt;=30000,"High", IF(Table1[[#This Row],[Sales]]&gt;=15000,"Medium","Low"))</f>
        <v>Low</v>
      </c>
      <c r="L1166" t="str">
        <f>TEXT(Table1[[#This Row],[Order_Date]],"MMM")</f>
        <v>Jul</v>
      </c>
      <c r="M1166" t="str">
        <f>IF(Table1[[#This Row],[Profit]]&gt;=10000,"Excellent",IF(Table1[[#This Row],[Profit]]&gt;5000,"Good","Low"))</f>
        <v>Low</v>
      </c>
      <c r="N1166" t="str">
        <f>TEXT(Table1[[#This Row],[Order_Date]],"YYYY")</f>
        <v>2023</v>
      </c>
    </row>
    <row r="1167" spans="1:14" x14ac:dyDescent="0.25">
      <c r="A1167" s="1">
        <v>45922</v>
      </c>
      <c r="B1167" t="s">
        <v>26</v>
      </c>
      <c r="C1167" t="s">
        <v>18</v>
      </c>
      <c r="D1167">
        <v>27704</v>
      </c>
      <c r="E1167">
        <v>15082</v>
      </c>
      <c r="F1167">
        <v>12622</v>
      </c>
      <c r="G1167" t="s">
        <v>19</v>
      </c>
      <c r="H1167" t="s">
        <v>60</v>
      </c>
      <c r="I1167" t="s">
        <v>29</v>
      </c>
      <c r="J1167" s="2">
        <f>Table1[[#This Row],[Profit]]/Table1[[#This Row],[Sales]]*100</f>
        <v>45.560207912214842</v>
      </c>
      <c r="K1167" t="str">
        <f>IF(Table1[[#This Row],[Sales]]&gt;=30000,"High", IF(Table1[[#This Row],[Sales]]&gt;=15000,"Medium","Low"))</f>
        <v>Medium</v>
      </c>
      <c r="L1167" t="str">
        <f>TEXT(Table1[[#This Row],[Order_Date]],"MMM")</f>
        <v>Sep</v>
      </c>
      <c r="M1167" t="str">
        <f>IF(Table1[[#This Row],[Profit]]&gt;=10000,"Excellent",IF(Table1[[#This Row],[Profit]]&gt;5000,"Good","Low"))</f>
        <v>Excellent</v>
      </c>
      <c r="N1167" t="str">
        <f>TEXT(Table1[[#This Row],[Order_Date]],"YYYY")</f>
        <v>2025</v>
      </c>
    </row>
    <row r="1168" spans="1:14" x14ac:dyDescent="0.25">
      <c r="A1168" s="1">
        <v>45362</v>
      </c>
      <c r="B1168" t="s">
        <v>17</v>
      </c>
      <c r="C1168" t="s">
        <v>36</v>
      </c>
      <c r="D1168">
        <v>23855</v>
      </c>
      <c r="E1168">
        <v>22800</v>
      </c>
      <c r="F1168">
        <v>1055</v>
      </c>
      <c r="G1168" t="s">
        <v>27</v>
      </c>
      <c r="H1168" t="s">
        <v>45</v>
      </c>
      <c r="I1168" t="s">
        <v>53</v>
      </c>
      <c r="J1168" s="2">
        <f>Table1[[#This Row],[Profit]]/Table1[[#This Row],[Sales]]*100</f>
        <v>4.4225529239153216</v>
      </c>
      <c r="K1168" t="str">
        <f>IF(Table1[[#This Row],[Sales]]&gt;=30000,"High", IF(Table1[[#This Row],[Sales]]&gt;=15000,"Medium","Low"))</f>
        <v>Medium</v>
      </c>
      <c r="L1168" t="str">
        <f>TEXT(Table1[[#This Row],[Order_Date]],"MMM")</f>
        <v>Mar</v>
      </c>
      <c r="M1168" t="str">
        <f>IF(Table1[[#This Row],[Profit]]&gt;=10000,"Excellent",IF(Table1[[#This Row],[Profit]]&gt;5000,"Good","Low"))</f>
        <v>Low</v>
      </c>
      <c r="N1168" t="str">
        <f>TEXT(Table1[[#This Row],[Order_Date]],"YYYY")</f>
        <v>2024</v>
      </c>
    </row>
    <row r="1169" spans="1:14" x14ac:dyDescent="0.25">
      <c r="A1169" s="1">
        <v>45560</v>
      </c>
      <c r="B1169" t="s">
        <v>44</v>
      </c>
      <c r="C1169" t="s">
        <v>18</v>
      </c>
      <c r="D1169">
        <v>49858</v>
      </c>
      <c r="E1169">
        <v>46992</v>
      </c>
      <c r="F1169">
        <v>2866</v>
      </c>
      <c r="G1169" t="s">
        <v>38</v>
      </c>
      <c r="H1169" t="s">
        <v>78</v>
      </c>
      <c r="I1169" t="s">
        <v>42</v>
      </c>
      <c r="J1169" s="2">
        <f>Table1[[#This Row],[Profit]]/Table1[[#This Row],[Sales]]*100</f>
        <v>5.7483252436920855</v>
      </c>
      <c r="K1169" t="str">
        <f>IF(Table1[[#This Row],[Sales]]&gt;=30000,"High", IF(Table1[[#This Row],[Sales]]&gt;=15000,"Medium","Low"))</f>
        <v>High</v>
      </c>
      <c r="L1169" t="str">
        <f>TEXT(Table1[[#This Row],[Order_Date]],"MMM")</f>
        <v>Sep</v>
      </c>
      <c r="M1169" t="str">
        <f>IF(Table1[[#This Row],[Profit]]&gt;=10000,"Excellent",IF(Table1[[#This Row],[Profit]]&gt;5000,"Good","Low"))</f>
        <v>Low</v>
      </c>
      <c r="N1169" t="str">
        <f>TEXT(Table1[[#This Row],[Order_Date]],"YYYY")</f>
        <v>2024</v>
      </c>
    </row>
    <row r="1170" spans="1:14" x14ac:dyDescent="0.25">
      <c r="A1170" s="1">
        <v>45836</v>
      </c>
      <c r="B1170" t="s">
        <v>44</v>
      </c>
      <c r="C1170" t="s">
        <v>33</v>
      </c>
      <c r="D1170">
        <v>47772</v>
      </c>
      <c r="E1170">
        <v>35042</v>
      </c>
      <c r="F1170">
        <v>12730</v>
      </c>
      <c r="G1170" t="s">
        <v>19</v>
      </c>
      <c r="H1170" t="s">
        <v>14</v>
      </c>
      <c r="I1170" t="s">
        <v>42</v>
      </c>
      <c r="J1170" s="2">
        <f>Table1[[#This Row],[Profit]]/Table1[[#This Row],[Sales]]*100</f>
        <v>26.647408523821486</v>
      </c>
      <c r="K1170" t="str">
        <f>IF(Table1[[#This Row],[Sales]]&gt;=30000,"High", IF(Table1[[#This Row],[Sales]]&gt;=15000,"Medium","Low"))</f>
        <v>High</v>
      </c>
      <c r="L1170" t="str">
        <f>TEXT(Table1[[#This Row],[Order_Date]],"MMM")</f>
        <v>Jun</v>
      </c>
      <c r="M1170" t="str">
        <f>IF(Table1[[#This Row],[Profit]]&gt;=10000,"Excellent",IF(Table1[[#This Row],[Profit]]&gt;5000,"Good","Low"))</f>
        <v>Excellent</v>
      </c>
      <c r="N1170" t="str">
        <f>TEXT(Table1[[#This Row],[Order_Date]],"YYYY")</f>
        <v>2025</v>
      </c>
    </row>
    <row r="1171" spans="1:14" x14ac:dyDescent="0.25">
      <c r="A1171" s="1">
        <v>45832</v>
      </c>
      <c r="B1171" t="s">
        <v>22</v>
      </c>
      <c r="C1171" t="s">
        <v>33</v>
      </c>
      <c r="D1171">
        <v>33998</v>
      </c>
      <c r="E1171">
        <v>18794</v>
      </c>
      <c r="F1171">
        <v>15204</v>
      </c>
      <c r="G1171" t="s">
        <v>19</v>
      </c>
      <c r="H1171" t="s">
        <v>45</v>
      </c>
      <c r="I1171" t="s">
        <v>24</v>
      </c>
      <c r="J1171" s="2">
        <f>Table1[[#This Row],[Profit]]/Table1[[#This Row],[Sales]]*100</f>
        <v>44.720277663391968</v>
      </c>
      <c r="K1171" t="str">
        <f>IF(Table1[[#This Row],[Sales]]&gt;=30000,"High", IF(Table1[[#This Row],[Sales]]&gt;=15000,"Medium","Low"))</f>
        <v>High</v>
      </c>
      <c r="L1171" t="str">
        <f>TEXT(Table1[[#This Row],[Order_Date]],"MMM")</f>
        <v>Jun</v>
      </c>
      <c r="M1171" t="str">
        <f>IF(Table1[[#This Row],[Profit]]&gt;=10000,"Excellent",IF(Table1[[#This Row],[Profit]]&gt;5000,"Good","Low"))</f>
        <v>Excellent</v>
      </c>
      <c r="N1171" t="str">
        <f>TEXT(Table1[[#This Row],[Order_Date]],"YYYY")</f>
        <v>2025</v>
      </c>
    </row>
    <row r="1172" spans="1:14" x14ac:dyDescent="0.25">
      <c r="A1172" s="1">
        <v>45959</v>
      </c>
      <c r="B1172" t="s">
        <v>26</v>
      </c>
      <c r="C1172" t="s">
        <v>18</v>
      </c>
      <c r="D1172">
        <v>26441</v>
      </c>
      <c r="E1172">
        <v>9628</v>
      </c>
      <c r="F1172">
        <v>16813</v>
      </c>
      <c r="G1172" t="s">
        <v>19</v>
      </c>
      <c r="H1172" t="s">
        <v>45</v>
      </c>
      <c r="I1172" t="s">
        <v>15</v>
      </c>
      <c r="J1172" s="2">
        <f>Table1[[#This Row],[Profit]]/Table1[[#This Row],[Sales]]*100</f>
        <v>63.586853749858172</v>
      </c>
      <c r="K1172" t="str">
        <f>IF(Table1[[#This Row],[Sales]]&gt;=30000,"High", IF(Table1[[#This Row],[Sales]]&gt;=15000,"Medium","Low"))</f>
        <v>Medium</v>
      </c>
      <c r="L1172" t="str">
        <f>TEXT(Table1[[#This Row],[Order_Date]],"MMM")</f>
        <v>Oct</v>
      </c>
      <c r="M1172" t="str">
        <f>IF(Table1[[#This Row],[Profit]]&gt;=10000,"Excellent",IF(Table1[[#This Row],[Profit]]&gt;5000,"Good","Low"))</f>
        <v>Excellent</v>
      </c>
      <c r="N1172" t="str">
        <f>TEXT(Table1[[#This Row],[Order_Date]],"YYYY")</f>
        <v>2025</v>
      </c>
    </row>
    <row r="1173" spans="1:14" x14ac:dyDescent="0.25">
      <c r="A1173" s="1">
        <v>46116</v>
      </c>
      <c r="B1173" t="s">
        <v>17</v>
      </c>
      <c r="C1173" t="s">
        <v>36</v>
      </c>
      <c r="D1173">
        <v>22259</v>
      </c>
      <c r="E1173">
        <v>12936</v>
      </c>
      <c r="F1173">
        <v>9323</v>
      </c>
      <c r="G1173" t="s">
        <v>27</v>
      </c>
      <c r="H1173" t="s">
        <v>14</v>
      </c>
      <c r="I1173" t="s">
        <v>53</v>
      </c>
      <c r="J1173" s="2">
        <f>Table1[[#This Row],[Profit]]/Table1[[#This Row],[Sales]]*100</f>
        <v>41.884181679320726</v>
      </c>
      <c r="K1173" t="str">
        <f>IF(Table1[[#This Row],[Sales]]&gt;=30000,"High", IF(Table1[[#This Row],[Sales]]&gt;=15000,"Medium","Low"))</f>
        <v>Medium</v>
      </c>
      <c r="L1173" t="str">
        <f>TEXT(Table1[[#This Row],[Order_Date]],"MMM")</f>
        <v>Apr</v>
      </c>
      <c r="M1173" t="str">
        <f>IF(Table1[[#This Row],[Profit]]&gt;=10000,"Excellent",IF(Table1[[#This Row],[Profit]]&gt;5000,"Good","Low"))</f>
        <v>Good</v>
      </c>
      <c r="N1173" t="str">
        <f>TEXT(Table1[[#This Row],[Order_Date]],"YYYY")</f>
        <v>2026</v>
      </c>
    </row>
    <row r="1174" spans="1:14" x14ac:dyDescent="0.25">
      <c r="A1174" s="1">
        <v>45678</v>
      </c>
      <c r="B1174" t="s">
        <v>11</v>
      </c>
      <c r="C1174" t="s">
        <v>41</v>
      </c>
      <c r="D1174">
        <v>31424</v>
      </c>
      <c r="E1174">
        <v>13806</v>
      </c>
      <c r="F1174">
        <v>17618</v>
      </c>
      <c r="G1174" t="s">
        <v>27</v>
      </c>
      <c r="H1174" t="s">
        <v>63</v>
      </c>
      <c r="I1174" t="s">
        <v>24</v>
      </c>
      <c r="J1174" s="2">
        <f>Table1[[#This Row],[Profit]]/Table1[[#This Row],[Sales]]*100</f>
        <v>56.065427698574332</v>
      </c>
      <c r="K1174" t="str">
        <f>IF(Table1[[#This Row],[Sales]]&gt;=30000,"High", IF(Table1[[#This Row],[Sales]]&gt;=15000,"Medium","Low"))</f>
        <v>High</v>
      </c>
      <c r="L1174" t="str">
        <f>TEXT(Table1[[#This Row],[Order_Date]],"MMM")</f>
        <v>Jan</v>
      </c>
      <c r="M1174" t="str">
        <f>IF(Table1[[#This Row],[Profit]]&gt;=10000,"Excellent",IF(Table1[[#This Row],[Profit]]&gt;5000,"Good","Low"))</f>
        <v>Excellent</v>
      </c>
      <c r="N1174" t="str">
        <f>TEXT(Table1[[#This Row],[Order_Date]],"YYYY")</f>
        <v>2025</v>
      </c>
    </row>
    <row r="1175" spans="1:14" x14ac:dyDescent="0.25">
      <c r="A1175" s="1">
        <v>45873</v>
      </c>
      <c r="B1175" t="s">
        <v>17</v>
      </c>
      <c r="C1175" t="s">
        <v>33</v>
      </c>
      <c r="D1175">
        <v>44149</v>
      </c>
      <c r="E1175">
        <v>29715</v>
      </c>
      <c r="F1175">
        <v>14434</v>
      </c>
      <c r="G1175" t="s">
        <v>19</v>
      </c>
      <c r="H1175" t="s">
        <v>14</v>
      </c>
      <c r="I1175" t="s">
        <v>29</v>
      </c>
      <c r="J1175" s="2">
        <f>Table1[[#This Row],[Profit]]/Table1[[#This Row],[Sales]]*100</f>
        <v>32.693832249881083</v>
      </c>
      <c r="K1175" t="str">
        <f>IF(Table1[[#This Row],[Sales]]&gt;=30000,"High", IF(Table1[[#This Row],[Sales]]&gt;=15000,"Medium","Low"))</f>
        <v>High</v>
      </c>
      <c r="L1175" t="str">
        <f>TEXT(Table1[[#This Row],[Order_Date]],"MMM")</f>
        <v>Aug</v>
      </c>
      <c r="M1175" t="str">
        <f>IF(Table1[[#This Row],[Profit]]&gt;=10000,"Excellent",IF(Table1[[#This Row],[Profit]]&gt;5000,"Good","Low"))</f>
        <v>Excellent</v>
      </c>
      <c r="N1175" t="str">
        <f>TEXT(Table1[[#This Row],[Order_Date]],"YYYY")</f>
        <v>2025</v>
      </c>
    </row>
    <row r="1176" spans="1:14" x14ac:dyDescent="0.25">
      <c r="A1176" s="1">
        <v>45849</v>
      </c>
      <c r="B1176" t="s">
        <v>11</v>
      </c>
      <c r="C1176" t="s">
        <v>41</v>
      </c>
      <c r="D1176">
        <v>19780</v>
      </c>
      <c r="E1176">
        <v>7730</v>
      </c>
      <c r="F1176">
        <v>12050</v>
      </c>
      <c r="G1176" t="s">
        <v>13</v>
      </c>
      <c r="H1176" t="s">
        <v>23</v>
      </c>
      <c r="I1176" t="s">
        <v>24</v>
      </c>
      <c r="J1176" s="2">
        <f>Table1[[#This Row],[Profit]]/Table1[[#This Row],[Sales]]*100</f>
        <v>60.920121334681497</v>
      </c>
      <c r="K1176" t="str">
        <f>IF(Table1[[#This Row],[Sales]]&gt;=30000,"High", IF(Table1[[#This Row],[Sales]]&gt;=15000,"Medium","Low"))</f>
        <v>Medium</v>
      </c>
      <c r="L1176" t="str">
        <f>TEXT(Table1[[#This Row],[Order_Date]],"MMM")</f>
        <v>Jul</v>
      </c>
      <c r="M1176" t="str">
        <f>IF(Table1[[#This Row],[Profit]]&gt;=10000,"Excellent",IF(Table1[[#This Row],[Profit]]&gt;5000,"Good","Low"))</f>
        <v>Excellent</v>
      </c>
      <c r="N1176" t="str">
        <f>TEXT(Table1[[#This Row],[Order_Date]],"YYYY")</f>
        <v>2025</v>
      </c>
    </row>
    <row r="1177" spans="1:14" x14ac:dyDescent="0.25">
      <c r="A1177" s="1">
        <v>45156</v>
      </c>
      <c r="B1177" t="s">
        <v>22</v>
      </c>
      <c r="C1177" t="s">
        <v>41</v>
      </c>
      <c r="D1177">
        <v>19111</v>
      </c>
      <c r="E1177">
        <v>1393</v>
      </c>
      <c r="F1177">
        <v>17718</v>
      </c>
      <c r="G1177" t="s">
        <v>38</v>
      </c>
      <c r="H1177" t="s">
        <v>63</v>
      </c>
      <c r="I1177" t="s">
        <v>24</v>
      </c>
      <c r="J1177" s="2">
        <f>Table1[[#This Row],[Profit]]/Table1[[#This Row],[Sales]]*100</f>
        <v>92.711004133744964</v>
      </c>
      <c r="K1177" t="str">
        <f>IF(Table1[[#This Row],[Sales]]&gt;=30000,"High", IF(Table1[[#This Row],[Sales]]&gt;=15000,"Medium","Low"))</f>
        <v>Medium</v>
      </c>
      <c r="L1177" t="str">
        <f>TEXT(Table1[[#This Row],[Order_Date]],"MMM")</f>
        <v>Aug</v>
      </c>
      <c r="M1177" t="str">
        <f>IF(Table1[[#This Row],[Profit]]&gt;=10000,"Excellent",IF(Table1[[#This Row],[Profit]]&gt;5000,"Good","Low"))</f>
        <v>Excellent</v>
      </c>
      <c r="N1177" t="str">
        <f>TEXT(Table1[[#This Row],[Order_Date]],"YYYY")</f>
        <v>2023</v>
      </c>
    </row>
    <row r="1178" spans="1:14" x14ac:dyDescent="0.25">
      <c r="A1178" s="1">
        <v>45878</v>
      </c>
      <c r="B1178" t="s">
        <v>17</v>
      </c>
      <c r="C1178" t="s">
        <v>36</v>
      </c>
      <c r="D1178">
        <v>36168</v>
      </c>
      <c r="E1178">
        <v>29981</v>
      </c>
      <c r="F1178">
        <v>6187</v>
      </c>
      <c r="G1178" t="s">
        <v>19</v>
      </c>
      <c r="H1178" t="s">
        <v>78</v>
      </c>
      <c r="I1178" t="s">
        <v>42</v>
      </c>
      <c r="J1178" s="2">
        <f>Table1[[#This Row],[Profit]]/Table1[[#This Row],[Sales]]*100</f>
        <v>17.106281796062817</v>
      </c>
      <c r="K1178" t="str">
        <f>IF(Table1[[#This Row],[Sales]]&gt;=30000,"High", IF(Table1[[#This Row],[Sales]]&gt;=15000,"Medium","Low"))</f>
        <v>High</v>
      </c>
      <c r="L1178" t="str">
        <f>TEXT(Table1[[#This Row],[Order_Date]],"MMM")</f>
        <v>Aug</v>
      </c>
      <c r="M1178" t="str">
        <f>IF(Table1[[#This Row],[Profit]]&gt;=10000,"Excellent",IF(Table1[[#This Row],[Profit]]&gt;5000,"Good","Low"))</f>
        <v>Good</v>
      </c>
      <c r="N1178" t="str">
        <f>TEXT(Table1[[#This Row],[Order_Date]],"YYYY")</f>
        <v>2025</v>
      </c>
    </row>
    <row r="1179" spans="1:14" x14ac:dyDescent="0.25">
      <c r="A1179" s="1">
        <v>45439</v>
      </c>
      <c r="B1179" t="s">
        <v>26</v>
      </c>
      <c r="C1179" t="s">
        <v>36</v>
      </c>
      <c r="D1179">
        <v>29378</v>
      </c>
      <c r="E1179">
        <v>14855</v>
      </c>
      <c r="F1179">
        <v>14523</v>
      </c>
      <c r="G1179" t="s">
        <v>38</v>
      </c>
      <c r="H1179" t="s">
        <v>34</v>
      </c>
      <c r="I1179" t="s">
        <v>53</v>
      </c>
      <c r="J1179" s="2">
        <f>Table1[[#This Row],[Profit]]/Table1[[#This Row],[Sales]]*100</f>
        <v>49.434951324120092</v>
      </c>
      <c r="K1179" t="str">
        <f>IF(Table1[[#This Row],[Sales]]&gt;=30000,"High", IF(Table1[[#This Row],[Sales]]&gt;=15000,"Medium","Low"))</f>
        <v>Medium</v>
      </c>
      <c r="L1179" t="str">
        <f>TEXT(Table1[[#This Row],[Order_Date]],"MMM")</f>
        <v>May</v>
      </c>
      <c r="M1179" t="str">
        <f>IF(Table1[[#This Row],[Profit]]&gt;=10000,"Excellent",IF(Table1[[#This Row],[Profit]]&gt;5000,"Good","Low"))</f>
        <v>Excellent</v>
      </c>
      <c r="N1179" t="str">
        <f>TEXT(Table1[[#This Row],[Order_Date]],"YYYY")</f>
        <v>2024</v>
      </c>
    </row>
    <row r="1180" spans="1:14" x14ac:dyDescent="0.25">
      <c r="A1180" s="1">
        <v>45318</v>
      </c>
      <c r="B1180" t="s">
        <v>11</v>
      </c>
      <c r="C1180" t="s">
        <v>18</v>
      </c>
      <c r="D1180">
        <v>41480</v>
      </c>
      <c r="E1180">
        <v>32785</v>
      </c>
      <c r="F1180">
        <v>8695</v>
      </c>
      <c r="G1180" t="s">
        <v>27</v>
      </c>
      <c r="H1180" t="s">
        <v>31</v>
      </c>
      <c r="I1180" t="s">
        <v>15</v>
      </c>
      <c r="J1180" s="2">
        <f>Table1[[#This Row],[Profit]]/Table1[[#This Row],[Sales]]*100</f>
        <v>20.961909353905497</v>
      </c>
      <c r="K1180" t="str">
        <f>IF(Table1[[#This Row],[Sales]]&gt;=30000,"High", IF(Table1[[#This Row],[Sales]]&gt;=15000,"Medium","Low"))</f>
        <v>High</v>
      </c>
      <c r="L1180" t="str">
        <f>TEXT(Table1[[#This Row],[Order_Date]],"MMM")</f>
        <v>Jan</v>
      </c>
      <c r="M1180" t="str">
        <f>IF(Table1[[#This Row],[Profit]]&gt;=10000,"Excellent",IF(Table1[[#This Row],[Profit]]&gt;5000,"Good","Low"))</f>
        <v>Good</v>
      </c>
      <c r="N1180" t="str">
        <f>TEXT(Table1[[#This Row],[Order_Date]],"YYYY")</f>
        <v>2024</v>
      </c>
    </row>
    <row r="1181" spans="1:14" x14ac:dyDescent="0.25">
      <c r="A1181" s="1">
        <v>46183</v>
      </c>
      <c r="B1181" t="s">
        <v>44</v>
      </c>
      <c r="C1181" t="s">
        <v>36</v>
      </c>
      <c r="D1181">
        <v>28090</v>
      </c>
      <c r="E1181">
        <v>12573</v>
      </c>
      <c r="F1181">
        <v>15517</v>
      </c>
      <c r="G1181" t="s">
        <v>27</v>
      </c>
      <c r="H1181" t="s">
        <v>60</v>
      </c>
      <c r="I1181" t="s">
        <v>53</v>
      </c>
      <c r="J1181" s="2">
        <f>Table1[[#This Row],[Profit]]/Table1[[#This Row],[Sales]]*100</f>
        <v>55.24029903880384</v>
      </c>
      <c r="K1181" t="str">
        <f>IF(Table1[[#This Row],[Sales]]&gt;=30000,"High", IF(Table1[[#This Row],[Sales]]&gt;=15000,"Medium","Low"))</f>
        <v>Medium</v>
      </c>
      <c r="L1181" t="str">
        <f>TEXT(Table1[[#This Row],[Order_Date]],"MMM")</f>
        <v>Jun</v>
      </c>
      <c r="M1181" t="str">
        <f>IF(Table1[[#This Row],[Profit]]&gt;=10000,"Excellent",IF(Table1[[#This Row],[Profit]]&gt;5000,"Good","Low"))</f>
        <v>Excellent</v>
      </c>
      <c r="N1181" t="str">
        <f>TEXT(Table1[[#This Row],[Order_Date]],"YYYY")</f>
        <v>2026</v>
      </c>
    </row>
    <row r="1182" spans="1:14" x14ac:dyDescent="0.25">
      <c r="A1182" s="1">
        <v>46164</v>
      </c>
      <c r="B1182" t="s">
        <v>44</v>
      </c>
      <c r="C1182" t="s">
        <v>33</v>
      </c>
      <c r="D1182">
        <v>10533</v>
      </c>
      <c r="E1182">
        <v>1854</v>
      </c>
      <c r="F1182">
        <v>8679</v>
      </c>
      <c r="G1182" t="s">
        <v>27</v>
      </c>
      <c r="H1182" t="s">
        <v>34</v>
      </c>
      <c r="I1182" t="s">
        <v>29</v>
      </c>
      <c r="J1182" s="2">
        <f>Table1[[#This Row],[Profit]]/Table1[[#This Row],[Sales]]*100</f>
        <v>82.398177157504975</v>
      </c>
      <c r="K1182" t="str">
        <f>IF(Table1[[#This Row],[Sales]]&gt;=30000,"High", IF(Table1[[#This Row],[Sales]]&gt;=15000,"Medium","Low"))</f>
        <v>Low</v>
      </c>
      <c r="L1182" t="str">
        <f>TEXT(Table1[[#This Row],[Order_Date]],"MMM")</f>
        <v>May</v>
      </c>
      <c r="M1182" t="str">
        <f>IF(Table1[[#This Row],[Profit]]&gt;=10000,"Excellent",IF(Table1[[#This Row],[Profit]]&gt;5000,"Good","Low"))</f>
        <v>Good</v>
      </c>
      <c r="N1182" t="str">
        <f>TEXT(Table1[[#This Row],[Order_Date]],"YYYY")</f>
        <v>2026</v>
      </c>
    </row>
    <row r="1183" spans="1:14" x14ac:dyDescent="0.25">
      <c r="A1183" s="1">
        <v>45980</v>
      </c>
      <c r="B1183" t="s">
        <v>17</v>
      </c>
      <c r="C1183" t="s">
        <v>33</v>
      </c>
      <c r="D1183">
        <v>36050</v>
      </c>
      <c r="E1183">
        <v>34786</v>
      </c>
      <c r="F1183">
        <v>1264</v>
      </c>
      <c r="G1183" t="s">
        <v>19</v>
      </c>
      <c r="H1183" t="s">
        <v>34</v>
      </c>
      <c r="I1183" t="s">
        <v>53</v>
      </c>
      <c r="J1183" s="2">
        <f>Table1[[#This Row],[Profit]]/Table1[[#This Row],[Sales]]*100</f>
        <v>3.5062413314840501</v>
      </c>
      <c r="K1183" t="str">
        <f>IF(Table1[[#This Row],[Sales]]&gt;=30000,"High", IF(Table1[[#This Row],[Sales]]&gt;=15000,"Medium","Low"))</f>
        <v>High</v>
      </c>
      <c r="L1183" t="str">
        <f>TEXT(Table1[[#This Row],[Order_Date]],"MMM")</f>
        <v>Nov</v>
      </c>
      <c r="M1183" t="str">
        <f>IF(Table1[[#This Row],[Profit]]&gt;=10000,"Excellent",IF(Table1[[#This Row],[Profit]]&gt;5000,"Good","Low"))</f>
        <v>Low</v>
      </c>
      <c r="N1183" t="str">
        <f>TEXT(Table1[[#This Row],[Order_Date]],"YYYY")</f>
        <v>2025</v>
      </c>
    </row>
    <row r="1184" spans="1:14" x14ac:dyDescent="0.25">
      <c r="A1184" s="1">
        <v>45842</v>
      </c>
      <c r="B1184" t="s">
        <v>44</v>
      </c>
      <c r="C1184" t="s">
        <v>41</v>
      </c>
      <c r="D1184">
        <v>28016</v>
      </c>
      <c r="E1184">
        <v>17498</v>
      </c>
      <c r="F1184">
        <v>10518</v>
      </c>
      <c r="G1184" t="s">
        <v>19</v>
      </c>
      <c r="H1184" t="s">
        <v>63</v>
      </c>
      <c r="I1184" t="s">
        <v>24</v>
      </c>
      <c r="J1184" s="2">
        <f>Table1[[#This Row],[Profit]]/Table1[[#This Row],[Sales]]*100</f>
        <v>37.542832667047399</v>
      </c>
      <c r="K1184" t="str">
        <f>IF(Table1[[#This Row],[Sales]]&gt;=30000,"High", IF(Table1[[#This Row],[Sales]]&gt;=15000,"Medium","Low"))</f>
        <v>Medium</v>
      </c>
      <c r="L1184" t="str">
        <f>TEXT(Table1[[#This Row],[Order_Date]],"MMM")</f>
        <v>Jul</v>
      </c>
      <c r="M1184" t="str">
        <f>IF(Table1[[#This Row],[Profit]]&gt;=10000,"Excellent",IF(Table1[[#This Row],[Profit]]&gt;5000,"Good","Low"))</f>
        <v>Excellent</v>
      </c>
      <c r="N1184" t="str">
        <f>TEXT(Table1[[#This Row],[Order_Date]],"YYYY")</f>
        <v>2025</v>
      </c>
    </row>
    <row r="1185" spans="1:14" x14ac:dyDescent="0.25">
      <c r="A1185" s="1">
        <v>45637</v>
      </c>
      <c r="B1185" t="s">
        <v>17</v>
      </c>
      <c r="C1185" t="s">
        <v>36</v>
      </c>
      <c r="D1185">
        <v>21250</v>
      </c>
      <c r="E1185">
        <v>3099</v>
      </c>
      <c r="F1185">
        <v>18151</v>
      </c>
      <c r="G1185" t="s">
        <v>38</v>
      </c>
      <c r="H1185" t="s">
        <v>31</v>
      </c>
      <c r="I1185" t="s">
        <v>53</v>
      </c>
      <c r="J1185" s="2">
        <f>Table1[[#This Row],[Profit]]/Table1[[#This Row],[Sales]]*100</f>
        <v>85.416470588235299</v>
      </c>
      <c r="K1185" t="str">
        <f>IF(Table1[[#This Row],[Sales]]&gt;=30000,"High", IF(Table1[[#This Row],[Sales]]&gt;=15000,"Medium","Low"))</f>
        <v>Medium</v>
      </c>
      <c r="L1185" t="str">
        <f>TEXT(Table1[[#This Row],[Order_Date]],"MMM")</f>
        <v>Dec</v>
      </c>
      <c r="M1185" t="str">
        <f>IF(Table1[[#This Row],[Profit]]&gt;=10000,"Excellent",IF(Table1[[#This Row],[Profit]]&gt;5000,"Good","Low"))</f>
        <v>Excellent</v>
      </c>
      <c r="N1185" t="str">
        <f>TEXT(Table1[[#This Row],[Order_Date]],"YYYY")</f>
        <v>2024</v>
      </c>
    </row>
    <row r="1186" spans="1:14" x14ac:dyDescent="0.25">
      <c r="A1186" s="1">
        <v>45589</v>
      </c>
      <c r="B1186" t="s">
        <v>22</v>
      </c>
      <c r="C1186" t="s">
        <v>18</v>
      </c>
      <c r="D1186">
        <v>39618</v>
      </c>
      <c r="E1186">
        <v>29726</v>
      </c>
      <c r="F1186">
        <v>9892</v>
      </c>
      <c r="G1186" t="s">
        <v>27</v>
      </c>
      <c r="H1186" t="s">
        <v>34</v>
      </c>
      <c r="I1186" t="s">
        <v>29</v>
      </c>
      <c r="J1186" s="2">
        <f>Table1[[#This Row],[Profit]]/Table1[[#This Row],[Sales]]*100</f>
        <v>24.968448684941187</v>
      </c>
      <c r="K1186" t="str">
        <f>IF(Table1[[#This Row],[Sales]]&gt;=30000,"High", IF(Table1[[#This Row],[Sales]]&gt;=15000,"Medium","Low"))</f>
        <v>High</v>
      </c>
      <c r="L1186" t="str">
        <f>TEXT(Table1[[#This Row],[Order_Date]],"MMM")</f>
        <v>Oct</v>
      </c>
      <c r="M1186" t="str">
        <f>IF(Table1[[#This Row],[Profit]]&gt;=10000,"Excellent",IF(Table1[[#This Row],[Profit]]&gt;5000,"Good","Low"))</f>
        <v>Good</v>
      </c>
      <c r="N1186" t="str">
        <f>TEXT(Table1[[#This Row],[Order_Date]],"YYYY")</f>
        <v>2024</v>
      </c>
    </row>
    <row r="1187" spans="1:14" x14ac:dyDescent="0.25">
      <c r="A1187" s="1">
        <v>45981</v>
      </c>
      <c r="B1187" t="s">
        <v>44</v>
      </c>
      <c r="C1187" t="s">
        <v>18</v>
      </c>
      <c r="D1187">
        <v>33597</v>
      </c>
      <c r="E1187">
        <v>19609</v>
      </c>
      <c r="F1187">
        <v>13988</v>
      </c>
      <c r="G1187" t="s">
        <v>27</v>
      </c>
      <c r="H1187" t="s">
        <v>34</v>
      </c>
      <c r="I1187" t="s">
        <v>53</v>
      </c>
      <c r="J1187" s="2">
        <f>Table1[[#This Row],[Profit]]/Table1[[#This Row],[Sales]]*100</f>
        <v>41.634669762181147</v>
      </c>
      <c r="K1187" t="str">
        <f>IF(Table1[[#This Row],[Sales]]&gt;=30000,"High", IF(Table1[[#This Row],[Sales]]&gt;=15000,"Medium","Low"))</f>
        <v>High</v>
      </c>
      <c r="L1187" t="str">
        <f>TEXT(Table1[[#This Row],[Order_Date]],"MMM")</f>
        <v>Nov</v>
      </c>
      <c r="M1187" t="str">
        <f>IF(Table1[[#This Row],[Profit]]&gt;=10000,"Excellent",IF(Table1[[#This Row],[Profit]]&gt;5000,"Good","Low"))</f>
        <v>Excellent</v>
      </c>
      <c r="N1187" t="str">
        <f>TEXT(Table1[[#This Row],[Order_Date]],"YYYY")</f>
        <v>2025</v>
      </c>
    </row>
    <row r="1188" spans="1:14" x14ac:dyDescent="0.25">
      <c r="A1188" s="1">
        <v>45559</v>
      </c>
      <c r="B1188" t="s">
        <v>44</v>
      </c>
      <c r="C1188" t="s">
        <v>33</v>
      </c>
      <c r="D1188">
        <v>38291</v>
      </c>
      <c r="E1188">
        <v>26526</v>
      </c>
      <c r="F1188">
        <v>11765</v>
      </c>
      <c r="G1188" t="s">
        <v>27</v>
      </c>
      <c r="H1188" t="s">
        <v>63</v>
      </c>
      <c r="I1188" t="s">
        <v>29</v>
      </c>
      <c r="J1188" s="2">
        <f>Table1[[#This Row],[Profit]]/Table1[[#This Row],[Sales]]*100</f>
        <v>30.725235695071952</v>
      </c>
      <c r="K1188" t="str">
        <f>IF(Table1[[#This Row],[Sales]]&gt;=30000,"High", IF(Table1[[#This Row],[Sales]]&gt;=15000,"Medium","Low"))</f>
        <v>High</v>
      </c>
      <c r="L1188" t="str">
        <f>TEXT(Table1[[#This Row],[Order_Date]],"MMM")</f>
        <v>Sep</v>
      </c>
      <c r="M1188" t="str">
        <f>IF(Table1[[#This Row],[Profit]]&gt;=10000,"Excellent",IF(Table1[[#This Row],[Profit]]&gt;5000,"Good","Low"))</f>
        <v>Excellent</v>
      </c>
      <c r="N1188" t="str">
        <f>TEXT(Table1[[#This Row],[Order_Date]],"YYYY")</f>
        <v>2024</v>
      </c>
    </row>
    <row r="1189" spans="1:14" x14ac:dyDescent="0.25">
      <c r="A1189" s="1">
        <v>45232</v>
      </c>
      <c r="B1189" t="s">
        <v>26</v>
      </c>
      <c r="C1189" t="s">
        <v>33</v>
      </c>
      <c r="D1189">
        <v>9642</v>
      </c>
      <c r="E1189">
        <v>5396</v>
      </c>
      <c r="F1189">
        <v>4246</v>
      </c>
      <c r="G1189" t="s">
        <v>38</v>
      </c>
      <c r="H1189" t="s">
        <v>78</v>
      </c>
      <c r="I1189" t="s">
        <v>42</v>
      </c>
      <c r="J1189" s="2">
        <f>Table1[[#This Row],[Profit]]/Table1[[#This Row],[Sales]]*100</f>
        <v>44.036506948765819</v>
      </c>
      <c r="K1189" t="str">
        <f>IF(Table1[[#This Row],[Sales]]&gt;=30000,"High", IF(Table1[[#This Row],[Sales]]&gt;=15000,"Medium","Low"))</f>
        <v>Low</v>
      </c>
      <c r="L1189" t="str">
        <f>TEXT(Table1[[#This Row],[Order_Date]],"MMM")</f>
        <v>Nov</v>
      </c>
      <c r="M1189" t="str">
        <f>IF(Table1[[#This Row],[Profit]]&gt;=10000,"Excellent",IF(Table1[[#This Row],[Profit]]&gt;5000,"Good","Low"))</f>
        <v>Low</v>
      </c>
      <c r="N1189" t="str">
        <f>TEXT(Table1[[#This Row],[Order_Date]],"YYYY")</f>
        <v>2023</v>
      </c>
    </row>
    <row r="1190" spans="1:14" x14ac:dyDescent="0.25">
      <c r="A1190" s="1">
        <v>45231</v>
      </c>
      <c r="B1190" t="s">
        <v>26</v>
      </c>
      <c r="C1190" t="s">
        <v>36</v>
      </c>
      <c r="D1190">
        <v>34009</v>
      </c>
      <c r="E1190">
        <v>28027</v>
      </c>
      <c r="F1190">
        <v>5982</v>
      </c>
      <c r="G1190" t="s">
        <v>19</v>
      </c>
      <c r="H1190" t="s">
        <v>45</v>
      </c>
      <c r="I1190" t="s">
        <v>53</v>
      </c>
      <c r="J1190" s="2">
        <f>Table1[[#This Row],[Profit]]/Table1[[#This Row],[Sales]]*100</f>
        <v>17.589461613102415</v>
      </c>
      <c r="K1190" t="str">
        <f>IF(Table1[[#This Row],[Sales]]&gt;=30000,"High", IF(Table1[[#This Row],[Sales]]&gt;=15000,"Medium","Low"))</f>
        <v>High</v>
      </c>
      <c r="L1190" t="str">
        <f>TEXT(Table1[[#This Row],[Order_Date]],"MMM")</f>
        <v>Nov</v>
      </c>
      <c r="M1190" t="str">
        <f>IF(Table1[[#This Row],[Profit]]&gt;=10000,"Excellent",IF(Table1[[#This Row],[Profit]]&gt;5000,"Good","Low"))</f>
        <v>Good</v>
      </c>
      <c r="N1190" t="str">
        <f>TEXT(Table1[[#This Row],[Order_Date]],"YYYY")</f>
        <v>2023</v>
      </c>
    </row>
    <row r="1191" spans="1:14" x14ac:dyDescent="0.25">
      <c r="A1191" s="1">
        <v>45158</v>
      </c>
      <c r="B1191" t="s">
        <v>44</v>
      </c>
      <c r="C1191" t="s">
        <v>12</v>
      </c>
      <c r="D1191">
        <v>9606</v>
      </c>
      <c r="E1191">
        <v>4690</v>
      </c>
      <c r="F1191">
        <v>4916</v>
      </c>
      <c r="G1191" t="s">
        <v>19</v>
      </c>
      <c r="H1191" t="s">
        <v>34</v>
      </c>
      <c r="I1191" t="s">
        <v>53</v>
      </c>
      <c r="J1191" s="2">
        <f>Table1[[#This Row],[Profit]]/Table1[[#This Row],[Sales]]*100</f>
        <v>51.17634811576098</v>
      </c>
      <c r="K1191" t="str">
        <f>IF(Table1[[#This Row],[Sales]]&gt;=30000,"High", IF(Table1[[#This Row],[Sales]]&gt;=15000,"Medium","Low"))</f>
        <v>Low</v>
      </c>
      <c r="L1191" t="str">
        <f>TEXT(Table1[[#This Row],[Order_Date]],"MMM")</f>
        <v>Aug</v>
      </c>
      <c r="M1191" t="str">
        <f>IF(Table1[[#This Row],[Profit]]&gt;=10000,"Excellent",IF(Table1[[#This Row],[Profit]]&gt;5000,"Good","Low"))</f>
        <v>Low</v>
      </c>
      <c r="N1191" t="str">
        <f>TEXT(Table1[[#This Row],[Order_Date]],"YYYY")</f>
        <v>2023</v>
      </c>
    </row>
    <row r="1192" spans="1:14" x14ac:dyDescent="0.25">
      <c r="A1192" s="1">
        <v>45155</v>
      </c>
      <c r="B1192" t="s">
        <v>22</v>
      </c>
      <c r="C1192" t="s">
        <v>36</v>
      </c>
      <c r="D1192">
        <v>29658</v>
      </c>
      <c r="E1192">
        <v>13541</v>
      </c>
      <c r="F1192">
        <v>16117</v>
      </c>
      <c r="G1192" t="s">
        <v>19</v>
      </c>
      <c r="H1192" t="s">
        <v>34</v>
      </c>
      <c r="I1192" t="s">
        <v>15</v>
      </c>
      <c r="J1192" s="2">
        <f>Table1[[#This Row],[Profit]]/Table1[[#This Row],[Sales]]*100</f>
        <v>54.342841729044444</v>
      </c>
      <c r="K1192" t="str">
        <f>IF(Table1[[#This Row],[Sales]]&gt;=30000,"High", IF(Table1[[#This Row],[Sales]]&gt;=15000,"Medium","Low"))</f>
        <v>Medium</v>
      </c>
      <c r="L1192" t="str">
        <f>TEXT(Table1[[#This Row],[Order_Date]],"MMM")</f>
        <v>Aug</v>
      </c>
      <c r="M1192" t="str">
        <f>IF(Table1[[#This Row],[Profit]]&gt;=10000,"Excellent",IF(Table1[[#This Row],[Profit]]&gt;5000,"Good","Low"))</f>
        <v>Excellent</v>
      </c>
      <c r="N1192" t="str">
        <f>TEXT(Table1[[#This Row],[Order_Date]],"YYYY")</f>
        <v>2023</v>
      </c>
    </row>
    <row r="1193" spans="1:14" x14ac:dyDescent="0.25">
      <c r="A1193" s="1">
        <v>46132</v>
      </c>
      <c r="B1193" t="s">
        <v>17</v>
      </c>
      <c r="C1193" t="s">
        <v>12</v>
      </c>
      <c r="D1193">
        <v>9519</v>
      </c>
      <c r="E1193">
        <v>5100</v>
      </c>
      <c r="F1193">
        <v>4419</v>
      </c>
      <c r="G1193" t="s">
        <v>19</v>
      </c>
      <c r="H1193" t="s">
        <v>28</v>
      </c>
      <c r="I1193" t="s">
        <v>24</v>
      </c>
      <c r="J1193" s="2">
        <f>Table1[[#This Row],[Profit]]/Table1[[#This Row],[Sales]]*100</f>
        <v>46.422943586511188</v>
      </c>
      <c r="K1193" t="str">
        <f>IF(Table1[[#This Row],[Sales]]&gt;=30000,"High", IF(Table1[[#This Row],[Sales]]&gt;=15000,"Medium","Low"))</f>
        <v>Low</v>
      </c>
      <c r="L1193" t="str">
        <f>TEXT(Table1[[#This Row],[Order_Date]],"MMM")</f>
        <v>Apr</v>
      </c>
      <c r="M1193" t="str">
        <f>IF(Table1[[#This Row],[Profit]]&gt;=10000,"Excellent",IF(Table1[[#This Row],[Profit]]&gt;5000,"Good","Low"))</f>
        <v>Low</v>
      </c>
      <c r="N1193" t="str">
        <f>TEXT(Table1[[#This Row],[Order_Date]],"YYYY")</f>
        <v>2026</v>
      </c>
    </row>
    <row r="1194" spans="1:14" x14ac:dyDescent="0.25">
      <c r="A1194" s="1">
        <v>45602</v>
      </c>
      <c r="B1194" t="s">
        <v>17</v>
      </c>
      <c r="C1194" t="s">
        <v>18</v>
      </c>
      <c r="D1194">
        <v>48427</v>
      </c>
      <c r="E1194">
        <v>45565</v>
      </c>
      <c r="F1194">
        <v>2862</v>
      </c>
      <c r="G1194" t="s">
        <v>27</v>
      </c>
      <c r="H1194" t="s">
        <v>45</v>
      </c>
      <c r="I1194" t="s">
        <v>42</v>
      </c>
      <c r="J1194" s="2">
        <f>Table1[[#This Row],[Profit]]/Table1[[#This Row],[Sales]]*100</f>
        <v>5.9099262807937727</v>
      </c>
      <c r="K1194" t="str">
        <f>IF(Table1[[#This Row],[Sales]]&gt;=30000,"High", IF(Table1[[#This Row],[Sales]]&gt;=15000,"Medium","Low"))</f>
        <v>High</v>
      </c>
      <c r="L1194" t="str">
        <f>TEXT(Table1[[#This Row],[Order_Date]],"MMM")</f>
        <v>Nov</v>
      </c>
      <c r="M1194" t="str">
        <f>IF(Table1[[#This Row],[Profit]]&gt;=10000,"Excellent",IF(Table1[[#This Row],[Profit]]&gt;5000,"Good","Low"))</f>
        <v>Low</v>
      </c>
      <c r="N1194" t="str">
        <f>TEXT(Table1[[#This Row],[Order_Date]],"YYYY")</f>
        <v>2024</v>
      </c>
    </row>
    <row r="1195" spans="1:14" x14ac:dyDescent="0.25">
      <c r="A1195" s="1">
        <v>46077</v>
      </c>
      <c r="B1195" t="s">
        <v>11</v>
      </c>
      <c r="C1195" t="s">
        <v>12</v>
      </c>
      <c r="D1195">
        <v>30049</v>
      </c>
      <c r="E1195">
        <v>16821</v>
      </c>
      <c r="F1195">
        <v>13228</v>
      </c>
      <c r="G1195" t="s">
        <v>19</v>
      </c>
      <c r="H1195" t="s">
        <v>23</v>
      </c>
      <c r="I1195" t="s">
        <v>15</v>
      </c>
      <c r="J1195" s="2">
        <f>Table1[[#This Row],[Profit]]/Table1[[#This Row],[Sales]]*100</f>
        <v>44.021431661619353</v>
      </c>
      <c r="K1195" t="str">
        <f>IF(Table1[[#This Row],[Sales]]&gt;=30000,"High", IF(Table1[[#This Row],[Sales]]&gt;=15000,"Medium","Low"))</f>
        <v>High</v>
      </c>
      <c r="L1195" t="str">
        <f>TEXT(Table1[[#This Row],[Order_Date]],"MMM")</f>
        <v>Feb</v>
      </c>
      <c r="M1195" t="str">
        <f>IF(Table1[[#This Row],[Profit]]&gt;=10000,"Excellent",IF(Table1[[#This Row],[Profit]]&gt;5000,"Good","Low"))</f>
        <v>Excellent</v>
      </c>
      <c r="N1195" t="str">
        <f>TEXT(Table1[[#This Row],[Order_Date]],"YYYY")</f>
        <v>2026</v>
      </c>
    </row>
    <row r="1196" spans="1:14" x14ac:dyDescent="0.25">
      <c r="A1196" s="1">
        <v>46158</v>
      </c>
      <c r="B1196" t="s">
        <v>11</v>
      </c>
      <c r="C1196" t="s">
        <v>36</v>
      </c>
      <c r="D1196">
        <v>11936</v>
      </c>
      <c r="E1196">
        <v>5919</v>
      </c>
      <c r="F1196">
        <v>6017</v>
      </c>
      <c r="G1196" t="s">
        <v>38</v>
      </c>
      <c r="H1196" t="s">
        <v>20</v>
      </c>
      <c r="I1196" t="s">
        <v>29</v>
      </c>
      <c r="J1196" s="2">
        <f>Table1[[#This Row],[Profit]]/Table1[[#This Row],[Sales]]*100</f>
        <v>50.41052278820375</v>
      </c>
      <c r="K1196" t="str">
        <f>IF(Table1[[#This Row],[Sales]]&gt;=30000,"High", IF(Table1[[#This Row],[Sales]]&gt;=15000,"Medium","Low"))</f>
        <v>Low</v>
      </c>
      <c r="L1196" t="str">
        <f>TEXT(Table1[[#This Row],[Order_Date]],"MMM")</f>
        <v>May</v>
      </c>
      <c r="M1196" t="str">
        <f>IF(Table1[[#This Row],[Profit]]&gt;=10000,"Excellent",IF(Table1[[#This Row],[Profit]]&gt;5000,"Good","Low"))</f>
        <v>Good</v>
      </c>
      <c r="N1196" t="str">
        <f>TEXT(Table1[[#This Row],[Order_Date]],"YYYY")</f>
        <v>2026</v>
      </c>
    </row>
    <row r="1197" spans="1:14" x14ac:dyDescent="0.25">
      <c r="A1197" s="1">
        <v>46002</v>
      </c>
      <c r="B1197" t="s">
        <v>11</v>
      </c>
      <c r="C1197" t="s">
        <v>41</v>
      </c>
      <c r="D1197">
        <v>16494</v>
      </c>
      <c r="E1197">
        <v>15376</v>
      </c>
      <c r="F1197">
        <v>1118</v>
      </c>
      <c r="G1197" t="s">
        <v>38</v>
      </c>
      <c r="H1197" t="s">
        <v>14</v>
      </c>
      <c r="I1197" t="s">
        <v>15</v>
      </c>
      <c r="J1197" s="2">
        <f>Table1[[#This Row],[Profit]]/Table1[[#This Row],[Sales]]*100</f>
        <v>6.778222383897174</v>
      </c>
      <c r="K1197" t="str">
        <f>IF(Table1[[#This Row],[Sales]]&gt;=30000,"High", IF(Table1[[#This Row],[Sales]]&gt;=15000,"Medium","Low"))</f>
        <v>Medium</v>
      </c>
      <c r="L1197" t="str">
        <f>TEXT(Table1[[#This Row],[Order_Date]],"MMM")</f>
        <v>Dec</v>
      </c>
      <c r="M1197" t="str">
        <f>IF(Table1[[#This Row],[Profit]]&gt;=10000,"Excellent",IF(Table1[[#This Row],[Profit]]&gt;5000,"Good","Low"))</f>
        <v>Low</v>
      </c>
      <c r="N1197" t="str">
        <f>TEXT(Table1[[#This Row],[Order_Date]],"YYYY")</f>
        <v>2025</v>
      </c>
    </row>
    <row r="1198" spans="1:14" x14ac:dyDescent="0.25">
      <c r="A1198" s="1">
        <v>45496</v>
      </c>
      <c r="B1198" t="s">
        <v>17</v>
      </c>
      <c r="C1198" t="s">
        <v>41</v>
      </c>
      <c r="D1198">
        <v>15335</v>
      </c>
      <c r="E1198">
        <v>6727</v>
      </c>
      <c r="F1198">
        <v>8608</v>
      </c>
      <c r="G1198" t="s">
        <v>27</v>
      </c>
      <c r="H1198" t="s">
        <v>78</v>
      </c>
      <c r="I1198" t="s">
        <v>42</v>
      </c>
      <c r="J1198" s="2">
        <f>Table1[[#This Row],[Profit]]/Table1[[#This Row],[Sales]]*100</f>
        <v>56.133029018584935</v>
      </c>
      <c r="K1198" t="str">
        <f>IF(Table1[[#This Row],[Sales]]&gt;=30000,"High", IF(Table1[[#This Row],[Sales]]&gt;=15000,"Medium","Low"))</f>
        <v>Medium</v>
      </c>
      <c r="L1198" t="str">
        <f>TEXT(Table1[[#This Row],[Order_Date]],"MMM")</f>
        <v>Jul</v>
      </c>
      <c r="M1198" t="str">
        <f>IF(Table1[[#This Row],[Profit]]&gt;=10000,"Excellent",IF(Table1[[#This Row],[Profit]]&gt;5000,"Good","Low"))</f>
        <v>Good</v>
      </c>
      <c r="N1198" t="str">
        <f>TEXT(Table1[[#This Row],[Order_Date]],"YYYY")</f>
        <v>2024</v>
      </c>
    </row>
    <row r="1199" spans="1:14" x14ac:dyDescent="0.25">
      <c r="A1199" s="1">
        <v>45359</v>
      </c>
      <c r="B1199" t="s">
        <v>22</v>
      </c>
      <c r="C1199" t="s">
        <v>33</v>
      </c>
      <c r="D1199">
        <v>5286</v>
      </c>
      <c r="E1199">
        <v>3615</v>
      </c>
      <c r="F1199">
        <v>1671</v>
      </c>
      <c r="G1199" t="s">
        <v>13</v>
      </c>
      <c r="H1199" t="s">
        <v>31</v>
      </c>
      <c r="I1199" t="s">
        <v>24</v>
      </c>
      <c r="J1199" s="2">
        <f>Table1[[#This Row],[Profit]]/Table1[[#This Row],[Sales]]*100</f>
        <v>31.611804767309877</v>
      </c>
      <c r="K1199" t="str">
        <f>IF(Table1[[#This Row],[Sales]]&gt;=30000,"High", IF(Table1[[#This Row],[Sales]]&gt;=15000,"Medium","Low"))</f>
        <v>Low</v>
      </c>
      <c r="L1199" t="str">
        <f>TEXT(Table1[[#This Row],[Order_Date]],"MMM")</f>
        <v>Mar</v>
      </c>
      <c r="M1199" t="str">
        <f>IF(Table1[[#This Row],[Profit]]&gt;=10000,"Excellent",IF(Table1[[#This Row],[Profit]]&gt;5000,"Good","Low"))</f>
        <v>Low</v>
      </c>
      <c r="N1199" t="str">
        <f>TEXT(Table1[[#This Row],[Order_Date]],"YYYY")</f>
        <v>2024</v>
      </c>
    </row>
    <row r="1200" spans="1:14" x14ac:dyDescent="0.25">
      <c r="A1200" s="1">
        <v>46165</v>
      </c>
      <c r="B1200" t="s">
        <v>17</v>
      </c>
      <c r="C1200" t="s">
        <v>18</v>
      </c>
      <c r="D1200">
        <v>36662</v>
      </c>
      <c r="E1200">
        <v>31152</v>
      </c>
      <c r="F1200">
        <v>5510</v>
      </c>
      <c r="G1200" t="s">
        <v>38</v>
      </c>
      <c r="H1200" t="s">
        <v>60</v>
      </c>
      <c r="I1200" t="s">
        <v>24</v>
      </c>
      <c r="J1200" s="2">
        <f>Table1[[#This Row],[Profit]]/Table1[[#This Row],[Sales]]*100</f>
        <v>15.029185532704162</v>
      </c>
      <c r="K1200" t="str">
        <f>IF(Table1[[#This Row],[Sales]]&gt;=30000,"High", IF(Table1[[#This Row],[Sales]]&gt;=15000,"Medium","Low"))</f>
        <v>High</v>
      </c>
      <c r="L1200" t="str">
        <f>TEXT(Table1[[#This Row],[Order_Date]],"MMM")</f>
        <v>May</v>
      </c>
      <c r="M1200" t="str">
        <f>IF(Table1[[#This Row],[Profit]]&gt;=10000,"Excellent",IF(Table1[[#This Row],[Profit]]&gt;5000,"Good","Low"))</f>
        <v>Good</v>
      </c>
      <c r="N1200" t="str">
        <f>TEXT(Table1[[#This Row],[Order_Date]],"YYYY")</f>
        <v>2026</v>
      </c>
    </row>
    <row r="1201" spans="1:14" x14ac:dyDescent="0.25">
      <c r="A1201" s="1">
        <v>45156</v>
      </c>
      <c r="B1201" t="s">
        <v>44</v>
      </c>
      <c r="C1201" t="s">
        <v>18</v>
      </c>
      <c r="D1201">
        <v>44650</v>
      </c>
      <c r="E1201">
        <v>28036</v>
      </c>
      <c r="F1201">
        <v>16614</v>
      </c>
      <c r="G1201" t="s">
        <v>38</v>
      </c>
      <c r="H1201" t="s">
        <v>31</v>
      </c>
      <c r="I1201" t="s">
        <v>24</v>
      </c>
      <c r="J1201" s="2">
        <f>Table1[[#This Row],[Profit]]/Table1[[#This Row],[Sales]]*100</f>
        <v>37.209406494960803</v>
      </c>
      <c r="K1201" t="str">
        <f>IF(Table1[[#This Row],[Sales]]&gt;=30000,"High", IF(Table1[[#This Row],[Sales]]&gt;=15000,"Medium","Low"))</f>
        <v>High</v>
      </c>
      <c r="L1201" t="str">
        <f>TEXT(Table1[[#This Row],[Order_Date]],"MMM")</f>
        <v>Aug</v>
      </c>
      <c r="M1201" t="str">
        <f>IF(Table1[[#This Row],[Profit]]&gt;=10000,"Excellent",IF(Table1[[#This Row],[Profit]]&gt;5000,"Good","Low"))</f>
        <v>Excellent</v>
      </c>
      <c r="N1201" t="str">
        <f>TEXT(Table1[[#This Row],[Order_Date]],"YYYY")</f>
        <v>2023</v>
      </c>
    </row>
    <row r="1202" spans="1:14" x14ac:dyDescent="0.25">
      <c r="A1202" s="1">
        <v>46107</v>
      </c>
      <c r="B1202" t="s">
        <v>22</v>
      </c>
      <c r="C1202" t="s">
        <v>36</v>
      </c>
      <c r="D1202">
        <v>12561</v>
      </c>
      <c r="E1202">
        <v>2029</v>
      </c>
      <c r="F1202">
        <v>10532</v>
      </c>
      <c r="G1202" t="s">
        <v>13</v>
      </c>
      <c r="H1202" t="s">
        <v>78</v>
      </c>
      <c r="I1202" t="s">
        <v>15</v>
      </c>
      <c r="J1202" s="2">
        <f>Table1[[#This Row],[Profit]]/Table1[[#This Row],[Sales]]*100</f>
        <v>83.846827481888383</v>
      </c>
      <c r="K1202" t="str">
        <f>IF(Table1[[#This Row],[Sales]]&gt;=30000,"High", IF(Table1[[#This Row],[Sales]]&gt;=15000,"Medium","Low"))</f>
        <v>Low</v>
      </c>
      <c r="L1202" t="str">
        <f>TEXT(Table1[[#This Row],[Order_Date]],"MMM")</f>
        <v>Mar</v>
      </c>
      <c r="M1202" t="str">
        <f>IF(Table1[[#This Row],[Profit]]&gt;=10000,"Excellent",IF(Table1[[#This Row],[Profit]]&gt;5000,"Good","Low"))</f>
        <v>Excellent</v>
      </c>
      <c r="N1202" t="str">
        <f>TEXT(Table1[[#This Row],[Order_Date]],"YYYY")</f>
        <v>2026</v>
      </c>
    </row>
    <row r="1203" spans="1:14" x14ac:dyDescent="0.25">
      <c r="A1203" s="1">
        <v>46194</v>
      </c>
      <c r="B1203" t="s">
        <v>11</v>
      </c>
      <c r="C1203" t="s">
        <v>41</v>
      </c>
      <c r="D1203">
        <v>44269</v>
      </c>
      <c r="E1203">
        <v>27862</v>
      </c>
      <c r="F1203">
        <v>16407</v>
      </c>
      <c r="G1203" t="s">
        <v>13</v>
      </c>
      <c r="H1203" t="s">
        <v>31</v>
      </c>
      <c r="I1203" t="s">
        <v>29</v>
      </c>
      <c r="J1203" s="2">
        <f>Table1[[#This Row],[Profit]]/Table1[[#This Row],[Sales]]*100</f>
        <v>37.062052452054481</v>
      </c>
      <c r="K1203" t="str">
        <f>IF(Table1[[#This Row],[Sales]]&gt;=30000,"High", IF(Table1[[#This Row],[Sales]]&gt;=15000,"Medium","Low"))</f>
        <v>High</v>
      </c>
      <c r="L1203" t="str">
        <f>TEXT(Table1[[#This Row],[Order_Date]],"MMM")</f>
        <v>Jun</v>
      </c>
      <c r="M1203" t="str">
        <f>IF(Table1[[#This Row],[Profit]]&gt;=10000,"Excellent",IF(Table1[[#This Row],[Profit]]&gt;5000,"Good","Low"))</f>
        <v>Excellent</v>
      </c>
      <c r="N1203" t="str">
        <f>TEXT(Table1[[#This Row],[Order_Date]],"YYYY")</f>
        <v>2026</v>
      </c>
    </row>
    <row r="1204" spans="1:14" x14ac:dyDescent="0.25">
      <c r="A1204" s="1">
        <v>45296</v>
      </c>
      <c r="B1204" t="s">
        <v>11</v>
      </c>
      <c r="C1204" t="s">
        <v>18</v>
      </c>
      <c r="D1204">
        <v>30968</v>
      </c>
      <c r="E1204">
        <v>29631</v>
      </c>
      <c r="F1204">
        <v>1337</v>
      </c>
      <c r="G1204" t="s">
        <v>19</v>
      </c>
      <c r="H1204" t="s">
        <v>20</v>
      </c>
      <c r="I1204" t="s">
        <v>24</v>
      </c>
      <c r="J1204" s="2">
        <f>Table1[[#This Row],[Profit]]/Table1[[#This Row],[Sales]]*100</f>
        <v>4.3173598553345389</v>
      </c>
      <c r="K1204" t="str">
        <f>IF(Table1[[#This Row],[Sales]]&gt;=30000,"High", IF(Table1[[#This Row],[Sales]]&gt;=15000,"Medium","Low"))</f>
        <v>High</v>
      </c>
      <c r="L1204" t="str">
        <f>TEXT(Table1[[#This Row],[Order_Date]],"MMM")</f>
        <v>Jan</v>
      </c>
      <c r="M1204" t="str">
        <f>IF(Table1[[#This Row],[Profit]]&gt;=10000,"Excellent",IF(Table1[[#This Row],[Profit]]&gt;5000,"Good","Low"))</f>
        <v>Low</v>
      </c>
      <c r="N1204" t="str">
        <f>TEXT(Table1[[#This Row],[Order_Date]],"YYYY")</f>
        <v>2024</v>
      </c>
    </row>
    <row r="1205" spans="1:14" x14ac:dyDescent="0.25">
      <c r="A1205" s="1">
        <v>46136</v>
      </c>
      <c r="B1205" t="s">
        <v>22</v>
      </c>
      <c r="C1205" t="s">
        <v>41</v>
      </c>
      <c r="D1205">
        <v>36205</v>
      </c>
      <c r="E1205">
        <v>23059</v>
      </c>
      <c r="F1205">
        <v>13146</v>
      </c>
      <c r="G1205" t="s">
        <v>27</v>
      </c>
      <c r="H1205" t="s">
        <v>63</v>
      </c>
      <c r="I1205" t="s">
        <v>15</v>
      </c>
      <c r="J1205" s="2">
        <f>Table1[[#This Row],[Profit]]/Table1[[#This Row],[Sales]]*100</f>
        <v>36.309901947244853</v>
      </c>
      <c r="K1205" t="str">
        <f>IF(Table1[[#This Row],[Sales]]&gt;=30000,"High", IF(Table1[[#This Row],[Sales]]&gt;=15000,"Medium","Low"))</f>
        <v>High</v>
      </c>
      <c r="L1205" t="str">
        <f>TEXT(Table1[[#This Row],[Order_Date]],"MMM")</f>
        <v>Apr</v>
      </c>
      <c r="M1205" t="str">
        <f>IF(Table1[[#This Row],[Profit]]&gt;=10000,"Excellent",IF(Table1[[#This Row],[Profit]]&gt;5000,"Good","Low"))</f>
        <v>Excellent</v>
      </c>
      <c r="N1205" t="str">
        <f>TEXT(Table1[[#This Row],[Order_Date]],"YYYY")</f>
        <v>2026</v>
      </c>
    </row>
    <row r="1206" spans="1:14" x14ac:dyDescent="0.25">
      <c r="A1206" s="1">
        <v>45575</v>
      </c>
      <c r="B1206" t="s">
        <v>22</v>
      </c>
      <c r="C1206" t="s">
        <v>36</v>
      </c>
      <c r="D1206">
        <v>42927</v>
      </c>
      <c r="E1206">
        <v>27247</v>
      </c>
      <c r="F1206">
        <v>15680</v>
      </c>
      <c r="G1206" t="s">
        <v>38</v>
      </c>
      <c r="H1206" t="s">
        <v>60</v>
      </c>
      <c r="I1206" t="s">
        <v>15</v>
      </c>
      <c r="J1206" s="2">
        <f>Table1[[#This Row],[Profit]]/Table1[[#This Row],[Sales]]*100</f>
        <v>36.527127448924915</v>
      </c>
      <c r="K1206" t="str">
        <f>IF(Table1[[#This Row],[Sales]]&gt;=30000,"High", IF(Table1[[#This Row],[Sales]]&gt;=15000,"Medium","Low"))</f>
        <v>High</v>
      </c>
      <c r="L1206" t="str">
        <f>TEXT(Table1[[#This Row],[Order_Date]],"MMM")</f>
        <v>Oct</v>
      </c>
      <c r="M1206" t="str">
        <f>IF(Table1[[#This Row],[Profit]]&gt;=10000,"Excellent",IF(Table1[[#This Row],[Profit]]&gt;5000,"Good","Low"))</f>
        <v>Excellent</v>
      </c>
      <c r="N1206" t="str">
        <f>TEXT(Table1[[#This Row],[Order_Date]],"YYYY")</f>
        <v>2024</v>
      </c>
    </row>
    <row r="1207" spans="1:14" x14ac:dyDescent="0.25">
      <c r="A1207" s="1">
        <v>45910</v>
      </c>
      <c r="B1207" t="s">
        <v>17</v>
      </c>
      <c r="C1207" t="s">
        <v>33</v>
      </c>
      <c r="D1207">
        <v>27996</v>
      </c>
      <c r="E1207">
        <v>10921</v>
      </c>
      <c r="F1207">
        <v>17075</v>
      </c>
      <c r="G1207" t="s">
        <v>27</v>
      </c>
      <c r="H1207" t="s">
        <v>23</v>
      </c>
      <c r="I1207" t="s">
        <v>42</v>
      </c>
      <c r="J1207" s="2">
        <f>Table1[[#This Row],[Profit]]/Table1[[#This Row],[Sales]]*100</f>
        <v>60.990855836548072</v>
      </c>
      <c r="K1207" t="str">
        <f>IF(Table1[[#This Row],[Sales]]&gt;=30000,"High", IF(Table1[[#This Row],[Sales]]&gt;=15000,"Medium","Low"))</f>
        <v>Medium</v>
      </c>
      <c r="L1207" t="str">
        <f>TEXT(Table1[[#This Row],[Order_Date]],"MMM")</f>
        <v>Sep</v>
      </c>
      <c r="M1207" t="str">
        <f>IF(Table1[[#This Row],[Profit]]&gt;=10000,"Excellent",IF(Table1[[#This Row],[Profit]]&gt;5000,"Good","Low"))</f>
        <v>Excellent</v>
      </c>
      <c r="N1207" t="str">
        <f>TEXT(Table1[[#This Row],[Order_Date]],"YYYY")</f>
        <v>2025</v>
      </c>
    </row>
    <row r="1208" spans="1:14" x14ac:dyDescent="0.25">
      <c r="A1208" s="1">
        <v>46028</v>
      </c>
      <c r="B1208" t="s">
        <v>17</v>
      </c>
      <c r="C1208" t="s">
        <v>18</v>
      </c>
      <c r="D1208">
        <v>34424</v>
      </c>
      <c r="E1208">
        <v>16773</v>
      </c>
      <c r="F1208">
        <v>17651</v>
      </c>
      <c r="G1208" t="s">
        <v>38</v>
      </c>
      <c r="H1208" t="s">
        <v>23</v>
      </c>
      <c r="I1208" t="s">
        <v>15</v>
      </c>
      <c r="J1208" s="2">
        <f>Table1[[#This Row],[Profit]]/Table1[[#This Row],[Sales]]*100</f>
        <v>51.275273065303274</v>
      </c>
      <c r="K1208" t="str">
        <f>IF(Table1[[#This Row],[Sales]]&gt;=30000,"High", IF(Table1[[#This Row],[Sales]]&gt;=15000,"Medium","Low"))</f>
        <v>High</v>
      </c>
      <c r="L1208" t="str">
        <f>TEXT(Table1[[#This Row],[Order_Date]],"MMM")</f>
        <v>Jan</v>
      </c>
      <c r="M1208" t="str">
        <f>IF(Table1[[#This Row],[Profit]]&gt;=10000,"Excellent",IF(Table1[[#This Row],[Profit]]&gt;5000,"Good","Low"))</f>
        <v>Excellent</v>
      </c>
      <c r="N1208" t="str">
        <f>TEXT(Table1[[#This Row],[Order_Date]],"YYYY")</f>
        <v>2026</v>
      </c>
    </row>
    <row r="1209" spans="1:14" x14ac:dyDescent="0.25">
      <c r="A1209" s="1">
        <v>45991</v>
      </c>
      <c r="B1209" t="s">
        <v>26</v>
      </c>
      <c r="C1209" t="s">
        <v>33</v>
      </c>
      <c r="D1209">
        <v>48255</v>
      </c>
      <c r="E1209">
        <v>31883</v>
      </c>
      <c r="F1209">
        <v>16372</v>
      </c>
      <c r="G1209" t="s">
        <v>27</v>
      </c>
      <c r="H1209" t="s">
        <v>34</v>
      </c>
      <c r="I1209" t="s">
        <v>29</v>
      </c>
      <c r="J1209" s="2">
        <f>Table1[[#This Row],[Profit]]/Table1[[#This Row],[Sales]]*100</f>
        <v>33.928090353331257</v>
      </c>
      <c r="K1209" t="str">
        <f>IF(Table1[[#This Row],[Sales]]&gt;=30000,"High", IF(Table1[[#This Row],[Sales]]&gt;=15000,"Medium","Low"))</f>
        <v>High</v>
      </c>
      <c r="L1209" t="str">
        <f>TEXT(Table1[[#This Row],[Order_Date]],"MMM")</f>
        <v>Nov</v>
      </c>
      <c r="M1209" t="str">
        <f>IF(Table1[[#This Row],[Profit]]&gt;=10000,"Excellent",IF(Table1[[#This Row],[Profit]]&gt;5000,"Good","Low"))</f>
        <v>Excellent</v>
      </c>
      <c r="N1209" t="str">
        <f>TEXT(Table1[[#This Row],[Order_Date]],"YYYY")</f>
        <v>2025</v>
      </c>
    </row>
    <row r="1210" spans="1:14" x14ac:dyDescent="0.25">
      <c r="A1210" s="1">
        <v>46092</v>
      </c>
      <c r="B1210" t="s">
        <v>26</v>
      </c>
      <c r="C1210" t="s">
        <v>36</v>
      </c>
      <c r="D1210">
        <v>5154</v>
      </c>
      <c r="E1210">
        <v>2266</v>
      </c>
      <c r="F1210">
        <v>2888</v>
      </c>
      <c r="G1210" t="s">
        <v>38</v>
      </c>
      <c r="H1210" t="s">
        <v>34</v>
      </c>
      <c r="I1210" t="s">
        <v>24</v>
      </c>
      <c r="J1210" s="2">
        <f>Table1[[#This Row],[Profit]]/Table1[[#This Row],[Sales]]*100</f>
        <v>56.034148234381064</v>
      </c>
      <c r="K1210" t="str">
        <f>IF(Table1[[#This Row],[Sales]]&gt;=30000,"High", IF(Table1[[#This Row],[Sales]]&gt;=15000,"Medium","Low"))</f>
        <v>Low</v>
      </c>
      <c r="L1210" t="str">
        <f>TEXT(Table1[[#This Row],[Order_Date]],"MMM")</f>
        <v>Mar</v>
      </c>
      <c r="M1210" t="str">
        <f>IF(Table1[[#This Row],[Profit]]&gt;=10000,"Excellent",IF(Table1[[#This Row],[Profit]]&gt;5000,"Good","Low"))</f>
        <v>Low</v>
      </c>
      <c r="N1210" t="str">
        <f>TEXT(Table1[[#This Row],[Order_Date]],"YYYY")</f>
        <v>2026</v>
      </c>
    </row>
    <row r="1211" spans="1:14" x14ac:dyDescent="0.25">
      <c r="A1211" s="1">
        <v>45683</v>
      </c>
      <c r="B1211" t="s">
        <v>22</v>
      </c>
      <c r="C1211" t="s">
        <v>12</v>
      </c>
      <c r="D1211">
        <v>8891</v>
      </c>
      <c r="E1211">
        <v>4790</v>
      </c>
      <c r="F1211">
        <v>4101</v>
      </c>
      <c r="G1211" t="s">
        <v>19</v>
      </c>
      <c r="H1211" t="s">
        <v>60</v>
      </c>
      <c r="I1211" t="s">
        <v>53</v>
      </c>
      <c r="J1211" s="2">
        <f>Table1[[#This Row],[Profit]]/Table1[[#This Row],[Sales]]*100</f>
        <v>46.125295242379934</v>
      </c>
      <c r="K1211" t="str">
        <f>IF(Table1[[#This Row],[Sales]]&gt;=30000,"High", IF(Table1[[#This Row],[Sales]]&gt;=15000,"Medium","Low"))</f>
        <v>Low</v>
      </c>
      <c r="L1211" t="str">
        <f>TEXT(Table1[[#This Row],[Order_Date]],"MMM")</f>
        <v>Jan</v>
      </c>
      <c r="M1211" t="str">
        <f>IF(Table1[[#This Row],[Profit]]&gt;=10000,"Excellent",IF(Table1[[#This Row],[Profit]]&gt;5000,"Good","Low"))</f>
        <v>Low</v>
      </c>
      <c r="N1211" t="str">
        <f>TEXT(Table1[[#This Row],[Order_Date]],"YYYY")</f>
        <v>2025</v>
      </c>
    </row>
    <row r="1212" spans="1:14" x14ac:dyDescent="0.25">
      <c r="A1212" s="1">
        <v>45189</v>
      </c>
      <c r="B1212" t="s">
        <v>22</v>
      </c>
      <c r="C1212" t="s">
        <v>18</v>
      </c>
      <c r="D1212">
        <v>13968</v>
      </c>
      <c r="E1212">
        <v>11053</v>
      </c>
      <c r="F1212">
        <v>2915</v>
      </c>
      <c r="G1212" t="s">
        <v>13</v>
      </c>
      <c r="H1212" t="s">
        <v>23</v>
      </c>
      <c r="I1212" t="s">
        <v>29</v>
      </c>
      <c r="J1212" s="2">
        <f>Table1[[#This Row],[Profit]]/Table1[[#This Row],[Sales]]*100</f>
        <v>20.869129438717067</v>
      </c>
      <c r="K1212" t="str">
        <f>IF(Table1[[#This Row],[Sales]]&gt;=30000,"High", IF(Table1[[#This Row],[Sales]]&gt;=15000,"Medium","Low"))</f>
        <v>Low</v>
      </c>
      <c r="L1212" t="str">
        <f>TEXT(Table1[[#This Row],[Order_Date]],"MMM")</f>
        <v>Sep</v>
      </c>
      <c r="M1212" t="str">
        <f>IF(Table1[[#This Row],[Profit]]&gt;=10000,"Excellent",IF(Table1[[#This Row],[Profit]]&gt;5000,"Good","Low"))</f>
        <v>Low</v>
      </c>
      <c r="N1212" t="str">
        <f>TEXT(Table1[[#This Row],[Order_Date]],"YYYY")</f>
        <v>2023</v>
      </c>
    </row>
    <row r="1213" spans="1:14" x14ac:dyDescent="0.25">
      <c r="A1213" s="1">
        <v>46205</v>
      </c>
      <c r="B1213" t="s">
        <v>17</v>
      </c>
      <c r="C1213" t="s">
        <v>36</v>
      </c>
      <c r="D1213">
        <v>29079</v>
      </c>
      <c r="E1213">
        <v>17162</v>
      </c>
      <c r="F1213">
        <v>11917</v>
      </c>
      <c r="G1213" t="s">
        <v>13</v>
      </c>
      <c r="H1213" t="s">
        <v>28</v>
      </c>
      <c r="I1213" t="s">
        <v>24</v>
      </c>
      <c r="J1213" s="2">
        <f>Table1[[#This Row],[Profit]]/Table1[[#This Row],[Sales]]*100</f>
        <v>40.981464286942462</v>
      </c>
      <c r="K1213" t="str">
        <f>IF(Table1[[#This Row],[Sales]]&gt;=30000,"High", IF(Table1[[#This Row],[Sales]]&gt;=15000,"Medium","Low"))</f>
        <v>Medium</v>
      </c>
      <c r="L1213" t="str">
        <f>TEXT(Table1[[#This Row],[Order_Date]],"MMM")</f>
        <v>Jul</v>
      </c>
      <c r="M1213" t="str">
        <f>IF(Table1[[#This Row],[Profit]]&gt;=10000,"Excellent",IF(Table1[[#This Row],[Profit]]&gt;5000,"Good","Low"))</f>
        <v>Excellent</v>
      </c>
      <c r="N1213" t="str">
        <f>TEXT(Table1[[#This Row],[Order_Date]],"YYYY")</f>
        <v>2026</v>
      </c>
    </row>
    <row r="1214" spans="1:14" x14ac:dyDescent="0.25">
      <c r="A1214" s="1">
        <v>46110</v>
      </c>
      <c r="B1214" t="s">
        <v>44</v>
      </c>
      <c r="C1214" t="s">
        <v>41</v>
      </c>
      <c r="D1214">
        <v>41043</v>
      </c>
      <c r="E1214">
        <v>39931</v>
      </c>
      <c r="F1214">
        <v>1112</v>
      </c>
      <c r="G1214" t="s">
        <v>13</v>
      </c>
      <c r="H1214" t="s">
        <v>20</v>
      </c>
      <c r="I1214" t="s">
        <v>15</v>
      </c>
      <c r="J1214" s="2">
        <f>Table1[[#This Row],[Profit]]/Table1[[#This Row],[Sales]]*100</f>
        <v>2.7093536047559876</v>
      </c>
      <c r="K1214" t="str">
        <f>IF(Table1[[#This Row],[Sales]]&gt;=30000,"High", IF(Table1[[#This Row],[Sales]]&gt;=15000,"Medium","Low"))</f>
        <v>High</v>
      </c>
      <c r="L1214" t="str">
        <f>TEXT(Table1[[#This Row],[Order_Date]],"MMM")</f>
        <v>Mar</v>
      </c>
      <c r="M1214" t="str">
        <f>IF(Table1[[#This Row],[Profit]]&gt;=10000,"Excellent",IF(Table1[[#This Row],[Profit]]&gt;5000,"Good","Low"))</f>
        <v>Low</v>
      </c>
      <c r="N1214" t="str">
        <f>TEXT(Table1[[#This Row],[Order_Date]],"YYYY")</f>
        <v>2026</v>
      </c>
    </row>
    <row r="1215" spans="1:14" x14ac:dyDescent="0.25">
      <c r="A1215" s="1">
        <v>45451</v>
      </c>
      <c r="B1215" t="s">
        <v>17</v>
      </c>
      <c r="C1215" t="s">
        <v>33</v>
      </c>
      <c r="D1215">
        <v>9901</v>
      </c>
      <c r="E1215">
        <v>5741</v>
      </c>
      <c r="F1215">
        <v>4160</v>
      </c>
      <c r="G1215" t="s">
        <v>27</v>
      </c>
      <c r="H1215" t="s">
        <v>20</v>
      </c>
      <c r="I1215" t="s">
        <v>42</v>
      </c>
      <c r="J1215" s="2">
        <f>Table1[[#This Row],[Profit]]/Table1[[#This Row],[Sales]]*100</f>
        <v>42.015957984042018</v>
      </c>
      <c r="K1215" t="str">
        <f>IF(Table1[[#This Row],[Sales]]&gt;=30000,"High", IF(Table1[[#This Row],[Sales]]&gt;=15000,"Medium","Low"))</f>
        <v>Low</v>
      </c>
      <c r="L1215" t="str">
        <f>TEXT(Table1[[#This Row],[Order_Date]],"MMM")</f>
        <v>Jun</v>
      </c>
      <c r="M1215" t="str">
        <f>IF(Table1[[#This Row],[Profit]]&gt;=10000,"Excellent",IF(Table1[[#This Row],[Profit]]&gt;5000,"Good","Low"))</f>
        <v>Low</v>
      </c>
      <c r="N1215" t="str">
        <f>TEXT(Table1[[#This Row],[Order_Date]],"YYYY")</f>
        <v>2024</v>
      </c>
    </row>
    <row r="1216" spans="1:14" x14ac:dyDescent="0.25">
      <c r="A1216" s="1">
        <v>45612</v>
      </c>
      <c r="B1216" t="s">
        <v>11</v>
      </c>
      <c r="C1216" t="s">
        <v>12</v>
      </c>
      <c r="D1216">
        <v>13637</v>
      </c>
      <c r="E1216">
        <v>623</v>
      </c>
      <c r="F1216">
        <v>13014</v>
      </c>
      <c r="G1216" t="s">
        <v>19</v>
      </c>
      <c r="H1216" t="s">
        <v>31</v>
      </c>
      <c r="I1216" t="s">
        <v>29</v>
      </c>
      <c r="J1216" s="2">
        <f>Table1[[#This Row],[Profit]]/Table1[[#This Row],[Sales]]*100</f>
        <v>95.431546527828701</v>
      </c>
      <c r="K1216" t="str">
        <f>IF(Table1[[#This Row],[Sales]]&gt;=30000,"High", IF(Table1[[#This Row],[Sales]]&gt;=15000,"Medium","Low"))</f>
        <v>Low</v>
      </c>
      <c r="L1216" t="str">
        <f>TEXT(Table1[[#This Row],[Order_Date]],"MMM")</f>
        <v>Nov</v>
      </c>
      <c r="M1216" t="str">
        <f>IF(Table1[[#This Row],[Profit]]&gt;=10000,"Excellent",IF(Table1[[#This Row],[Profit]]&gt;5000,"Good","Low"))</f>
        <v>Excellent</v>
      </c>
      <c r="N1216" t="str">
        <f>TEXT(Table1[[#This Row],[Order_Date]],"YYYY")</f>
        <v>2024</v>
      </c>
    </row>
    <row r="1217" spans="1:14" x14ac:dyDescent="0.25">
      <c r="A1217" s="1">
        <v>45837</v>
      </c>
      <c r="B1217" t="s">
        <v>26</v>
      </c>
      <c r="C1217" t="s">
        <v>41</v>
      </c>
      <c r="D1217">
        <v>25134</v>
      </c>
      <c r="E1217">
        <v>16022</v>
      </c>
      <c r="F1217">
        <v>9112</v>
      </c>
      <c r="G1217" t="s">
        <v>13</v>
      </c>
      <c r="H1217" t="s">
        <v>31</v>
      </c>
      <c r="I1217" t="s">
        <v>24</v>
      </c>
      <c r="J1217" s="2">
        <f>Table1[[#This Row],[Profit]]/Table1[[#This Row],[Sales]]*100</f>
        <v>36.25368027373279</v>
      </c>
      <c r="K1217" t="str">
        <f>IF(Table1[[#This Row],[Sales]]&gt;=30000,"High", IF(Table1[[#This Row],[Sales]]&gt;=15000,"Medium","Low"))</f>
        <v>Medium</v>
      </c>
      <c r="L1217" t="str">
        <f>TEXT(Table1[[#This Row],[Order_Date]],"MMM")</f>
        <v>Jun</v>
      </c>
      <c r="M1217" t="str">
        <f>IF(Table1[[#This Row],[Profit]]&gt;=10000,"Excellent",IF(Table1[[#This Row],[Profit]]&gt;5000,"Good","Low"))</f>
        <v>Good</v>
      </c>
      <c r="N1217" t="str">
        <f>TEXT(Table1[[#This Row],[Order_Date]],"YYYY")</f>
        <v>2025</v>
      </c>
    </row>
    <row r="1218" spans="1:14" x14ac:dyDescent="0.25">
      <c r="A1218" s="1">
        <v>45440</v>
      </c>
      <c r="B1218" t="s">
        <v>26</v>
      </c>
      <c r="C1218" t="s">
        <v>12</v>
      </c>
      <c r="D1218">
        <v>9687</v>
      </c>
      <c r="E1218">
        <v>5214</v>
      </c>
      <c r="F1218">
        <v>4473</v>
      </c>
      <c r="G1218" t="s">
        <v>27</v>
      </c>
      <c r="H1218" t="s">
        <v>78</v>
      </c>
      <c r="I1218" t="s">
        <v>53</v>
      </c>
      <c r="J1218" s="2">
        <f>Table1[[#This Row],[Profit]]/Table1[[#This Row],[Sales]]*100</f>
        <v>46.175286466398262</v>
      </c>
      <c r="K1218" t="str">
        <f>IF(Table1[[#This Row],[Sales]]&gt;=30000,"High", IF(Table1[[#This Row],[Sales]]&gt;=15000,"Medium","Low"))</f>
        <v>Low</v>
      </c>
      <c r="L1218" t="str">
        <f>TEXT(Table1[[#This Row],[Order_Date]],"MMM")</f>
        <v>May</v>
      </c>
      <c r="M1218" t="str">
        <f>IF(Table1[[#This Row],[Profit]]&gt;=10000,"Excellent",IF(Table1[[#This Row],[Profit]]&gt;5000,"Good","Low"))</f>
        <v>Low</v>
      </c>
      <c r="N1218" t="str">
        <f>TEXT(Table1[[#This Row],[Order_Date]],"YYYY")</f>
        <v>2024</v>
      </c>
    </row>
    <row r="1219" spans="1:14" x14ac:dyDescent="0.25">
      <c r="A1219" s="1">
        <v>46179</v>
      </c>
      <c r="B1219" t="s">
        <v>22</v>
      </c>
      <c r="C1219" t="s">
        <v>33</v>
      </c>
      <c r="D1219">
        <v>6872</v>
      </c>
      <c r="E1219">
        <v>3699</v>
      </c>
      <c r="F1219">
        <v>3173</v>
      </c>
      <c r="G1219" t="s">
        <v>13</v>
      </c>
      <c r="H1219" t="s">
        <v>14</v>
      </c>
      <c r="I1219" t="s">
        <v>53</v>
      </c>
      <c r="J1219" s="2">
        <f>Table1[[#This Row],[Profit]]/Table1[[#This Row],[Sales]]*100</f>
        <v>46.172875436554136</v>
      </c>
      <c r="K1219" t="str">
        <f>IF(Table1[[#This Row],[Sales]]&gt;=30000,"High", IF(Table1[[#This Row],[Sales]]&gt;=15000,"Medium","Low"))</f>
        <v>Low</v>
      </c>
      <c r="L1219" t="str">
        <f>TEXT(Table1[[#This Row],[Order_Date]],"MMM")</f>
        <v>Jun</v>
      </c>
      <c r="M1219" t="str">
        <f>IF(Table1[[#This Row],[Profit]]&gt;=10000,"Excellent",IF(Table1[[#This Row],[Profit]]&gt;5000,"Good","Low"))</f>
        <v>Low</v>
      </c>
      <c r="N1219" t="str">
        <f>TEXT(Table1[[#This Row],[Order_Date]],"YYYY")</f>
        <v>2026</v>
      </c>
    </row>
    <row r="1220" spans="1:14" x14ac:dyDescent="0.25">
      <c r="A1220" s="1">
        <v>46176</v>
      </c>
      <c r="B1220" t="s">
        <v>17</v>
      </c>
      <c r="C1220" t="s">
        <v>12</v>
      </c>
      <c r="D1220">
        <v>35925</v>
      </c>
      <c r="E1220">
        <v>17999</v>
      </c>
      <c r="F1220">
        <v>17926</v>
      </c>
      <c r="G1220" t="s">
        <v>38</v>
      </c>
      <c r="H1220" t="s">
        <v>14</v>
      </c>
      <c r="I1220" t="s">
        <v>29</v>
      </c>
      <c r="J1220" s="2">
        <f>Table1[[#This Row],[Profit]]/Table1[[#This Row],[Sales]]*100</f>
        <v>49.898399443284617</v>
      </c>
      <c r="K1220" t="str">
        <f>IF(Table1[[#This Row],[Sales]]&gt;=30000,"High", IF(Table1[[#This Row],[Sales]]&gt;=15000,"Medium","Low"))</f>
        <v>High</v>
      </c>
      <c r="L1220" t="str">
        <f>TEXT(Table1[[#This Row],[Order_Date]],"MMM")</f>
        <v>Jun</v>
      </c>
      <c r="M1220" t="str">
        <f>IF(Table1[[#This Row],[Profit]]&gt;=10000,"Excellent",IF(Table1[[#This Row],[Profit]]&gt;5000,"Good","Low"))</f>
        <v>Excellent</v>
      </c>
      <c r="N1220" t="str">
        <f>TEXT(Table1[[#This Row],[Order_Date]],"YYYY")</f>
        <v>2026</v>
      </c>
    </row>
    <row r="1221" spans="1:14" x14ac:dyDescent="0.25">
      <c r="A1221" s="1">
        <v>45835</v>
      </c>
      <c r="B1221" t="s">
        <v>22</v>
      </c>
      <c r="C1221" t="s">
        <v>12</v>
      </c>
      <c r="D1221">
        <v>5246</v>
      </c>
      <c r="E1221">
        <v>3804</v>
      </c>
      <c r="F1221">
        <v>1442</v>
      </c>
      <c r="G1221" t="s">
        <v>38</v>
      </c>
      <c r="H1221" t="s">
        <v>31</v>
      </c>
      <c r="I1221" t="s">
        <v>15</v>
      </c>
      <c r="J1221" s="2">
        <f>Table1[[#This Row],[Profit]]/Table1[[#This Row],[Sales]]*100</f>
        <v>27.487609607319861</v>
      </c>
      <c r="K1221" t="str">
        <f>IF(Table1[[#This Row],[Sales]]&gt;=30000,"High", IF(Table1[[#This Row],[Sales]]&gt;=15000,"Medium","Low"))</f>
        <v>Low</v>
      </c>
      <c r="L1221" t="str">
        <f>TEXT(Table1[[#This Row],[Order_Date]],"MMM")</f>
        <v>Jun</v>
      </c>
      <c r="M1221" t="str">
        <f>IF(Table1[[#This Row],[Profit]]&gt;=10000,"Excellent",IF(Table1[[#This Row],[Profit]]&gt;5000,"Good","Low"))</f>
        <v>Low</v>
      </c>
      <c r="N1221" t="str">
        <f>TEXT(Table1[[#This Row],[Order_Date]],"YYYY")</f>
        <v>2025</v>
      </c>
    </row>
    <row r="1222" spans="1:14" x14ac:dyDescent="0.25">
      <c r="A1222" s="1">
        <v>45844</v>
      </c>
      <c r="B1222" t="s">
        <v>17</v>
      </c>
      <c r="C1222" t="s">
        <v>12</v>
      </c>
      <c r="D1222">
        <v>19726</v>
      </c>
      <c r="E1222">
        <v>2000</v>
      </c>
      <c r="F1222">
        <v>17726</v>
      </c>
      <c r="G1222" t="s">
        <v>38</v>
      </c>
      <c r="H1222" t="s">
        <v>31</v>
      </c>
      <c r="I1222" t="s">
        <v>29</v>
      </c>
      <c r="J1222" s="2">
        <f>Table1[[#This Row],[Profit]]/Table1[[#This Row],[Sales]]*100</f>
        <v>89.861097029301433</v>
      </c>
      <c r="K1222" t="str">
        <f>IF(Table1[[#This Row],[Sales]]&gt;=30000,"High", IF(Table1[[#This Row],[Sales]]&gt;=15000,"Medium","Low"))</f>
        <v>Medium</v>
      </c>
      <c r="L1222" t="str">
        <f>TEXT(Table1[[#This Row],[Order_Date]],"MMM")</f>
        <v>Jul</v>
      </c>
      <c r="M1222" t="str">
        <f>IF(Table1[[#This Row],[Profit]]&gt;=10000,"Excellent",IF(Table1[[#This Row],[Profit]]&gt;5000,"Good","Low"))</f>
        <v>Excellent</v>
      </c>
      <c r="N1222" t="str">
        <f>TEXT(Table1[[#This Row],[Order_Date]],"YYYY")</f>
        <v>2025</v>
      </c>
    </row>
    <row r="1223" spans="1:14" x14ac:dyDescent="0.25">
      <c r="A1223" s="1">
        <v>45526</v>
      </c>
      <c r="B1223" t="s">
        <v>22</v>
      </c>
      <c r="C1223" t="s">
        <v>41</v>
      </c>
      <c r="D1223">
        <v>24632</v>
      </c>
      <c r="E1223">
        <v>15803</v>
      </c>
      <c r="F1223">
        <v>8829</v>
      </c>
      <c r="G1223" t="s">
        <v>13</v>
      </c>
      <c r="H1223" t="s">
        <v>14</v>
      </c>
      <c r="I1223" t="s">
        <v>53</v>
      </c>
      <c r="J1223" s="2">
        <f>Table1[[#This Row],[Profit]]/Table1[[#This Row],[Sales]]*100</f>
        <v>35.843618057810978</v>
      </c>
      <c r="K1223" t="str">
        <f>IF(Table1[[#This Row],[Sales]]&gt;=30000,"High", IF(Table1[[#This Row],[Sales]]&gt;=15000,"Medium","Low"))</f>
        <v>Medium</v>
      </c>
      <c r="L1223" t="str">
        <f>TEXT(Table1[[#This Row],[Order_Date]],"MMM")</f>
        <v>Aug</v>
      </c>
      <c r="M1223" t="str">
        <f>IF(Table1[[#This Row],[Profit]]&gt;=10000,"Excellent",IF(Table1[[#This Row],[Profit]]&gt;5000,"Good","Low"))</f>
        <v>Good</v>
      </c>
      <c r="N1223" t="str">
        <f>TEXT(Table1[[#This Row],[Order_Date]],"YYYY")</f>
        <v>2024</v>
      </c>
    </row>
    <row r="1224" spans="1:14" x14ac:dyDescent="0.25">
      <c r="A1224" s="1">
        <v>45373</v>
      </c>
      <c r="B1224" t="s">
        <v>22</v>
      </c>
      <c r="C1224" t="s">
        <v>41</v>
      </c>
      <c r="D1224">
        <v>37386</v>
      </c>
      <c r="E1224">
        <v>26407</v>
      </c>
      <c r="F1224">
        <v>10979</v>
      </c>
      <c r="G1224" t="s">
        <v>13</v>
      </c>
      <c r="H1224" t="s">
        <v>23</v>
      </c>
      <c r="I1224" t="s">
        <v>53</v>
      </c>
      <c r="J1224" s="2">
        <f>Table1[[#This Row],[Profit]]/Table1[[#This Row],[Sales]]*100</f>
        <v>29.366607821109508</v>
      </c>
      <c r="K1224" t="str">
        <f>IF(Table1[[#This Row],[Sales]]&gt;=30000,"High", IF(Table1[[#This Row],[Sales]]&gt;=15000,"Medium","Low"))</f>
        <v>High</v>
      </c>
      <c r="L1224" t="str">
        <f>TEXT(Table1[[#This Row],[Order_Date]],"MMM")</f>
        <v>Mar</v>
      </c>
      <c r="M1224" t="str">
        <f>IF(Table1[[#This Row],[Profit]]&gt;=10000,"Excellent",IF(Table1[[#This Row],[Profit]]&gt;5000,"Good","Low"))</f>
        <v>Excellent</v>
      </c>
      <c r="N1224" t="str">
        <f>TEXT(Table1[[#This Row],[Order_Date]],"YYYY")</f>
        <v>2024</v>
      </c>
    </row>
    <row r="1225" spans="1:14" x14ac:dyDescent="0.25">
      <c r="A1225" s="1">
        <v>46113</v>
      </c>
      <c r="B1225" t="s">
        <v>22</v>
      </c>
      <c r="C1225" t="s">
        <v>18</v>
      </c>
      <c r="D1225">
        <v>18130</v>
      </c>
      <c r="E1225">
        <v>181</v>
      </c>
      <c r="F1225">
        <v>17949</v>
      </c>
      <c r="G1225" t="s">
        <v>19</v>
      </c>
      <c r="H1225" t="s">
        <v>34</v>
      </c>
      <c r="I1225" t="s">
        <v>42</v>
      </c>
      <c r="J1225" s="2">
        <f>Table1[[#This Row],[Profit]]/Table1[[#This Row],[Sales]]*100</f>
        <v>99.001654715940433</v>
      </c>
      <c r="K1225" t="str">
        <f>IF(Table1[[#This Row],[Sales]]&gt;=30000,"High", IF(Table1[[#This Row],[Sales]]&gt;=15000,"Medium","Low"))</f>
        <v>Medium</v>
      </c>
      <c r="L1225" t="str">
        <f>TEXT(Table1[[#This Row],[Order_Date]],"MMM")</f>
        <v>Apr</v>
      </c>
      <c r="M1225" t="str">
        <f>IF(Table1[[#This Row],[Profit]]&gt;=10000,"Excellent",IF(Table1[[#This Row],[Profit]]&gt;5000,"Good","Low"))</f>
        <v>Excellent</v>
      </c>
      <c r="N1225" t="str">
        <f>TEXT(Table1[[#This Row],[Order_Date]],"YYYY")</f>
        <v>2026</v>
      </c>
    </row>
    <row r="1226" spans="1:14" x14ac:dyDescent="0.25">
      <c r="A1226" s="1">
        <v>45713</v>
      </c>
      <c r="B1226" t="s">
        <v>22</v>
      </c>
      <c r="C1226" t="s">
        <v>41</v>
      </c>
      <c r="D1226">
        <v>31747</v>
      </c>
      <c r="E1226">
        <v>17705</v>
      </c>
      <c r="F1226">
        <v>14042</v>
      </c>
      <c r="G1226" t="s">
        <v>13</v>
      </c>
      <c r="H1226" t="s">
        <v>23</v>
      </c>
      <c r="I1226" t="s">
        <v>53</v>
      </c>
      <c r="J1226" s="2">
        <f>Table1[[#This Row],[Profit]]/Table1[[#This Row],[Sales]]*100</f>
        <v>44.230950955995837</v>
      </c>
      <c r="K1226" t="str">
        <f>IF(Table1[[#This Row],[Sales]]&gt;=30000,"High", IF(Table1[[#This Row],[Sales]]&gt;=15000,"Medium","Low"))</f>
        <v>High</v>
      </c>
      <c r="L1226" t="str">
        <f>TEXT(Table1[[#This Row],[Order_Date]],"MMM")</f>
        <v>Feb</v>
      </c>
      <c r="M1226" t="str">
        <f>IF(Table1[[#This Row],[Profit]]&gt;=10000,"Excellent",IF(Table1[[#This Row],[Profit]]&gt;5000,"Good","Low"))</f>
        <v>Excellent</v>
      </c>
      <c r="N1226" t="str">
        <f>TEXT(Table1[[#This Row],[Order_Date]],"YYYY")</f>
        <v>2025</v>
      </c>
    </row>
    <row r="1227" spans="1:14" x14ac:dyDescent="0.25">
      <c r="A1227" s="1">
        <v>46167</v>
      </c>
      <c r="B1227" t="s">
        <v>26</v>
      </c>
      <c r="C1227" t="s">
        <v>41</v>
      </c>
      <c r="D1227">
        <v>6470</v>
      </c>
      <c r="E1227">
        <v>1561</v>
      </c>
      <c r="F1227">
        <v>4909</v>
      </c>
      <c r="G1227" t="s">
        <v>38</v>
      </c>
      <c r="H1227" t="s">
        <v>14</v>
      </c>
      <c r="I1227" t="s">
        <v>24</v>
      </c>
      <c r="J1227" s="2">
        <f>Table1[[#This Row],[Profit]]/Table1[[#This Row],[Sales]]*100</f>
        <v>75.873261205564148</v>
      </c>
      <c r="K1227" t="str">
        <f>IF(Table1[[#This Row],[Sales]]&gt;=30000,"High", IF(Table1[[#This Row],[Sales]]&gt;=15000,"Medium","Low"))</f>
        <v>Low</v>
      </c>
      <c r="L1227" t="str">
        <f>TEXT(Table1[[#This Row],[Order_Date]],"MMM")</f>
        <v>May</v>
      </c>
      <c r="M1227" t="str">
        <f>IF(Table1[[#This Row],[Profit]]&gt;=10000,"Excellent",IF(Table1[[#This Row],[Profit]]&gt;5000,"Good","Low"))</f>
        <v>Low</v>
      </c>
      <c r="N1227" t="str">
        <f>TEXT(Table1[[#This Row],[Order_Date]],"YYYY")</f>
        <v>2026</v>
      </c>
    </row>
    <row r="1228" spans="1:14" x14ac:dyDescent="0.25">
      <c r="A1228" s="1">
        <v>45149</v>
      </c>
      <c r="B1228" t="s">
        <v>26</v>
      </c>
      <c r="C1228" t="s">
        <v>36</v>
      </c>
      <c r="D1228">
        <v>49026</v>
      </c>
      <c r="E1228">
        <v>33645</v>
      </c>
      <c r="F1228">
        <v>15381</v>
      </c>
      <c r="G1228" t="s">
        <v>13</v>
      </c>
      <c r="H1228" t="s">
        <v>14</v>
      </c>
      <c r="I1228" t="s">
        <v>42</v>
      </c>
      <c r="J1228" s="2">
        <f>Table1[[#This Row],[Profit]]/Table1[[#This Row],[Sales]]*100</f>
        <v>31.373148941378044</v>
      </c>
      <c r="K1228" t="str">
        <f>IF(Table1[[#This Row],[Sales]]&gt;=30000,"High", IF(Table1[[#This Row],[Sales]]&gt;=15000,"Medium","Low"))</f>
        <v>High</v>
      </c>
      <c r="L1228" t="str">
        <f>TEXT(Table1[[#This Row],[Order_Date]],"MMM")</f>
        <v>Aug</v>
      </c>
      <c r="M1228" t="str">
        <f>IF(Table1[[#This Row],[Profit]]&gt;=10000,"Excellent",IF(Table1[[#This Row],[Profit]]&gt;5000,"Good","Low"))</f>
        <v>Excellent</v>
      </c>
      <c r="N1228" t="str">
        <f>TEXT(Table1[[#This Row],[Order_Date]],"YYYY")</f>
        <v>2023</v>
      </c>
    </row>
    <row r="1229" spans="1:14" x14ac:dyDescent="0.25">
      <c r="A1229" s="1">
        <v>45462</v>
      </c>
      <c r="B1229" t="s">
        <v>26</v>
      </c>
      <c r="C1229" t="s">
        <v>33</v>
      </c>
      <c r="D1229">
        <v>6913</v>
      </c>
      <c r="E1229">
        <v>862</v>
      </c>
      <c r="F1229">
        <v>6051</v>
      </c>
      <c r="G1229" t="s">
        <v>13</v>
      </c>
      <c r="H1229" t="s">
        <v>34</v>
      </c>
      <c r="I1229" t="s">
        <v>53</v>
      </c>
      <c r="J1229" s="2">
        <f>Table1[[#This Row],[Profit]]/Table1[[#This Row],[Sales]]*100</f>
        <v>87.530739187038904</v>
      </c>
      <c r="K1229" t="str">
        <f>IF(Table1[[#This Row],[Sales]]&gt;=30000,"High", IF(Table1[[#This Row],[Sales]]&gt;=15000,"Medium","Low"))</f>
        <v>Low</v>
      </c>
      <c r="L1229" t="str">
        <f>TEXT(Table1[[#This Row],[Order_Date]],"MMM")</f>
        <v>Jun</v>
      </c>
      <c r="M1229" t="str">
        <f>IF(Table1[[#This Row],[Profit]]&gt;=10000,"Excellent",IF(Table1[[#This Row],[Profit]]&gt;5000,"Good","Low"))</f>
        <v>Good</v>
      </c>
      <c r="N1229" t="str">
        <f>TEXT(Table1[[#This Row],[Order_Date]],"YYYY")</f>
        <v>2024</v>
      </c>
    </row>
    <row r="1230" spans="1:14" x14ac:dyDescent="0.25">
      <c r="A1230" s="1">
        <v>45239</v>
      </c>
      <c r="B1230" t="s">
        <v>17</v>
      </c>
      <c r="C1230" t="s">
        <v>33</v>
      </c>
      <c r="D1230">
        <v>49249</v>
      </c>
      <c r="E1230">
        <v>41030</v>
      </c>
      <c r="F1230">
        <v>8219</v>
      </c>
      <c r="G1230" t="s">
        <v>38</v>
      </c>
      <c r="H1230" t="s">
        <v>14</v>
      </c>
      <c r="I1230" t="s">
        <v>53</v>
      </c>
      <c r="J1230" s="2">
        <f>Table1[[#This Row],[Profit]]/Table1[[#This Row],[Sales]]*100</f>
        <v>16.688663729212777</v>
      </c>
      <c r="K1230" t="str">
        <f>IF(Table1[[#This Row],[Sales]]&gt;=30000,"High", IF(Table1[[#This Row],[Sales]]&gt;=15000,"Medium","Low"))</f>
        <v>High</v>
      </c>
      <c r="L1230" t="str">
        <f>TEXT(Table1[[#This Row],[Order_Date]],"MMM")</f>
        <v>Nov</v>
      </c>
      <c r="M1230" t="str">
        <f>IF(Table1[[#This Row],[Profit]]&gt;=10000,"Excellent",IF(Table1[[#This Row],[Profit]]&gt;5000,"Good","Low"))</f>
        <v>Good</v>
      </c>
      <c r="N1230" t="str">
        <f>TEXT(Table1[[#This Row],[Order_Date]],"YYYY")</f>
        <v>2023</v>
      </c>
    </row>
    <row r="1231" spans="1:14" x14ac:dyDescent="0.25">
      <c r="A1231" s="1">
        <v>45146</v>
      </c>
      <c r="B1231" t="s">
        <v>44</v>
      </c>
      <c r="C1231" t="s">
        <v>36</v>
      </c>
      <c r="D1231">
        <v>30409</v>
      </c>
      <c r="E1231">
        <v>16877</v>
      </c>
      <c r="F1231">
        <v>13532</v>
      </c>
      <c r="G1231" t="s">
        <v>38</v>
      </c>
      <c r="H1231" t="s">
        <v>20</v>
      </c>
      <c r="I1231" t="s">
        <v>29</v>
      </c>
      <c r="J1231" s="2">
        <f>Table1[[#This Row],[Profit]]/Table1[[#This Row],[Sales]]*100</f>
        <v>44.499983557499419</v>
      </c>
      <c r="K1231" t="str">
        <f>IF(Table1[[#This Row],[Sales]]&gt;=30000,"High", IF(Table1[[#This Row],[Sales]]&gt;=15000,"Medium","Low"))</f>
        <v>High</v>
      </c>
      <c r="L1231" t="str">
        <f>TEXT(Table1[[#This Row],[Order_Date]],"MMM")</f>
        <v>Aug</v>
      </c>
      <c r="M1231" t="str">
        <f>IF(Table1[[#This Row],[Profit]]&gt;=10000,"Excellent",IF(Table1[[#This Row],[Profit]]&gt;5000,"Good","Low"))</f>
        <v>Excellent</v>
      </c>
      <c r="N1231" t="str">
        <f>TEXT(Table1[[#This Row],[Order_Date]],"YYYY")</f>
        <v>2023</v>
      </c>
    </row>
    <row r="1232" spans="1:14" x14ac:dyDescent="0.25">
      <c r="A1232" s="1">
        <v>46086</v>
      </c>
      <c r="B1232" t="s">
        <v>22</v>
      </c>
      <c r="C1232" t="s">
        <v>36</v>
      </c>
      <c r="D1232">
        <v>44582</v>
      </c>
      <c r="E1232">
        <v>37374</v>
      </c>
      <c r="F1232">
        <v>7208</v>
      </c>
      <c r="G1232" t="s">
        <v>13</v>
      </c>
      <c r="H1232" t="s">
        <v>28</v>
      </c>
      <c r="I1232" t="s">
        <v>42</v>
      </c>
      <c r="J1232" s="2">
        <f>Table1[[#This Row],[Profit]]/Table1[[#This Row],[Sales]]*100</f>
        <v>16.167960163294602</v>
      </c>
      <c r="K1232" t="str">
        <f>IF(Table1[[#This Row],[Sales]]&gt;=30000,"High", IF(Table1[[#This Row],[Sales]]&gt;=15000,"Medium","Low"))</f>
        <v>High</v>
      </c>
      <c r="L1232" t="str">
        <f>TEXT(Table1[[#This Row],[Order_Date]],"MMM")</f>
        <v>Mar</v>
      </c>
      <c r="M1232" t="str">
        <f>IF(Table1[[#This Row],[Profit]]&gt;=10000,"Excellent",IF(Table1[[#This Row],[Profit]]&gt;5000,"Good","Low"))</f>
        <v>Good</v>
      </c>
      <c r="N1232" t="str">
        <f>TEXT(Table1[[#This Row],[Order_Date]],"YYYY")</f>
        <v>2026</v>
      </c>
    </row>
    <row r="1233" spans="1:14" x14ac:dyDescent="0.25">
      <c r="A1233" s="1">
        <v>45475</v>
      </c>
      <c r="B1233" t="s">
        <v>26</v>
      </c>
      <c r="C1233" t="s">
        <v>18</v>
      </c>
      <c r="D1233">
        <v>13793</v>
      </c>
      <c r="E1233">
        <v>7673</v>
      </c>
      <c r="F1233">
        <v>6120</v>
      </c>
      <c r="G1233" t="s">
        <v>19</v>
      </c>
      <c r="H1233" t="s">
        <v>34</v>
      </c>
      <c r="I1233" t="s">
        <v>53</v>
      </c>
      <c r="J1233" s="2">
        <f>Table1[[#This Row],[Profit]]/Table1[[#This Row],[Sales]]*100</f>
        <v>44.370332777495832</v>
      </c>
      <c r="K1233" t="str">
        <f>IF(Table1[[#This Row],[Sales]]&gt;=30000,"High", IF(Table1[[#This Row],[Sales]]&gt;=15000,"Medium","Low"))</f>
        <v>Low</v>
      </c>
      <c r="L1233" t="str">
        <f>TEXT(Table1[[#This Row],[Order_Date]],"MMM")</f>
        <v>Jul</v>
      </c>
      <c r="M1233" t="str">
        <f>IF(Table1[[#This Row],[Profit]]&gt;=10000,"Excellent",IF(Table1[[#This Row],[Profit]]&gt;5000,"Good","Low"))</f>
        <v>Good</v>
      </c>
      <c r="N1233" t="str">
        <f>TEXT(Table1[[#This Row],[Order_Date]],"YYYY")</f>
        <v>2024</v>
      </c>
    </row>
    <row r="1234" spans="1:14" x14ac:dyDescent="0.25">
      <c r="A1234" s="1">
        <v>45729</v>
      </c>
      <c r="B1234" t="s">
        <v>22</v>
      </c>
      <c r="C1234" t="s">
        <v>36</v>
      </c>
      <c r="D1234">
        <v>29808</v>
      </c>
      <c r="E1234">
        <v>18902</v>
      </c>
      <c r="F1234">
        <v>10906</v>
      </c>
      <c r="G1234" t="s">
        <v>38</v>
      </c>
      <c r="H1234" t="s">
        <v>14</v>
      </c>
      <c r="I1234" t="s">
        <v>42</v>
      </c>
      <c r="J1234" s="2">
        <f>Table1[[#This Row],[Profit]]/Table1[[#This Row],[Sales]]*100</f>
        <v>36.587493290391841</v>
      </c>
      <c r="K1234" t="str">
        <f>IF(Table1[[#This Row],[Sales]]&gt;=30000,"High", IF(Table1[[#This Row],[Sales]]&gt;=15000,"Medium","Low"))</f>
        <v>Medium</v>
      </c>
      <c r="L1234" t="str">
        <f>TEXT(Table1[[#This Row],[Order_Date]],"MMM")</f>
        <v>Mar</v>
      </c>
      <c r="M1234" t="str">
        <f>IF(Table1[[#This Row],[Profit]]&gt;=10000,"Excellent",IF(Table1[[#This Row],[Profit]]&gt;5000,"Good","Low"))</f>
        <v>Excellent</v>
      </c>
      <c r="N1234" t="str">
        <f>TEXT(Table1[[#This Row],[Order_Date]],"YYYY")</f>
        <v>2025</v>
      </c>
    </row>
    <row r="1235" spans="1:14" x14ac:dyDescent="0.25">
      <c r="A1235" s="1">
        <v>45526</v>
      </c>
      <c r="B1235" t="s">
        <v>44</v>
      </c>
      <c r="C1235" t="s">
        <v>18</v>
      </c>
      <c r="D1235">
        <v>17914</v>
      </c>
      <c r="E1235">
        <v>13388</v>
      </c>
      <c r="F1235">
        <v>4526</v>
      </c>
      <c r="G1235" t="s">
        <v>27</v>
      </c>
      <c r="H1235" t="s">
        <v>23</v>
      </c>
      <c r="I1235" t="s">
        <v>42</v>
      </c>
      <c r="J1235" s="2">
        <f>Table1[[#This Row],[Profit]]/Table1[[#This Row],[Sales]]*100</f>
        <v>25.26515574411075</v>
      </c>
      <c r="K1235" t="str">
        <f>IF(Table1[[#This Row],[Sales]]&gt;=30000,"High", IF(Table1[[#This Row],[Sales]]&gt;=15000,"Medium","Low"))</f>
        <v>Medium</v>
      </c>
      <c r="L1235" t="str">
        <f>TEXT(Table1[[#This Row],[Order_Date]],"MMM")</f>
        <v>Aug</v>
      </c>
      <c r="M1235" t="str">
        <f>IF(Table1[[#This Row],[Profit]]&gt;=10000,"Excellent",IF(Table1[[#This Row],[Profit]]&gt;5000,"Good","Low"))</f>
        <v>Low</v>
      </c>
      <c r="N1235" t="str">
        <f>TEXT(Table1[[#This Row],[Order_Date]],"YYYY")</f>
        <v>2024</v>
      </c>
    </row>
    <row r="1236" spans="1:14" x14ac:dyDescent="0.25">
      <c r="A1236" s="1">
        <v>45372</v>
      </c>
      <c r="B1236" t="s">
        <v>44</v>
      </c>
      <c r="C1236" t="s">
        <v>41</v>
      </c>
      <c r="D1236">
        <v>48134</v>
      </c>
      <c r="E1236">
        <v>38579</v>
      </c>
      <c r="F1236">
        <v>9555</v>
      </c>
      <c r="G1236" t="s">
        <v>13</v>
      </c>
      <c r="H1236" t="s">
        <v>63</v>
      </c>
      <c r="I1236" t="s">
        <v>53</v>
      </c>
      <c r="J1236" s="2">
        <f>Table1[[#This Row],[Profit]]/Table1[[#This Row],[Sales]]*100</f>
        <v>19.850833090954421</v>
      </c>
      <c r="K1236" t="str">
        <f>IF(Table1[[#This Row],[Sales]]&gt;=30000,"High", IF(Table1[[#This Row],[Sales]]&gt;=15000,"Medium","Low"))</f>
        <v>High</v>
      </c>
      <c r="L1236" t="str">
        <f>TEXT(Table1[[#This Row],[Order_Date]],"MMM")</f>
        <v>Mar</v>
      </c>
      <c r="M1236" t="str">
        <f>IF(Table1[[#This Row],[Profit]]&gt;=10000,"Excellent",IF(Table1[[#This Row],[Profit]]&gt;5000,"Good","Low"))</f>
        <v>Good</v>
      </c>
      <c r="N1236" t="str">
        <f>TEXT(Table1[[#This Row],[Order_Date]],"YYYY")</f>
        <v>2024</v>
      </c>
    </row>
    <row r="1237" spans="1:14" x14ac:dyDescent="0.25">
      <c r="A1237" s="1">
        <v>45949</v>
      </c>
      <c r="B1237" t="s">
        <v>11</v>
      </c>
      <c r="C1237" t="s">
        <v>41</v>
      </c>
      <c r="D1237">
        <v>48115</v>
      </c>
      <c r="E1237">
        <v>37454</v>
      </c>
      <c r="F1237">
        <v>10661</v>
      </c>
      <c r="G1237" t="s">
        <v>13</v>
      </c>
      <c r="H1237" t="s">
        <v>34</v>
      </c>
      <c r="I1237" t="s">
        <v>24</v>
      </c>
      <c r="J1237" s="2">
        <f>Table1[[#This Row],[Profit]]/Table1[[#This Row],[Sales]]*100</f>
        <v>22.157331393536321</v>
      </c>
      <c r="K1237" t="str">
        <f>IF(Table1[[#This Row],[Sales]]&gt;=30000,"High", IF(Table1[[#This Row],[Sales]]&gt;=15000,"Medium","Low"))</f>
        <v>High</v>
      </c>
      <c r="L1237" t="str">
        <f>TEXT(Table1[[#This Row],[Order_Date]],"MMM")</f>
        <v>Oct</v>
      </c>
      <c r="M1237" t="str">
        <f>IF(Table1[[#This Row],[Profit]]&gt;=10000,"Excellent",IF(Table1[[#This Row],[Profit]]&gt;5000,"Good","Low"))</f>
        <v>Excellent</v>
      </c>
      <c r="N1237" t="str">
        <f>TEXT(Table1[[#This Row],[Order_Date]],"YYYY")</f>
        <v>2025</v>
      </c>
    </row>
    <row r="1238" spans="1:14" x14ac:dyDescent="0.25">
      <c r="A1238" s="1">
        <v>45356</v>
      </c>
      <c r="B1238" t="s">
        <v>26</v>
      </c>
      <c r="C1238" t="s">
        <v>33</v>
      </c>
      <c r="D1238">
        <v>8600</v>
      </c>
      <c r="E1238">
        <v>1029</v>
      </c>
      <c r="F1238">
        <v>7571</v>
      </c>
      <c r="G1238" t="s">
        <v>19</v>
      </c>
      <c r="H1238" t="s">
        <v>34</v>
      </c>
      <c r="I1238" t="s">
        <v>29</v>
      </c>
      <c r="J1238" s="2">
        <f>Table1[[#This Row],[Profit]]/Table1[[#This Row],[Sales]]*100</f>
        <v>88.034883720930239</v>
      </c>
      <c r="K1238" t="str">
        <f>IF(Table1[[#This Row],[Sales]]&gt;=30000,"High", IF(Table1[[#This Row],[Sales]]&gt;=15000,"Medium","Low"))</f>
        <v>Low</v>
      </c>
      <c r="L1238" t="str">
        <f>TEXT(Table1[[#This Row],[Order_Date]],"MMM")</f>
        <v>Mar</v>
      </c>
      <c r="M1238" t="str">
        <f>IF(Table1[[#This Row],[Profit]]&gt;=10000,"Excellent",IF(Table1[[#This Row],[Profit]]&gt;5000,"Good","Low"))</f>
        <v>Good</v>
      </c>
      <c r="N1238" t="str">
        <f>TEXT(Table1[[#This Row],[Order_Date]],"YYYY")</f>
        <v>2024</v>
      </c>
    </row>
    <row r="1239" spans="1:14" x14ac:dyDescent="0.25">
      <c r="A1239" s="1">
        <v>45901</v>
      </c>
      <c r="B1239" t="s">
        <v>17</v>
      </c>
      <c r="C1239" t="s">
        <v>18</v>
      </c>
      <c r="D1239">
        <v>27427</v>
      </c>
      <c r="E1239">
        <v>18524</v>
      </c>
      <c r="F1239">
        <v>8903</v>
      </c>
      <c r="G1239" t="s">
        <v>38</v>
      </c>
      <c r="H1239" t="s">
        <v>20</v>
      </c>
      <c r="I1239" t="s">
        <v>24</v>
      </c>
      <c r="J1239" s="2">
        <f>Table1[[#This Row],[Profit]]/Table1[[#This Row],[Sales]]*100</f>
        <v>32.460713895066903</v>
      </c>
      <c r="K1239" t="str">
        <f>IF(Table1[[#This Row],[Sales]]&gt;=30000,"High", IF(Table1[[#This Row],[Sales]]&gt;=15000,"Medium","Low"))</f>
        <v>Medium</v>
      </c>
      <c r="L1239" t="str">
        <f>TEXT(Table1[[#This Row],[Order_Date]],"MMM")</f>
        <v>Sep</v>
      </c>
      <c r="M1239" t="str">
        <f>IF(Table1[[#This Row],[Profit]]&gt;=10000,"Excellent",IF(Table1[[#This Row],[Profit]]&gt;5000,"Good","Low"))</f>
        <v>Good</v>
      </c>
      <c r="N1239" t="str">
        <f>TEXT(Table1[[#This Row],[Order_Date]],"YYYY")</f>
        <v>2025</v>
      </c>
    </row>
    <row r="1240" spans="1:14" x14ac:dyDescent="0.25">
      <c r="A1240" s="1">
        <v>45684</v>
      </c>
      <c r="B1240" t="s">
        <v>11</v>
      </c>
      <c r="C1240" t="s">
        <v>36</v>
      </c>
      <c r="D1240">
        <v>20790</v>
      </c>
      <c r="E1240">
        <v>16708</v>
      </c>
      <c r="F1240">
        <v>4082</v>
      </c>
      <c r="G1240" t="s">
        <v>13</v>
      </c>
      <c r="H1240" t="s">
        <v>78</v>
      </c>
      <c r="I1240" t="s">
        <v>53</v>
      </c>
      <c r="J1240" s="2">
        <f>Table1[[#This Row],[Profit]]/Table1[[#This Row],[Sales]]*100</f>
        <v>19.634439634439634</v>
      </c>
      <c r="K1240" t="str">
        <f>IF(Table1[[#This Row],[Sales]]&gt;=30000,"High", IF(Table1[[#This Row],[Sales]]&gt;=15000,"Medium","Low"))</f>
        <v>Medium</v>
      </c>
      <c r="L1240" t="str">
        <f>TEXT(Table1[[#This Row],[Order_Date]],"MMM")</f>
        <v>Jan</v>
      </c>
      <c r="M1240" t="str">
        <f>IF(Table1[[#This Row],[Profit]]&gt;=10000,"Excellent",IF(Table1[[#This Row],[Profit]]&gt;5000,"Good","Low"))</f>
        <v>Low</v>
      </c>
      <c r="N1240" t="str">
        <f>TEXT(Table1[[#This Row],[Order_Date]],"YYYY")</f>
        <v>2025</v>
      </c>
    </row>
    <row r="1241" spans="1:14" x14ac:dyDescent="0.25">
      <c r="A1241" s="1">
        <v>45498</v>
      </c>
      <c r="B1241" t="s">
        <v>17</v>
      </c>
      <c r="C1241" t="s">
        <v>18</v>
      </c>
      <c r="D1241">
        <v>7395</v>
      </c>
      <c r="E1241">
        <v>5267</v>
      </c>
      <c r="F1241">
        <v>2128</v>
      </c>
      <c r="G1241" t="s">
        <v>13</v>
      </c>
      <c r="H1241" t="s">
        <v>45</v>
      </c>
      <c r="I1241" t="s">
        <v>53</v>
      </c>
      <c r="J1241" s="2">
        <f>Table1[[#This Row],[Profit]]/Table1[[#This Row],[Sales]]*100</f>
        <v>28.776200135226503</v>
      </c>
      <c r="K1241" t="str">
        <f>IF(Table1[[#This Row],[Sales]]&gt;=30000,"High", IF(Table1[[#This Row],[Sales]]&gt;=15000,"Medium","Low"))</f>
        <v>Low</v>
      </c>
      <c r="L1241" t="str">
        <f>TEXT(Table1[[#This Row],[Order_Date]],"MMM")</f>
        <v>Jul</v>
      </c>
      <c r="M1241" t="str">
        <f>IF(Table1[[#This Row],[Profit]]&gt;=10000,"Excellent",IF(Table1[[#This Row],[Profit]]&gt;5000,"Good","Low"))</f>
        <v>Low</v>
      </c>
      <c r="N1241" t="str">
        <f>TEXT(Table1[[#This Row],[Order_Date]],"YYYY")</f>
        <v>2024</v>
      </c>
    </row>
    <row r="1242" spans="1:14" x14ac:dyDescent="0.25">
      <c r="A1242" s="1">
        <v>45944</v>
      </c>
      <c r="B1242" t="s">
        <v>22</v>
      </c>
      <c r="C1242" t="s">
        <v>12</v>
      </c>
      <c r="D1242">
        <v>8440</v>
      </c>
      <c r="E1242">
        <v>2191</v>
      </c>
      <c r="F1242">
        <v>6249</v>
      </c>
      <c r="G1242" t="s">
        <v>13</v>
      </c>
      <c r="H1242" t="s">
        <v>63</v>
      </c>
      <c r="I1242" t="s">
        <v>24</v>
      </c>
      <c r="J1242" s="2">
        <f>Table1[[#This Row],[Profit]]/Table1[[#This Row],[Sales]]*100</f>
        <v>74.040284360189574</v>
      </c>
      <c r="K1242" t="str">
        <f>IF(Table1[[#This Row],[Sales]]&gt;=30000,"High", IF(Table1[[#This Row],[Sales]]&gt;=15000,"Medium","Low"))</f>
        <v>Low</v>
      </c>
      <c r="L1242" t="str">
        <f>TEXT(Table1[[#This Row],[Order_Date]],"MMM")</f>
        <v>Oct</v>
      </c>
      <c r="M1242" t="str">
        <f>IF(Table1[[#This Row],[Profit]]&gt;=10000,"Excellent",IF(Table1[[#This Row],[Profit]]&gt;5000,"Good","Low"))</f>
        <v>Good</v>
      </c>
      <c r="N1242" t="str">
        <f>TEXT(Table1[[#This Row],[Order_Date]],"YYYY")</f>
        <v>2025</v>
      </c>
    </row>
    <row r="1243" spans="1:14" x14ac:dyDescent="0.25">
      <c r="A1243" s="1">
        <v>45421</v>
      </c>
      <c r="B1243" t="s">
        <v>44</v>
      </c>
      <c r="C1243" t="s">
        <v>18</v>
      </c>
      <c r="D1243">
        <v>17582</v>
      </c>
      <c r="E1243">
        <v>16754</v>
      </c>
      <c r="F1243">
        <v>828</v>
      </c>
      <c r="G1243" t="s">
        <v>13</v>
      </c>
      <c r="H1243" t="s">
        <v>45</v>
      </c>
      <c r="I1243" t="s">
        <v>53</v>
      </c>
      <c r="J1243" s="2">
        <f>Table1[[#This Row],[Profit]]/Table1[[#This Row],[Sales]]*100</f>
        <v>4.7093618473438745</v>
      </c>
      <c r="K1243" t="str">
        <f>IF(Table1[[#This Row],[Sales]]&gt;=30000,"High", IF(Table1[[#This Row],[Sales]]&gt;=15000,"Medium","Low"))</f>
        <v>Medium</v>
      </c>
      <c r="L1243" t="str">
        <f>TEXT(Table1[[#This Row],[Order_Date]],"MMM")</f>
        <v>May</v>
      </c>
      <c r="M1243" t="str">
        <f>IF(Table1[[#This Row],[Profit]]&gt;=10000,"Excellent",IF(Table1[[#This Row],[Profit]]&gt;5000,"Good","Low"))</f>
        <v>Low</v>
      </c>
      <c r="N1243" t="str">
        <f>TEXT(Table1[[#This Row],[Order_Date]],"YYYY")</f>
        <v>2024</v>
      </c>
    </row>
    <row r="1244" spans="1:14" x14ac:dyDescent="0.25">
      <c r="A1244" s="1">
        <v>45714</v>
      </c>
      <c r="B1244" t="s">
        <v>11</v>
      </c>
      <c r="C1244" t="s">
        <v>41</v>
      </c>
      <c r="D1244">
        <v>18333</v>
      </c>
      <c r="E1244">
        <v>3897</v>
      </c>
      <c r="F1244">
        <v>14436</v>
      </c>
      <c r="G1244" t="s">
        <v>19</v>
      </c>
      <c r="H1244" t="s">
        <v>34</v>
      </c>
      <c r="I1244" t="s">
        <v>29</v>
      </c>
      <c r="J1244" s="2">
        <f>Table1[[#This Row],[Profit]]/Table1[[#This Row],[Sales]]*100</f>
        <v>78.7432498772705</v>
      </c>
      <c r="K1244" t="str">
        <f>IF(Table1[[#This Row],[Sales]]&gt;=30000,"High", IF(Table1[[#This Row],[Sales]]&gt;=15000,"Medium","Low"))</f>
        <v>Medium</v>
      </c>
      <c r="L1244" t="str">
        <f>TEXT(Table1[[#This Row],[Order_Date]],"MMM")</f>
        <v>Feb</v>
      </c>
      <c r="M1244" t="str">
        <f>IF(Table1[[#This Row],[Profit]]&gt;=10000,"Excellent",IF(Table1[[#This Row],[Profit]]&gt;5000,"Good","Low"))</f>
        <v>Excellent</v>
      </c>
      <c r="N1244" t="str">
        <f>TEXT(Table1[[#This Row],[Order_Date]],"YYYY")</f>
        <v>2025</v>
      </c>
    </row>
    <row r="1245" spans="1:14" x14ac:dyDescent="0.25">
      <c r="A1245" s="1">
        <v>45403</v>
      </c>
      <c r="B1245" t="s">
        <v>22</v>
      </c>
      <c r="C1245" t="s">
        <v>33</v>
      </c>
      <c r="D1245">
        <v>14222</v>
      </c>
      <c r="E1245">
        <v>1668</v>
      </c>
      <c r="F1245">
        <v>12554</v>
      </c>
      <c r="G1245" t="s">
        <v>19</v>
      </c>
      <c r="H1245" t="s">
        <v>34</v>
      </c>
      <c r="I1245" t="s">
        <v>24</v>
      </c>
      <c r="J1245" s="2">
        <f>Table1[[#This Row],[Profit]]/Table1[[#This Row],[Sales]]*100</f>
        <v>88.271691745183517</v>
      </c>
      <c r="K1245" t="str">
        <f>IF(Table1[[#This Row],[Sales]]&gt;=30000,"High", IF(Table1[[#This Row],[Sales]]&gt;=15000,"Medium","Low"))</f>
        <v>Low</v>
      </c>
      <c r="L1245" t="str">
        <f>TEXT(Table1[[#This Row],[Order_Date]],"MMM")</f>
        <v>Apr</v>
      </c>
      <c r="M1245" t="str">
        <f>IF(Table1[[#This Row],[Profit]]&gt;=10000,"Excellent",IF(Table1[[#This Row],[Profit]]&gt;5000,"Good","Low"))</f>
        <v>Excellent</v>
      </c>
      <c r="N1245" t="str">
        <f>TEXT(Table1[[#This Row],[Order_Date]],"YYYY")</f>
        <v>2024</v>
      </c>
    </row>
    <row r="1246" spans="1:14" x14ac:dyDescent="0.25">
      <c r="A1246" s="1">
        <v>45388</v>
      </c>
      <c r="B1246" t="s">
        <v>44</v>
      </c>
      <c r="C1246" t="s">
        <v>36</v>
      </c>
      <c r="D1246">
        <v>35141</v>
      </c>
      <c r="E1246">
        <v>30110</v>
      </c>
      <c r="F1246">
        <v>5031</v>
      </c>
      <c r="G1246" t="s">
        <v>38</v>
      </c>
      <c r="H1246" t="s">
        <v>31</v>
      </c>
      <c r="I1246" t="s">
        <v>42</v>
      </c>
      <c r="J1246" s="2">
        <f>Table1[[#This Row],[Profit]]/Table1[[#This Row],[Sales]]*100</f>
        <v>14.316610227369738</v>
      </c>
      <c r="K1246" t="str">
        <f>IF(Table1[[#This Row],[Sales]]&gt;=30000,"High", IF(Table1[[#This Row],[Sales]]&gt;=15000,"Medium","Low"))</f>
        <v>High</v>
      </c>
      <c r="L1246" t="str">
        <f>TEXT(Table1[[#This Row],[Order_Date]],"MMM")</f>
        <v>Apr</v>
      </c>
      <c r="M1246" t="str">
        <f>IF(Table1[[#This Row],[Profit]]&gt;=10000,"Excellent",IF(Table1[[#This Row],[Profit]]&gt;5000,"Good","Low"))</f>
        <v>Good</v>
      </c>
      <c r="N1246" t="str">
        <f>TEXT(Table1[[#This Row],[Order_Date]],"YYYY")</f>
        <v>2024</v>
      </c>
    </row>
    <row r="1247" spans="1:14" x14ac:dyDescent="0.25">
      <c r="A1247" s="1">
        <v>45456</v>
      </c>
      <c r="B1247" t="s">
        <v>44</v>
      </c>
      <c r="C1247" t="s">
        <v>33</v>
      </c>
      <c r="D1247">
        <v>39489</v>
      </c>
      <c r="E1247">
        <v>27905</v>
      </c>
      <c r="F1247">
        <v>11584</v>
      </c>
      <c r="G1247" t="s">
        <v>19</v>
      </c>
      <c r="H1247" t="s">
        <v>31</v>
      </c>
      <c r="I1247" t="s">
        <v>29</v>
      </c>
      <c r="J1247" s="2">
        <f>Table1[[#This Row],[Profit]]/Table1[[#This Row],[Sales]]*100</f>
        <v>29.334751449770824</v>
      </c>
      <c r="K1247" t="str">
        <f>IF(Table1[[#This Row],[Sales]]&gt;=30000,"High", IF(Table1[[#This Row],[Sales]]&gt;=15000,"Medium","Low"))</f>
        <v>High</v>
      </c>
      <c r="L1247" t="str">
        <f>TEXT(Table1[[#This Row],[Order_Date]],"MMM")</f>
        <v>Jun</v>
      </c>
      <c r="M1247" t="str">
        <f>IF(Table1[[#This Row],[Profit]]&gt;=10000,"Excellent",IF(Table1[[#This Row],[Profit]]&gt;5000,"Good","Low"))</f>
        <v>Excellent</v>
      </c>
      <c r="N1247" t="str">
        <f>TEXT(Table1[[#This Row],[Order_Date]],"YYYY")</f>
        <v>2024</v>
      </c>
    </row>
    <row r="1248" spans="1:14" x14ac:dyDescent="0.25">
      <c r="A1248" s="1">
        <v>45513</v>
      </c>
      <c r="B1248" t="s">
        <v>44</v>
      </c>
      <c r="C1248" t="s">
        <v>33</v>
      </c>
      <c r="D1248">
        <v>10075</v>
      </c>
      <c r="E1248">
        <v>8392</v>
      </c>
      <c r="F1248">
        <v>1683</v>
      </c>
      <c r="G1248" t="s">
        <v>27</v>
      </c>
      <c r="H1248" t="s">
        <v>14</v>
      </c>
      <c r="I1248" t="s">
        <v>53</v>
      </c>
      <c r="J1248" s="2">
        <f>Table1[[#This Row],[Profit]]/Table1[[#This Row],[Sales]]*100</f>
        <v>16.70471464019851</v>
      </c>
      <c r="K1248" t="str">
        <f>IF(Table1[[#This Row],[Sales]]&gt;=30000,"High", IF(Table1[[#This Row],[Sales]]&gt;=15000,"Medium","Low"))</f>
        <v>Low</v>
      </c>
      <c r="L1248" t="str">
        <f>TEXT(Table1[[#This Row],[Order_Date]],"MMM")</f>
        <v>Aug</v>
      </c>
      <c r="M1248" t="str">
        <f>IF(Table1[[#This Row],[Profit]]&gt;=10000,"Excellent",IF(Table1[[#This Row],[Profit]]&gt;5000,"Good","Low"))</f>
        <v>Low</v>
      </c>
      <c r="N1248" t="str">
        <f>TEXT(Table1[[#This Row],[Order_Date]],"YYYY")</f>
        <v>2024</v>
      </c>
    </row>
    <row r="1249" spans="1:14" x14ac:dyDescent="0.25">
      <c r="A1249" s="1">
        <v>45116</v>
      </c>
      <c r="B1249" t="s">
        <v>26</v>
      </c>
      <c r="C1249" t="s">
        <v>33</v>
      </c>
      <c r="D1249">
        <v>10217</v>
      </c>
      <c r="E1249">
        <v>5617</v>
      </c>
      <c r="F1249">
        <v>4600</v>
      </c>
      <c r="G1249" t="s">
        <v>19</v>
      </c>
      <c r="H1249" t="s">
        <v>23</v>
      </c>
      <c r="I1249" t="s">
        <v>24</v>
      </c>
      <c r="J1249" s="2">
        <f>Table1[[#This Row],[Profit]]/Table1[[#This Row],[Sales]]*100</f>
        <v>45.023000880884801</v>
      </c>
      <c r="K1249" t="str">
        <f>IF(Table1[[#This Row],[Sales]]&gt;=30000,"High", IF(Table1[[#This Row],[Sales]]&gt;=15000,"Medium","Low"))</f>
        <v>Low</v>
      </c>
      <c r="L1249" t="str">
        <f>TEXT(Table1[[#This Row],[Order_Date]],"MMM")</f>
        <v>Jul</v>
      </c>
      <c r="M1249" t="str">
        <f>IF(Table1[[#This Row],[Profit]]&gt;=10000,"Excellent",IF(Table1[[#This Row],[Profit]]&gt;5000,"Good","Low"))</f>
        <v>Low</v>
      </c>
      <c r="N1249" t="str">
        <f>TEXT(Table1[[#This Row],[Order_Date]],"YYYY")</f>
        <v>2023</v>
      </c>
    </row>
    <row r="1250" spans="1:14" x14ac:dyDescent="0.25">
      <c r="A1250" s="1">
        <v>45613</v>
      </c>
      <c r="B1250" t="s">
        <v>17</v>
      </c>
      <c r="C1250" t="s">
        <v>36</v>
      </c>
      <c r="D1250">
        <v>48507</v>
      </c>
      <c r="E1250">
        <v>38612</v>
      </c>
      <c r="F1250">
        <v>9895</v>
      </c>
      <c r="G1250" t="s">
        <v>13</v>
      </c>
      <c r="H1250" t="s">
        <v>34</v>
      </c>
      <c r="I1250" t="s">
        <v>29</v>
      </c>
      <c r="J1250" s="2">
        <f>Table1[[#This Row],[Profit]]/Table1[[#This Row],[Sales]]*100</f>
        <v>20.399117653122229</v>
      </c>
      <c r="K1250" t="str">
        <f>IF(Table1[[#This Row],[Sales]]&gt;=30000,"High", IF(Table1[[#This Row],[Sales]]&gt;=15000,"Medium","Low"))</f>
        <v>High</v>
      </c>
      <c r="L1250" t="str">
        <f>TEXT(Table1[[#This Row],[Order_Date]],"MMM")</f>
        <v>Nov</v>
      </c>
      <c r="M1250" t="str">
        <f>IF(Table1[[#This Row],[Profit]]&gt;=10000,"Excellent",IF(Table1[[#This Row],[Profit]]&gt;5000,"Good","Low"))</f>
        <v>Good</v>
      </c>
      <c r="N1250" t="str">
        <f>TEXT(Table1[[#This Row],[Order_Date]],"YYYY")</f>
        <v>2024</v>
      </c>
    </row>
    <row r="1251" spans="1:14" x14ac:dyDescent="0.25">
      <c r="A1251" s="1">
        <v>45336</v>
      </c>
      <c r="B1251" t="s">
        <v>22</v>
      </c>
      <c r="C1251" t="s">
        <v>18</v>
      </c>
      <c r="D1251">
        <v>16131</v>
      </c>
      <c r="E1251">
        <v>10768</v>
      </c>
      <c r="F1251">
        <v>5363</v>
      </c>
      <c r="G1251" t="s">
        <v>19</v>
      </c>
      <c r="H1251" t="s">
        <v>45</v>
      </c>
      <c r="I1251" t="s">
        <v>42</v>
      </c>
      <c r="J1251" s="2">
        <f>Table1[[#This Row],[Profit]]/Table1[[#This Row],[Sales]]*100</f>
        <v>33.24654392164156</v>
      </c>
      <c r="K1251" t="str">
        <f>IF(Table1[[#This Row],[Sales]]&gt;=30000,"High", IF(Table1[[#This Row],[Sales]]&gt;=15000,"Medium","Low"))</f>
        <v>Medium</v>
      </c>
      <c r="L1251" t="str">
        <f>TEXT(Table1[[#This Row],[Order_Date]],"MMM")</f>
        <v>Feb</v>
      </c>
      <c r="M1251" t="str">
        <f>IF(Table1[[#This Row],[Profit]]&gt;=10000,"Excellent",IF(Table1[[#This Row],[Profit]]&gt;5000,"Good","Low"))</f>
        <v>Good</v>
      </c>
      <c r="N1251" t="str">
        <f>TEXT(Table1[[#This Row],[Order_Date]],"YYYY")</f>
        <v>2024</v>
      </c>
    </row>
    <row r="1252" spans="1:14" x14ac:dyDescent="0.25">
      <c r="A1252" s="1">
        <v>45434</v>
      </c>
      <c r="B1252" t="s">
        <v>22</v>
      </c>
      <c r="C1252" t="s">
        <v>18</v>
      </c>
      <c r="D1252">
        <v>35924</v>
      </c>
      <c r="E1252">
        <v>18150</v>
      </c>
      <c r="F1252">
        <v>17774</v>
      </c>
      <c r="G1252" t="s">
        <v>27</v>
      </c>
      <c r="H1252" t="s">
        <v>23</v>
      </c>
      <c r="I1252" t="s">
        <v>15</v>
      </c>
      <c r="J1252" s="2">
        <f>Table1[[#This Row],[Profit]]/Table1[[#This Row],[Sales]]*100</f>
        <v>49.476672976283268</v>
      </c>
      <c r="K1252" t="str">
        <f>IF(Table1[[#This Row],[Sales]]&gt;=30000,"High", IF(Table1[[#This Row],[Sales]]&gt;=15000,"Medium","Low"))</f>
        <v>High</v>
      </c>
      <c r="L1252" t="str">
        <f>TEXT(Table1[[#This Row],[Order_Date]],"MMM")</f>
        <v>May</v>
      </c>
      <c r="M1252" t="str">
        <f>IF(Table1[[#This Row],[Profit]]&gt;=10000,"Excellent",IF(Table1[[#This Row],[Profit]]&gt;5000,"Good","Low"))</f>
        <v>Excellent</v>
      </c>
      <c r="N1252" t="str">
        <f>TEXT(Table1[[#This Row],[Order_Date]],"YYYY")</f>
        <v>2024</v>
      </c>
    </row>
    <row r="1253" spans="1:14" x14ac:dyDescent="0.25">
      <c r="A1253" s="1">
        <v>45430</v>
      </c>
      <c r="B1253" t="s">
        <v>11</v>
      </c>
      <c r="C1253" t="s">
        <v>41</v>
      </c>
      <c r="D1253">
        <v>49924</v>
      </c>
      <c r="E1253">
        <v>36476</v>
      </c>
      <c r="F1253">
        <v>13448</v>
      </c>
      <c r="G1253" t="s">
        <v>27</v>
      </c>
      <c r="H1253" t="s">
        <v>28</v>
      </c>
      <c r="I1253" t="s">
        <v>53</v>
      </c>
      <c r="J1253" s="2">
        <f>Table1[[#This Row],[Profit]]/Table1[[#This Row],[Sales]]*100</f>
        <v>26.936944155115778</v>
      </c>
      <c r="K1253" t="str">
        <f>IF(Table1[[#This Row],[Sales]]&gt;=30000,"High", IF(Table1[[#This Row],[Sales]]&gt;=15000,"Medium","Low"))</f>
        <v>High</v>
      </c>
      <c r="L1253" t="str">
        <f>TEXT(Table1[[#This Row],[Order_Date]],"MMM")</f>
        <v>May</v>
      </c>
      <c r="M1253" t="str">
        <f>IF(Table1[[#This Row],[Profit]]&gt;=10000,"Excellent",IF(Table1[[#This Row],[Profit]]&gt;5000,"Good","Low"))</f>
        <v>Excellent</v>
      </c>
      <c r="N1253" t="str">
        <f>TEXT(Table1[[#This Row],[Order_Date]],"YYYY")</f>
        <v>2024</v>
      </c>
    </row>
    <row r="1254" spans="1:14" x14ac:dyDescent="0.25">
      <c r="A1254" s="1">
        <v>46111</v>
      </c>
      <c r="B1254" t="s">
        <v>44</v>
      </c>
      <c r="C1254" t="s">
        <v>41</v>
      </c>
      <c r="D1254">
        <v>16277</v>
      </c>
      <c r="E1254">
        <v>11182</v>
      </c>
      <c r="F1254">
        <v>5095</v>
      </c>
      <c r="G1254" t="s">
        <v>19</v>
      </c>
      <c r="H1254" t="s">
        <v>31</v>
      </c>
      <c r="I1254" t="s">
        <v>29</v>
      </c>
      <c r="J1254" s="2">
        <f>Table1[[#This Row],[Profit]]/Table1[[#This Row],[Sales]]*100</f>
        <v>31.30183694784051</v>
      </c>
      <c r="K1254" t="str">
        <f>IF(Table1[[#This Row],[Sales]]&gt;=30000,"High", IF(Table1[[#This Row],[Sales]]&gt;=15000,"Medium","Low"))</f>
        <v>Medium</v>
      </c>
      <c r="L1254" t="str">
        <f>TEXT(Table1[[#This Row],[Order_Date]],"MMM")</f>
        <v>Mar</v>
      </c>
      <c r="M1254" t="str">
        <f>IF(Table1[[#This Row],[Profit]]&gt;=10000,"Excellent",IF(Table1[[#This Row],[Profit]]&gt;5000,"Good","Low"))</f>
        <v>Good</v>
      </c>
      <c r="N1254" t="str">
        <f>TEXT(Table1[[#This Row],[Order_Date]],"YYYY")</f>
        <v>2026</v>
      </c>
    </row>
    <row r="1255" spans="1:14" x14ac:dyDescent="0.25">
      <c r="A1255" s="1">
        <v>45871</v>
      </c>
      <c r="B1255" t="s">
        <v>22</v>
      </c>
      <c r="C1255" t="s">
        <v>18</v>
      </c>
      <c r="D1255">
        <v>45763</v>
      </c>
      <c r="E1255">
        <v>40202</v>
      </c>
      <c r="F1255">
        <v>5561</v>
      </c>
      <c r="G1255" t="s">
        <v>27</v>
      </c>
      <c r="H1255" t="s">
        <v>63</v>
      </c>
      <c r="I1255" t="s">
        <v>53</v>
      </c>
      <c r="J1255" s="2">
        <f>Table1[[#This Row],[Profit]]/Table1[[#This Row],[Sales]]*100</f>
        <v>12.151738303869939</v>
      </c>
      <c r="K1255" t="str">
        <f>IF(Table1[[#This Row],[Sales]]&gt;=30000,"High", IF(Table1[[#This Row],[Sales]]&gt;=15000,"Medium","Low"))</f>
        <v>High</v>
      </c>
      <c r="L1255" t="str">
        <f>TEXT(Table1[[#This Row],[Order_Date]],"MMM")</f>
        <v>Aug</v>
      </c>
      <c r="M1255" t="str">
        <f>IF(Table1[[#This Row],[Profit]]&gt;=10000,"Excellent",IF(Table1[[#This Row],[Profit]]&gt;5000,"Good","Low"))</f>
        <v>Good</v>
      </c>
      <c r="N1255" t="str">
        <f>TEXT(Table1[[#This Row],[Order_Date]],"YYYY")</f>
        <v>2025</v>
      </c>
    </row>
    <row r="1256" spans="1:14" x14ac:dyDescent="0.25">
      <c r="A1256" s="1">
        <v>45735</v>
      </c>
      <c r="B1256" t="s">
        <v>22</v>
      </c>
      <c r="C1256" t="s">
        <v>18</v>
      </c>
      <c r="D1256">
        <v>37479</v>
      </c>
      <c r="E1256">
        <v>23035</v>
      </c>
      <c r="F1256">
        <v>14444</v>
      </c>
      <c r="G1256" t="s">
        <v>19</v>
      </c>
      <c r="H1256" t="s">
        <v>34</v>
      </c>
      <c r="I1256" t="s">
        <v>42</v>
      </c>
      <c r="J1256" s="2">
        <f>Table1[[#This Row],[Profit]]/Table1[[#This Row],[Sales]]*100</f>
        <v>38.538915125803783</v>
      </c>
      <c r="K1256" t="str">
        <f>IF(Table1[[#This Row],[Sales]]&gt;=30000,"High", IF(Table1[[#This Row],[Sales]]&gt;=15000,"Medium","Low"))</f>
        <v>High</v>
      </c>
      <c r="L1256" t="str">
        <f>TEXT(Table1[[#This Row],[Order_Date]],"MMM")</f>
        <v>Mar</v>
      </c>
      <c r="M1256" t="str">
        <f>IF(Table1[[#This Row],[Profit]]&gt;=10000,"Excellent",IF(Table1[[#This Row],[Profit]]&gt;5000,"Good","Low"))</f>
        <v>Excellent</v>
      </c>
      <c r="N1256" t="str">
        <f>TEXT(Table1[[#This Row],[Order_Date]],"YYYY")</f>
        <v>2025</v>
      </c>
    </row>
    <row r="1257" spans="1:14" x14ac:dyDescent="0.25">
      <c r="A1257" s="1">
        <v>45332</v>
      </c>
      <c r="B1257" t="s">
        <v>44</v>
      </c>
      <c r="C1257" t="s">
        <v>41</v>
      </c>
      <c r="D1257">
        <v>37209</v>
      </c>
      <c r="E1257">
        <v>26432</v>
      </c>
      <c r="F1257">
        <v>10777</v>
      </c>
      <c r="G1257" t="s">
        <v>27</v>
      </c>
      <c r="H1257" t="s">
        <v>28</v>
      </c>
      <c r="I1257" t="s">
        <v>53</v>
      </c>
      <c r="J1257" s="2">
        <f>Table1[[#This Row],[Profit]]/Table1[[#This Row],[Sales]]*100</f>
        <v>28.963422827810476</v>
      </c>
      <c r="K1257" t="str">
        <f>IF(Table1[[#This Row],[Sales]]&gt;=30000,"High", IF(Table1[[#This Row],[Sales]]&gt;=15000,"Medium","Low"))</f>
        <v>High</v>
      </c>
      <c r="L1257" t="str">
        <f>TEXT(Table1[[#This Row],[Order_Date]],"MMM")</f>
        <v>Feb</v>
      </c>
      <c r="M1257" t="str">
        <f>IF(Table1[[#This Row],[Profit]]&gt;=10000,"Excellent",IF(Table1[[#This Row],[Profit]]&gt;5000,"Good","Low"))</f>
        <v>Excellent</v>
      </c>
      <c r="N1257" t="str">
        <f>TEXT(Table1[[#This Row],[Order_Date]],"YYYY")</f>
        <v>2024</v>
      </c>
    </row>
    <row r="1258" spans="1:14" x14ac:dyDescent="0.25">
      <c r="A1258" s="1">
        <v>45877</v>
      </c>
      <c r="B1258" t="s">
        <v>26</v>
      </c>
      <c r="C1258" t="s">
        <v>18</v>
      </c>
      <c r="D1258">
        <v>14335</v>
      </c>
      <c r="E1258">
        <v>11058</v>
      </c>
      <c r="F1258">
        <v>3277</v>
      </c>
      <c r="G1258" t="s">
        <v>27</v>
      </c>
      <c r="H1258" t="s">
        <v>20</v>
      </c>
      <c r="I1258" t="s">
        <v>53</v>
      </c>
      <c r="J1258" s="2">
        <f>Table1[[#This Row],[Profit]]/Table1[[#This Row],[Sales]]*100</f>
        <v>22.860132542727591</v>
      </c>
      <c r="K1258" t="str">
        <f>IF(Table1[[#This Row],[Sales]]&gt;=30000,"High", IF(Table1[[#This Row],[Sales]]&gt;=15000,"Medium","Low"))</f>
        <v>Low</v>
      </c>
      <c r="L1258" t="str">
        <f>TEXT(Table1[[#This Row],[Order_Date]],"MMM")</f>
        <v>Aug</v>
      </c>
      <c r="M1258" t="str">
        <f>IF(Table1[[#This Row],[Profit]]&gt;=10000,"Excellent",IF(Table1[[#This Row],[Profit]]&gt;5000,"Good","Low"))</f>
        <v>Low</v>
      </c>
      <c r="N1258" t="str">
        <f>TEXT(Table1[[#This Row],[Order_Date]],"YYYY")</f>
        <v>2025</v>
      </c>
    </row>
    <row r="1259" spans="1:14" x14ac:dyDescent="0.25">
      <c r="A1259" s="1">
        <v>46056</v>
      </c>
      <c r="B1259" t="s">
        <v>44</v>
      </c>
      <c r="C1259" t="s">
        <v>12</v>
      </c>
      <c r="D1259">
        <v>31665</v>
      </c>
      <c r="E1259">
        <v>21682</v>
      </c>
      <c r="F1259">
        <v>9983</v>
      </c>
      <c r="G1259" t="s">
        <v>38</v>
      </c>
      <c r="H1259" t="s">
        <v>60</v>
      </c>
      <c r="I1259" t="s">
        <v>15</v>
      </c>
      <c r="J1259" s="2">
        <f>Table1[[#This Row],[Profit]]/Table1[[#This Row],[Sales]]*100</f>
        <v>31.526922469603662</v>
      </c>
      <c r="K1259" t="str">
        <f>IF(Table1[[#This Row],[Sales]]&gt;=30000,"High", IF(Table1[[#This Row],[Sales]]&gt;=15000,"Medium","Low"))</f>
        <v>High</v>
      </c>
      <c r="L1259" t="str">
        <f>TEXT(Table1[[#This Row],[Order_Date]],"MMM")</f>
        <v>Feb</v>
      </c>
      <c r="M1259" t="str">
        <f>IF(Table1[[#This Row],[Profit]]&gt;=10000,"Excellent",IF(Table1[[#This Row],[Profit]]&gt;5000,"Good","Low"))</f>
        <v>Good</v>
      </c>
      <c r="N1259" t="str">
        <f>TEXT(Table1[[#This Row],[Order_Date]],"YYYY")</f>
        <v>2026</v>
      </c>
    </row>
    <row r="1260" spans="1:14" x14ac:dyDescent="0.25">
      <c r="A1260" s="1">
        <v>45777</v>
      </c>
      <c r="B1260" t="s">
        <v>17</v>
      </c>
      <c r="C1260" t="s">
        <v>18</v>
      </c>
      <c r="D1260">
        <v>45417</v>
      </c>
      <c r="E1260">
        <v>29919</v>
      </c>
      <c r="F1260">
        <v>15498</v>
      </c>
      <c r="G1260" t="s">
        <v>27</v>
      </c>
      <c r="H1260" t="s">
        <v>60</v>
      </c>
      <c r="I1260" t="s">
        <v>53</v>
      </c>
      <c r="J1260" s="2">
        <f>Table1[[#This Row],[Profit]]/Table1[[#This Row],[Sales]]*100</f>
        <v>34.123786247440385</v>
      </c>
      <c r="K1260" t="str">
        <f>IF(Table1[[#This Row],[Sales]]&gt;=30000,"High", IF(Table1[[#This Row],[Sales]]&gt;=15000,"Medium","Low"))</f>
        <v>High</v>
      </c>
      <c r="L1260" t="str">
        <f>TEXT(Table1[[#This Row],[Order_Date]],"MMM")</f>
        <v>Apr</v>
      </c>
      <c r="M1260" t="str">
        <f>IF(Table1[[#This Row],[Profit]]&gt;=10000,"Excellent",IF(Table1[[#This Row],[Profit]]&gt;5000,"Good","Low"))</f>
        <v>Excellent</v>
      </c>
      <c r="N1260" t="str">
        <f>TEXT(Table1[[#This Row],[Order_Date]],"YYYY")</f>
        <v>2025</v>
      </c>
    </row>
    <row r="1261" spans="1:14" x14ac:dyDescent="0.25">
      <c r="A1261" s="1">
        <v>46130</v>
      </c>
      <c r="B1261" t="s">
        <v>11</v>
      </c>
      <c r="C1261" t="s">
        <v>41</v>
      </c>
      <c r="D1261">
        <v>12219</v>
      </c>
      <c r="E1261">
        <v>10551</v>
      </c>
      <c r="F1261">
        <v>1668</v>
      </c>
      <c r="G1261" t="s">
        <v>13</v>
      </c>
      <c r="H1261" t="s">
        <v>60</v>
      </c>
      <c r="I1261" t="s">
        <v>53</v>
      </c>
      <c r="J1261" s="2">
        <f>Table1[[#This Row],[Profit]]/Table1[[#This Row],[Sales]]*100</f>
        <v>13.650871593420083</v>
      </c>
      <c r="K1261" t="str">
        <f>IF(Table1[[#This Row],[Sales]]&gt;=30000,"High", IF(Table1[[#This Row],[Sales]]&gt;=15000,"Medium","Low"))</f>
        <v>Low</v>
      </c>
      <c r="L1261" t="str">
        <f>TEXT(Table1[[#This Row],[Order_Date]],"MMM")</f>
        <v>Apr</v>
      </c>
      <c r="M1261" t="str">
        <f>IF(Table1[[#This Row],[Profit]]&gt;=10000,"Excellent",IF(Table1[[#This Row],[Profit]]&gt;5000,"Good","Low"))</f>
        <v>Low</v>
      </c>
      <c r="N1261" t="str">
        <f>TEXT(Table1[[#This Row],[Order_Date]],"YYYY")</f>
        <v>2026</v>
      </c>
    </row>
    <row r="1262" spans="1:14" x14ac:dyDescent="0.25">
      <c r="A1262" s="1">
        <v>45400</v>
      </c>
      <c r="B1262" t="s">
        <v>17</v>
      </c>
      <c r="C1262" t="s">
        <v>33</v>
      </c>
      <c r="D1262">
        <v>25920</v>
      </c>
      <c r="E1262">
        <v>12656</v>
      </c>
      <c r="F1262">
        <v>13264</v>
      </c>
      <c r="G1262" t="s">
        <v>19</v>
      </c>
      <c r="H1262" t="s">
        <v>14</v>
      </c>
      <c r="I1262" t="s">
        <v>24</v>
      </c>
      <c r="J1262" s="2">
        <f>Table1[[#This Row],[Profit]]/Table1[[#This Row],[Sales]]*100</f>
        <v>51.172839506172842</v>
      </c>
      <c r="K1262" t="str">
        <f>IF(Table1[[#This Row],[Sales]]&gt;=30000,"High", IF(Table1[[#This Row],[Sales]]&gt;=15000,"Medium","Low"))</f>
        <v>Medium</v>
      </c>
      <c r="L1262" t="str">
        <f>TEXT(Table1[[#This Row],[Order_Date]],"MMM")</f>
        <v>Apr</v>
      </c>
      <c r="M1262" t="str">
        <f>IF(Table1[[#This Row],[Profit]]&gt;=10000,"Excellent",IF(Table1[[#This Row],[Profit]]&gt;5000,"Good","Low"))</f>
        <v>Excellent</v>
      </c>
      <c r="N1262" t="str">
        <f>TEXT(Table1[[#This Row],[Order_Date]],"YYYY")</f>
        <v>2024</v>
      </c>
    </row>
    <row r="1263" spans="1:14" x14ac:dyDescent="0.25">
      <c r="A1263" s="1">
        <v>46137</v>
      </c>
      <c r="B1263" t="s">
        <v>26</v>
      </c>
      <c r="C1263" t="s">
        <v>41</v>
      </c>
      <c r="D1263">
        <v>15563</v>
      </c>
      <c r="E1263">
        <v>382</v>
      </c>
      <c r="F1263">
        <v>15181</v>
      </c>
      <c r="G1263" t="s">
        <v>27</v>
      </c>
      <c r="H1263" t="s">
        <v>14</v>
      </c>
      <c r="I1263" t="s">
        <v>29</v>
      </c>
      <c r="J1263" s="2">
        <f>Table1[[#This Row],[Profit]]/Table1[[#This Row],[Sales]]*100</f>
        <v>97.545460386814881</v>
      </c>
      <c r="K1263" t="str">
        <f>IF(Table1[[#This Row],[Sales]]&gt;=30000,"High", IF(Table1[[#This Row],[Sales]]&gt;=15000,"Medium","Low"))</f>
        <v>Medium</v>
      </c>
      <c r="L1263" t="str">
        <f>TEXT(Table1[[#This Row],[Order_Date]],"MMM")</f>
        <v>Apr</v>
      </c>
      <c r="M1263" t="str">
        <f>IF(Table1[[#This Row],[Profit]]&gt;=10000,"Excellent",IF(Table1[[#This Row],[Profit]]&gt;5000,"Good","Low"))</f>
        <v>Excellent</v>
      </c>
      <c r="N1263" t="str">
        <f>TEXT(Table1[[#This Row],[Order_Date]],"YYYY")</f>
        <v>2026</v>
      </c>
    </row>
    <row r="1264" spans="1:14" x14ac:dyDescent="0.25">
      <c r="A1264" s="1">
        <v>45884</v>
      </c>
      <c r="B1264" t="s">
        <v>22</v>
      </c>
      <c r="C1264" t="s">
        <v>33</v>
      </c>
      <c r="D1264">
        <v>20274</v>
      </c>
      <c r="E1264">
        <v>17117</v>
      </c>
      <c r="F1264">
        <v>3157</v>
      </c>
      <c r="G1264" t="s">
        <v>38</v>
      </c>
      <c r="H1264" t="s">
        <v>34</v>
      </c>
      <c r="I1264" t="s">
        <v>24</v>
      </c>
      <c r="J1264" s="2">
        <f>Table1[[#This Row],[Profit]]/Table1[[#This Row],[Sales]]*100</f>
        <v>15.571668146394396</v>
      </c>
      <c r="K1264" t="str">
        <f>IF(Table1[[#This Row],[Sales]]&gt;=30000,"High", IF(Table1[[#This Row],[Sales]]&gt;=15000,"Medium","Low"))</f>
        <v>Medium</v>
      </c>
      <c r="L1264" t="str">
        <f>TEXT(Table1[[#This Row],[Order_Date]],"MMM")</f>
        <v>Aug</v>
      </c>
      <c r="M1264" t="str">
        <f>IF(Table1[[#This Row],[Profit]]&gt;=10000,"Excellent",IF(Table1[[#This Row],[Profit]]&gt;5000,"Good","Low"))</f>
        <v>Low</v>
      </c>
      <c r="N1264" t="str">
        <f>TEXT(Table1[[#This Row],[Order_Date]],"YYYY")</f>
        <v>2025</v>
      </c>
    </row>
    <row r="1265" spans="1:14" x14ac:dyDescent="0.25">
      <c r="A1265" s="1">
        <v>45411</v>
      </c>
      <c r="B1265" t="s">
        <v>22</v>
      </c>
      <c r="C1265" t="s">
        <v>18</v>
      </c>
      <c r="D1265">
        <v>32161</v>
      </c>
      <c r="E1265">
        <v>26760</v>
      </c>
      <c r="F1265">
        <v>5401</v>
      </c>
      <c r="G1265" t="s">
        <v>19</v>
      </c>
      <c r="H1265" t="s">
        <v>31</v>
      </c>
      <c r="I1265" t="s">
        <v>29</v>
      </c>
      <c r="J1265" s="2">
        <f>Table1[[#This Row],[Profit]]/Table1[[#This Row],[Sales]]*100</f>
        <v>16.793632038804763</v>
      </c>
      <c r="K1265" t="str">
        <f>IF(Table1[[#This Row],[Sales]]&gt;=30000,"High", IF(Table1[[#This Row],[Sales]]&gt;=15000,"Medium","Low"))</f>
        <v>High</v>
      </c>
      <c r="L1265" t="str">
        <f>TEXT(Table1[[#This Row],[Order_Date]],"MMM")</f>
        <v>Apr</v>
      </c>
      <c r="M1265" t="str">
        <f>IF(Table1[[#This Row],[Profit]]&gt;=10000,"Excellent",IF(Table1[[#This Row],[Profit]]&gt;5000,"Good","Low"))</f>
        <v>Good</v>
      </c>
      <c r="N1265" t="str">
        <f>TEXT(Table1[[#This Row],[Order_Date]],"YYYY")</f>
        <v>2024</v>
      </c>
    </row>
    <row r="1266" spans="1:14" x14ac:dyDescent="0.25">
      <c r="A1266" s="1">
        <v>45485</v>
      </c>
      <c r="B1266" t="s">
        <v>17</v>
      </c>
      <c r="C1266" t="s">
        <v>12</v>
      </c>
      <c r="D1266">
        <v>14096</v>
      </c>
      <c r="E1266">
        <v>3319</v>
      </c>
      <c r="F1266">
        <v>10777</v>
      </c>
      <c r="G1266" t="s">
        <v>27</v>
      </c>
      <c r="H1266" t="s">
        <v>45</v>
      </c>
      <c r="I1266" t="s">
        <v>42</v>
      </c>
      <c r="J1266" s="2">
        <f>Table1[[#This Row],[Profit]]/Table1[[#This Row],[Sales]]*100</f>
        <v>76.454313280363223</v>
      </c>
      <c r="K1266" t="str">
        <f>IF(Table1[[#This Row],[Sales]]&gt;=30000,"High", IF(Table1[[#This Row],[Sales]]&gt;=15000,"Medium","Low"))</f>
        <v>Low</v>
      </c>
      <c r="L1266" t="str">
        <f>TEXT(Table1[[#This Row],[Order_Date]],"MMM")</f>
        <v>Jul</v>
      </c>
      <c r="M1266" t="str">
        <f>IF(Table1[[#This Row],[Profit]]&gt;=10000,"Excellent",IF(Table1[[#This Row],[Profit]]&gt;5000,"Good","Low"))</f>
        <v>Excellent</v>
      </c>
      <c r="N1266" t="str">
        <f>TEXT(Table1[[#This Row],[Order_Date]],"YYYY")</f>
        <v>2024</v>
      </c>
    </row>
    <row r="1267" spans="1:14" x14ac:dyDescent="0.25">
      <c r="A1267" s="1">
        <v>46172</v>
      </c>
      <c r="B1267" t="s">
        <v>17</v>
      </c>
      <c r="C1267" t="s">
        <v>18</v>
      </c>
      <c r="D1267">
        <v>26215</v>
      </c>
      <c r="E1267">
        <v>23877</v>
      </c>
      <c r="F1267">
        <v>2338</v>
      </c>
      <c r="G1267" t="s">
        <v>19</v>
      </c>
      <c r="H1267" t="s">
        <v>45</v>
      </c>
      <c r="I1267" t="s">
        <v>53</v>
      </c>
      <c r="J1267" s="2">
        <f>Table1[[#This Row],[Profit]]/Table1[[#This Row],[Sales]]*100</f>
        <v>8.9185580774365825</v>
      </c>
      <c r="K1267" t="str">
        <f>IF(Table1[[#This Row],[Sales]]&gt;=30000,"High", IF(Table1[[#This Row],[Sales]]&gt;=15000,"Medium","Low"))</f>
        <v>Medium</v>
      </c>
      <c r="L1267" t="str">
        <f>TEXT(Table1[[#This Row],[Order_Date]],"MMM")</f>
        <v>May</v>
      </c>
      <c r="M1267" t="str">
        <f>IF(Table1[[#This Row],[Profit]]&gt;=10000,"Excellent",IF(Table1[[#This Row],[Profit]]&gt;5000,"Good","Low"))</f>
        <v>Low</v>
      </c>
      <c r="N1267" t="str">
        <f>TEXT(Table1[[#This Row],[Order_Date]],"YYYY")</f>
        <v>2026</v>
      </c>
    </row>
    <row r="1268" spans="1:14" x14ac:dyDescent="0.25">
      <c r="A1268" s="1">
        <v>45231</v>
      </c>
      <c r="B1268" t="s">
        <v>26</v>
      </c>
      <c r="C1268" t="s">
        <v>18</v>
      </c>
      <c r="D1268">
        <v>9674</v>
      </c>
      <c r="E1268">
        <v>1433</v>
      </c>
      <c r="F1268">
        <v>8241</v>
      </c>
      <c r="G1268" t="s">
        <v>38</v>
      </c>
      <c r="H1268" t="s">
        <v>31</v>
      </c>
      <c r="I1268" t="s">
        <v>15</v>
      </c>
      <c r="J1268" s="2">
        <f>Table1[[#This Row],[Profit]]/Table1[[#This Row],[Sales]]*100</f>
        <v>85.187099441802772</v>
      </c>
      <c r="K1268" t="str">
        <f>IF(Table1[[#This Row],[Sales]]&gt;=30000,"High", IF(Table1[[#This Row],[Sales]]&gt;=15000,"Medium","Low"))</f>
        <v>Low</v>
      </c>
      <c r="L1268" t="str">
        <f>TEXT(Table1[[#This Row],[Order_Date]],"MMM")</f>
        <v>Nov</v>
      </c>
      <c r="M1268" t="str">
        <f>IF(Table1[[#This Row],[Profit]]&gt;=10000,"Excellent",IF(Table1[[#This Row],[Profit]]&gt;5000,"Good","Low"))</f>
        <v>Good</v>
      </c>
      <c r="N1268" t="str">
        <f>TEXT(Table1[[#This Row],[Order_Date]],"YYYY")</f>
        <v>2023</v>
      </c>
    </row>
    <row r="1269" spans="1:14" x14ac:dyDescent="0.25">
      <c r="A1269" s="1">
        <v>45347</v>
      </c>
      <c r="B1269" t="s">
        <v>26</v>
      </c>
      <c r="C1269" t="s">
        <v>33</v>
      </c>
      <c r="D1269">
        <v>32590</v>
      </c>
      <c r="E1269">
        <v>16947</v>
      </c>
      <c r="F1269">
        <v>15643</v>
      </c>
      <c r="G1269" t="s">
        <v>19</v>
      </c>
      <c r="H1269" t="s">
        <v>28</v>
      </c>
      <c r="I1269" t="s">
        <v>29</v>
      </c>
      <c r="J1269" s="2">
        <f>Table1[[#This Row],[Profit]]/Table1[[#This Row],[Sales]]*100</f>
        <v>47.999386314820498</v>
      </c>
      <c r="K1269" t="str">
        <f>IF(Table1[[#This Row],[Sales]]&gt;=30000,"High", IF(Table1[[#This Row],[Sales]]&gt;=15000,"Medium","Low"))</f>
        <v>High</v>
      </c>
      <c r="L1269" t="str">
        <f>TEXT(Table1[[#This Row],[Order_Date]],"MMM")</f>
        <v>Feb</v>
      </c>
      <c r="M1269" t="str">
        <f>IF(Table1[[#This Row],[Profit]]&gt;=10000,"Excellent",IF(Table1[[#This Row],[Profit]]&gt;5000,"Good","Low"))</f>
        <v>Excellent</v>
      </c>
      <c r="N1269" t="str">
        <f>TEXT(Table1[[#This Row],[Order_Date]],"YYYY")</f>
        <v>2024</v>
      </c>
    </row>
    <row r="1270" spans="1:14" x14ac:dyDescent="0.25">
      <c r="A1270" s="1">
        <v>45482</v>
      </c>
      <c r="B1270" t="s">
        <v>26</v>
      </c>
      <c r="C1270" t="s">
        <v>12</v>
      </c>
      <c r="D1270">
        <v>38703</v>
      </c>
      <c r="E1270">
        <v>31490</v>
      </c>
      <c r="F1270">
        <v>7213</v>
      </c>
      <c r="G1270" t="s">
        <v>27</v>
      </c>
      <c r="H1270" t="s">
        <v>63</v>
      </c>
      <c r="I1270" t="s">
        <v>42</v>
      </c>
      <c r="J1270" s="2">
        <f>Table1[[#This Row],[Profit]]/Table1[[#This Row],[Sales]]*100</f>
        <v>18.636798181019561</v>
      </c>
      <c r="K1270" t="str">
        <f>IF(Table1[[#This Row],[Sales]]&gt;=30000,"High", IF(Table1[[#This Row],[Sales]]&gt;=15000,"Medium","Low"))</f>
        <v>High</v>
      </c>
      <c r="L1270" t="str">
        <f>TEXT(Table1[[#This Row],[Order_Date]],"MMM")</f>
        <v>Jul</v>
      </c>
      <c r="M1270" t="str">
        <f>IF(Table1[[#This Row],[Profit]]&gt;=10000,"Excellent",IF(Table1[[#This Row],[Profit]]&gt;5000,"Good","Low"))</f>
        <v>Good</v>
      </c>
      <c r="N1270" t="str">
        <f>TEXT(Table1[[#This Row],[Order_Date]],"YYYY")</f>
        <v>2024</v>
      </c>
    </row>
    <row r="1271" spans="1:14" x14ac:dyDescent="0.25">
      <c r="A1271" s="1">
        <v>46062</v>
      </c>
      <c r="B1271" t="s">
        <v>44</v>
      </c>
      <c r="C1271" t="s">
        <v>33</v>
      </c>
      <c r="D1271">
        <v>21841</v>
      </c>
      <c r="E1271">
        <v>6975</v>
      </c>
      <c r="F1271">
        <v>14866</v>
      </c>
      <c r="G1271" t="s">
        <v>19</v>
      </c>
      <c r="H1271" t="s">
        <v>63</v>
      </c>
      <c r="I1271" t="s">
        <v>29</v>
      </c>
      <c r="J1271" s="2">
        <f>Table1[[#This Row],[Profit]]/Table1[[#This Row],[Sales]]*100</f>
        <v>68.064649054530463</v>
      </c>
      <c r="K1271" t="str">
        <f>IF(Table1[[#This Row],[Sales]]&gt;=30000,"High", IF(Table1[[#This Row],[Sales]]&gt;=15000,"Medium","Low"))</f>
        <v>Medium</v>
      </c>
      <c r="L1271" t="str">
        <f>TEXT(Table1[[#This Row],[Order_Date]],"MMM")</f>
        <v>Feb</v>
      </c>
      <c r="M1271" t="str">
        <f>IF(Table1[[#This Row],[Profit]]&gt;=10000,"Excellent",IF(Table1[[#This Row],[Profit]]&gt;5000,"Good","Low"))</f>
        <v>Excellent</v>
      </c>
      <c r="N1271" t="str">
        <f>TEXT(Table1[[#This Row],[Order_Date]],"YYYY")</f>
        <v>2026</v>
      </c>
    </row>
    <row r="1272" spans="1:14" x14ac:dyDescent="0.25">
      <c r="A1272" s="1">
        <v>45575</v>
      </c>
      <c r="B1272" t="s">
        <v>11</v>
      </c>
      <c r="C1272" t="s">
        <v>12</v>
      </c>
      <c r="D1272">
        <v>33533</v>
      </c>
      <c r="E1272">
        <v>28193</v>
      </c>
      <c r="F1272">
        <v>5340</v>
      </c>
      <c r="G1272" t="s">
        <v>13</v>
      </c>
      <c r="H1272" t="s">
        <v>31</v>
      </c>
      <c r="I1272" t="s">
        <v>42</v>
      </c>
      <c r="J1272" s="2">
        <f>Table1[[#This Row],[Profit]]/Table1[[#This Row],[Sales]]*100</f>
        <v>15.924611576655831</v>
      </c>
      <c r="K1272" t="str">
        <f>IF(Table1[[#This Row],[Sales]]&gt;=30000,"High", IF(Table1[[#This Row],[Sales]]&gt;=15000,"Medium","Low"))</f>
        <v>High</v>
      </c>
      <c r="L1272" t="str">
        <f>TEXT(Table1[[#This Row],[Order_Date]],"MMM")</f>
        <v>Oct</v>
      </c>
      <c r="M1272" t="str">
        <f>IF(Table1[[#This Row],[Profit]]&gt;=10000,"Excellent",IF(Table1[[#This Row],[Profit]]&gt;5000,"Good","Low"))</f>
        <v>Good</v>
      </c>
      <c r="N1272" t="str">
        <f>TEXT(Table1[[#This Row],[Order_Date]],"YYYY")</f>
        <v>2024</v>
      </c>
    </row>
    <row r="1273" spans="1:14" x14ac:dyDescent="0.25">
      <c r="A1273" s="1">
        <v>46012</v>
      </c>
      <c r="B1273" t="s">
        <v>26</v>
      </c>
      <c r="C1273" t="s">
        <v>36</v>
      </c>
      <c r="D1273">
        <v>33262</v>
      </c>
      <c r="E1273">
        <v>25648</v>
      </c>
      <c r="F1273">
        <v>7614</v>
      </c>
      <c r="G1273" t="s">
        <v>38</v>
      </c>
      <c r="H1273" t="s">
        <v>20</v>
      </c>
      <c r="I1273" t="s">
        <v>53</v>
      </c>
      <c r="J1273" s="2">
        <f>Table1[[#This Row],[Profit]]/Table1[[#This Row],[Sales]]*100</f>
        <v>22.890986711562743</v>
      </c>
      <c r="K1273" t="str">
        <f>IF(Table1[[#This Row],[Sales]]&gt;=30000,"High", IF(Table1[[#This Row],[Sales]]&gt;=15000,"Medium","Low"))</f>
        <v>High</v>
      </c>
      <c r="L1273" t="str">
        <f>TEXT(Table1[[#This Row],[Order_Date]],"MMM")</f>
        <v>Dec</v>
      </c>
      <c r="M1273" t="str">
        <f>IF(Table1[[#This Row],[Profit]]&gt;=10000,"Excellent",IF(Table1[[#This Row],[Profit]]&gt;5000,"Good","Low"))</f>
        <v>Good</v>
      </c>
      <c r="N1273" t="str">
        <f>TEXT(Table1[[#This Row],[Order_Date]],"YYYY")</f>
        <v>2025</v>
      </c>
    </row>
    <row r="1274" spans="1:14" x14ac:dyDescent="0.25">
      <c r="A1274" s="1">
        <v>46026</v>
      </c>
      <c r="B1274" t="s">
        <v>11</v>
      </c>
      <c r="C1274" t="s">
        <v>36</v>
      </c>
      <c r="D1274">
        <v>29339</v>
      </c>
      <c r="E1274">
        <v>21742</v>
      </c>
      <c r="F1274">
        <v>7597</v>
      </c>
      <c r="G1274" t="s">
        <v>38</v>
      </c>
      <c r="H1274" t="s">
        <v>78</v>
      </c>
      <c r="I1274" t="s">
        <v>42</v>
      </c>
      <c r="J1274" s="2">
        <f>Table1[[#This Row],[Profit]]/Table1[[#This Row],[Sales]]*100</f>
        <v>25.893861413136101</v>
      </c>
      <c r="K1274" t="str">
        <f>IF(Table1[[#This Row],[Sales]]&gt;=30000,"High", IF(Table1[[#This Row],[Sales]]&gt;=15000,"Medium","Low"))</f>
        <v>Medium</v>
      </c>
      <c r="L1274" t="str">
        <f>TEXT(Table1[[#This Row],[Order_Date]],"MMM")</f>
        <v>Jan</v>
      </c>
      <c r="M1274" t="str">
        <f>IF(Table1[[#This Row],[Profit]]&gt;=10000,"Excellent",IF(Table1[[#This Row],[Profit]]&gt;5000,"Good","Low"))</f>
        <v>Good</v>
      </c>
      <c r="N1274" t="str">
        <f>TEXT(Table1[[#This Row],[Order_Date]],"YYYY")</f>
        <v>2026</v>
      </c>
    </row>
    <row r="1275" spans="1:14" x14ac:dyDescent="0.25">
      <c r="A1275" s="1">
        <v>45953</v>
      </c>
      <c r="B1275" t="s">
        <v>22</v>
      </c>
      <c r="C1275" t="s">
        <v>41</v>
      </c>
      <c r="D1275">
        <v>40798</v>
      </c>
      <c r="E1275">
        <v>24680</v>
      </c>
      <c r="F1275">
        <v>16118</v>
      </c>
      <c r="G1275" t="s">
        <v>13</v>
      </c>
      <c r="H1275" t="s">
        <v>45</v>
      </c>
      <c r="I1275" t="s">
        <v>29</v>
      </c>
      <c r="J1275" s="2">
        <f>Table1[[#This Row],[Profit]]/Table1[[#This Row],[Sales]]*100</f>
        <v>39.506838570518163</v>
      </c>
      <c r="K1275" t="str">
        <f>IF(Table1[[#This Row],[Sales]]&gt;=30000,"High", IF(Table1[[#This Row],[Sales]]&gt;=15000,"Medium","Low"))</f>
        <v>High</v>
      </c>
      <c r="L1275" t="str">
        <f>TEXT(Table1[[#This Row],[Order_Date]],"MMM")</f>
        <v>Oct</v>
      </c>
      <c r="M1275" t="str">
        <f>IF(Table1[[#This Row],[Profit]]&gt;=10000,"Excellent",IF(Table1[[#This Row],[Profit]]&gt;5000,"Good","Low"))</f>
        <v>Excellent</v>
      </c>
      <c r="N1275" t="str">
        <f>TEXT(Table1[[#This Row],[Order_Date]],"YYYY")</f>
        <v>2025</v>
      </c>
    </row>
    <row r="1276" spans="1:14" x14ac:dyDescent="0.25">
      <c r="A1276" s="1">
        <v>45945</v>
      </c>
      <c r="B1276" t="s">
        <v>11</v>
      </c>
      <c r="C1276" t="s">
        <v>41</v>
      </c>
      <c r="D1276">
        <v>46060</v>
      </c>
      <c r="E1276">
        <v>40109</v>
      </c>
      <c r="F1276">
        <v>5951</v>
      </c>
      <c r="G1276" t="s">
        <v>38</v>
      </c>
      <c r="H1276" t="s">
        <v>45</v>
      </c>
      <c r="I1276" t="s">
        <v>15</v>
      </c>
      <c r="J1276" s="2">
        <f>Table1[[#This Row],[Profit]]/Table1[[#This Row],[Sales]]*100</f>
        <v>12.920104211897526</v>
      </c>
      <c r="K1276" t="str">
        <f>IF(Table1[[#This Row],[Sales]]&gt;=30000,"High", IF(Table1[[#This Row],[Sales]]&gt;=15000,"Medium","Low"))</f>
        <v>High</v>
      </c>
      <c r="L1276" t="str">
        <f>TEXT(Table1[[#This Row],[Order_Date]],"MMM")</f>
        <v>Oct</v>
      </c>
      <c r="M1276" t="str">
        <f>IF(Table1[[#This Row],[Profit]]&gt;=10000,"Excellent",IF(Table1[[#This Row],[Profit]]&gt;5000,"Good","Low"))</f>
        <v>Good</v>
      </c>
      <c r="N1276" t="str">
        <f>TEXT(Table1[[#This Row],[Order_Date]],"YYYY")</f>
        <v>2025</v>
      </c>
    </row>
    <row r="1277" spans="1:14" x14ac:dyDescent="0.25">
      <c r="A1277" s="1">
        <v>45443</v>
      </c>
      <c r="B1277" t="s">
        <v>44</v>
      </c>
      <c r="C1277" t="s">
        <v>12</v>
      </c>
      <c r="D1277">
        <v>37686</v>
      </c>
      <c r="E1277">
        <v>29450</v>
      </c>
      <c r="F1277">
        <v>8236</v>
      </c>
      <c r="G1277" t="s">
        <v>27</v>
      </c>
      <c r="H1277" t="s">
        <v>45</v>
      </c>
      <c r="I1277" t="s">
        <v>29</v>
      </c>
      <c r="J1277" s="2">
        <f>Table1[[#This Row],[Profit]]/Table1[[#This Row],[Sales]]*100</f>
        <v>21.854269489996287</v>
      </c>
      <c r="K1277" t="str">
        <f>IF(Table1[[#This Row],[Sales]]&gt;=30000,"High", IF(Table1[[#This Row],[Sales]]&gt;=15000,"Medium","Low"))</f>
        <v>High</v>
      </c>
      <c r="L1277" t="str">
        <f>TEXT(Table1[[#This Row],[Order_Date]],"MMM")</f>
        <v>May</v>
      </c>
      <c r="M1277" t="str">
        <f>IF(Table1[[#This Row],[Profit]]&gt;=10000,"Excellent",IF(Table1[[#This Row],[Profit]]&gt;5000,"Good","Low"))</f>
        <v>Good</v>
      </c>
      <c r="N1277" t="str">
        <f>TEXT(Table1[[#This Row],[Order_Date]],"YYYY")</f>
        <v>2024</v>
      </c>
    </row>
    <row r="1278" spans="1:14" x14ac:dyDescent="0.25">
      <c r="A1278" s="1">
        <v>45893</v>
      </c>
      <c r="B1278" t="s">
        <v>22</v>
      </c>
      <c r="C1278" t="s">
        <v>41</v>
      </c>
      <c r="D1278">
        <v>27124</v>
      </c>
      <c r="E1278">
        <v>8706</v>
      </c>
      <c r="F1278">
        <v>18418</v>
      </c>
      <c r="G1278" t="s">
        <v>27</v>
      </c>
      <c r="H1278" t="s">
        <v>28</v>
      </c>
      <c r="I1278" t="s">
        <v>53</v>
      </c>
      <c r="J1278" s="2">
        <f>Table1[[#This Row],[Profit]]/Table1[[#This Row],[Sales]]*100</f>
        <v>67.902964164577497</v>
      </c>
      <c r="K1278" t="str">
        <f>IF(Table1[[#This Row],[Sales]]&gt;=30000,"High", IF(Table1[[#This Row],[Sales]]&gt;=15000,"Medium","Low"))</f>
        <v>Medium</v>
      </c>
      <c r="L1278" t="str">
        <f>TEXT(Table1[[#This Row],[Order_Date]],"MMM")</f>
        <v>Aug</v>
      </c>
      <c r="M1278" t="str">
        <f>IF(Table1[[#This Row],[Profit]]&gt;=10000,"Excellent",IF(Table1[[#This Row],[Profit]]&gt;5000,"Good","Low"))</f>
        <v>Excellent</v>
      </c>
      <c r="N1278" t="str">
        <f>TEXT(Table1[[#This Row],[Order_Date]],"YYYY")</f>
        <v>2025</v>
      </c>
    </row>
    <row r="1279" spans="1:14" x14ac:dyDescent="0.25">
      <c r="A1279" s="1">
        <v>46040</v>
      </c>
      <c r="B1279" t="s">
        <v>26</v>
      </c>
      <c r="C1279" t="s">
        <v>18</v>
      </c>
      <c r="D1279">
        <v>21970</v>
      </c>
      <c r="E1279">
        <v>16994</v>
      </c>
      <c r="F1279">
        <v>4976</v>
      </c>
      <c r="G1279" t="s">
        <v>38</v>
      </c>
      <c r="H1279" t="s">
        <v>78</v>
      </c>
      <c r="I1279" t="s">
        <v>24</v>
      </c>
      <c r="J1279" s="2">
        <f>Table1[[#This Row],[Profit]]/Table1[[#This Row],[Sales]]*100</f>
        <v>22.64906690942194</v>
      </c>
      <c r="K1279" t="str">
        <f>IF(Table1[[#This Row],[Sales]]&gt;=30000,"High", IF(Table1[[#This Row],[Sales]]&gt;=15000,"Medium","Low"))</f>
        <v>Medium</v>
      </c>
      <c r="L1279" t="str">
        <f>TEXT(Table1[[#This Row],[Order_Date]],"MMM")</f>
        <v>Jan</v>
      </c>
      <c r="M1279" t="str">
        <f>IF(Table1[[#This Row],[Profit]]&gt;=10000,"Excellent",IF(Table1[[#This Row],[Profit]]&gt;5000,"Good","Low"))</f>
        <v>Low</v>
      </c>
      <c r="N1279" t="str">
        <f>TEXT(Table1[[#This Row],[Order_Date]],"YYYY")</f>
        <v>2026</v>
      </c>
    </row>
    <row r="1280" spans="1:14" x14ac:dyDescent="0.25">
      <c r="A1280" s="1">
        <v>46184</v>
      </c>
      <c r="B1280" t="s">
        <v>26</v>
      </c>
      <c r="C1280" t="s">
        <v>33</v>
      </c>
      <c r="D1280">
        <v>38791</v>
      </c>
      <c r="E1280">
        <v>22142</v>
      </c>
      <c r="F1280">
        <v>16649</v>
      </c>
      <c r="G1280" t="s">
        <v>13</v>
      </c>
      <c r="H1280" t="s">
        <v>20</v>
      </c>
      <c r="I1280" t="s">
        <v>53</v>
      </c>
      <c r="J1280" s="2">
        <f>Table1[[#This Row],[Profit]]/Table1[[#This Row],[Sales]]*100</f>
        <v>42.919749426413347</v>
      </c>
      <c r="K1280" t="str">
        <f>IF(Table1[[#This Row],[Sales]]&gt;=30000,"High", IF(Table1[[#This Row],[Sales]]&gt;=15000,"Medium","Low"))</f>
        <v>High</v>
      </c>
      <c r="L1280" t="str">
        <f>TEXT(Table1[[#This Row],[Order_Date]],"MMM")</f>
        <v>Jun</v>
      </c>
      <c r="M1280" t="str">
        <f>IF(Table1[[#This Row],[Profit]]&gt;=10000,"Excellent",IF(Table1[[#This Row],[Profit]]&gt;5000,"Good","Low"))</f>
        <v>Excellent</v>
      </c>
      <c r="N1280" t="str">
        <f>TEXT(Table1[[#This Row],[Order_Date]],"YYYY")</f>
        <v>2026</v>
      </c>
    </row>
    <row r="1281" spans="1:14" x14ac:dyDescent="0.25">
      <c r="A1281" s="1">
        <v>45906</v>
      </c>
      <c r="B1281" t="s">
        <v>17</v>
      </c>
      <c r="C1281" t="s">
        <v>18</v>
      </c>
      <c r="D1281">
        <v>8292</v>
      </c>
      <c r="E1281">
        <v>3907</v>
      </c>
      <c r="F1281">
        <v>4385</v>
      </c>
      <c r="G1281" t="s">
        <v>19</v>
      </c>
      <c r="H1281" t="s">
        <v>60</v>
      </c>
      <c r="I1281" t="s">
        <v>53</v>
      </c>
      <c r="J1281" s="2">
        <f>Table1[[#This Row],[Profit]]/Table1[[#This Row],[Sales]]*100</f>
        <v>52.882296189097922</v>
      </c>
      <c r="K1281" t="str">
        <f>IF(Table1[[#This Row],[Sales]]&gt;=30000,"High", IF(Table1[[#This Row],[Sales]]&gt;=15000,"Medium","Low"))</f>
        <v>Low</v>
      </c>
      <c r="L1281" t="str">
        <f>TEXT(Table1[[#This Row],[Order_Date]],"MMM")</f>
        <v>Sep</v>
      </c>
      <c r="M1281" t="str">
        <f>IF(Table1[[#This Row],[Profit]]&gt;=10000,"Excellent",IF(Table1[[#This Row],[Profit]]&gt;5000,"Good","Low"))</f>
        <v>Low</v>
      </c>
      <c r="N1281" t="str">
        <f>TEXT(Table1[[#This Row],[Order_Date]],"YYYY")</f>
        <v>2025</v>
      </c>
    </row>
    <row r="1282" spans="1:14" x14ac:dyDescent="0.25">
      <c r="A1282" s="1">
        <v>45116</v>
      </c>
      <c r="B1282" t="s">
        <v>26</v>
      </c>
      <c r="C1282" t="s">
        <v>18</v>
      </c>
      <c r="D1282">
        <v>34849</v>
      </c>
      <c r="E1282">
        <v>21375</v>
      </c>
      <c r="F1282">
        <v>13474</v>
      </c>
      <c r="G1282" t="s">
        <v>13</v>
      </c>
      <c r="H1282" t="s">
        <v>34</v>
      </c>
      <c r="I1282" t="s">
        <v>15</v>
      </c>
      <c r="J1282" s="2">
        <f>Table1[[#This Row],[Profit]]/Table1[[#This Row],[Sales]]*100</f>
        <v>38.663950185084225</v>
      </c>
      <c r="K1282" t="str">
        <f>IF(Table1[[#This Row],[Sales]]&gt;=30000,"High", IF(Table1[[#This Row],[Sales]]&gt;=15000,"Medium","Low"))</f>
        <v>High</v>
      </c>
      <c r="L1282" t="str">
        <f>TEXT(Table1[[#This Row],[Order_Date]],"MMM")</f>
        <v>Jul</v>
      </c>
      <c r="M1282" t="str">
        <f>IF(Table1[[#This Row],[Profit]]&gt;=10000,"Excellent",IF(Table1[[#This Row],[Profit]]&gt;5000,"Good","Low"))</f>
        <v>Excellent</v>
      </c>
      <c r="N1282" t="str">
        <f>TEXT(Table1[[#This Row],[Order_Date]],"YYYY")</f>
        <v>2023</v>
      </c>
    </row>
    <row r="1283" spans="1:14" x14ac:dyDescent="0.25">
      <c r="A1283" s="1">
        <v>45198</v>
      </c>
      <c r="B1283" t="s">
        <v>26</v>
      </c>
      <c r="C1283" t="s">
        <v>36</v>
      </c>
      <c r="D1283">
        <v>32339</v>
      </c>
      <c r="E1283">
        <v>12927</v>
      </c>
      <c r="F1283">
        <v>19412</v>
      </c>
      <c r="G1283" t="s">
        <v>19</v>
      </c>
      <c r="H1283" t="s">
        <v>20</v>
      </c>
      <c r="I1283" t="s">
        <v>24</v>
      </c>
      <c r="J1283" s="2">
        <f>Table1[[#This Row],[Profit]]/Table1[[#This Row],[Sales]]*100</f>
        <v>60.02659327746683</v>
      </c>
      <c r="K1283" t="str">
        <f>IF(Table1[[#This Row],[Sales]]&gt;=30000,"High", IF(Table1[[#This Row],[Sales]]&gt;=15000,"Medium","Low"))</f>
        <v>High</v>
      </c>
      <c r="L1283" t="str">
        <f>TEXT(Table1[[#This Row],[Order_Date]],"MMM")</f>
        <v>Sep</v>
      </c>
      <c r="M1283" t="str">
        <f>IF(Table1[[#This Row],[Profit]]&gt;=10000,"Excellent",IF(Table1[[#This Row],[Profit]]&gt;5000,"Good","Low"))</f>
        <v>Excellent</v>
      </c>
      <c r="N1283" t="str">
        <f>TEXT(Table1[[#This Row],[Order_Date]],"YYYY")</f>
        <v>2023</v>
      </c>
    </row>
    <row r="1284" spans="1:14" x14ac:dyDescent="0.25">
      <c r="A1284" s="1">
        <v>46059</v>
      </c>
      <c r="B1284" t="s">
        <v>44</v>
      </c>
      <c r="C1284" t="s">
        <v>33</v>
      </c>
      <c r="D1284">
        <v>23201</v>
      </c>
      <c r="E1284">
        <v>7805</v>
      </c>
      <c r="F1284">
        <v>15396</v>
      </c>
      <c r="G1284" t="s">
        <v>13</v>
      </c>
      <c r="H1284" t="s">
        <v>20</v>
      </c>
      <c r="I1284" t="s">
        <v>29</v>
      </c>
      <c r="J1284" s="2">
        <f>Table1[[#This Row],[Profit]]/Table1[[#This Row],[Sales]]*100</f>
        <v>66.35920865479936</v>
      </c>
      <c r="K1284" t="str">
        <f>IF(Table1[[#This Row],[Sales]]&gt;=30000,"High", IF(Table1[[#This Row],[Sales]]&gt;=15000,"Medium","Low"))</f>
        <v>Medium</v>
      </c>
      <c r="L1284" t="str">
        <f>TEXT(Table1[[#This Row],[Order_Date]],"MMM")</f>
        <v>Feb</v>
      </c>
      <c r="M1284" t="str">
        <f>IF(Table1[[#This Row],[Profit]]&gt;=10000,"Excellent",IF(Table1[[#This Row],[Profit]]&gt;5000,"Good","Low"))</f>
        <v>Excellent</v>
      </c>
      <c r="N1284" t="str">
        <f>TEXT(Table1[[#This Row],[Order_Date]],"YYYY")</f>
        <v>2026</v>
      </c>
    </row>
    <row r="1285" spans="1:14" x14ac:dyDescent="0.25">
      <c r="A1285" s="1">
        <v>46016</v>
      </c>
      <c r="B1285" t="s">
        <v>44</v>
      </c>
      <c r="C1285" t="s">
        <v>18</v>
      </c>
      <c r="D1285">
        <v>41953</v>
      </c>
      <c r="E1285">
        <v>26870</v>
      </c>
      <c r="F1285">
        <v>15083</v>
      </c>
      <c r="G1285" t="s">
        <v>13</v>
      </c>
      <c r="H1285" t="s">
        <v>31</v>
      </c>
      <c r="I1285" t="s">
        <v>42</v>
      </c>
      <c r="J1285" s="2">
        <f>Table1[[#This Row],[Profit]]/Table1[[#This Row],[Sales]]*100</f>
        <v>35.952136915119297</v>
      </c>
      <c r="K1285" t="str">
        <f>IF(Table1[[#This Row],[Sales]]&gt;=30000,"High", IF(Table1[[#This Row],[Sales]]&gt;=15000,"Medium","Low"))</f>
        <v>High</v>
      </c>
      <c r="L1285" t="str">
        <f>TEXT(Table1[[#This Row],[Order_Date]],"MMM")</f>
        <v>Dec</v>
      </c>
      <c r="M1285" t="str">
        <f>IF(Table1[[#This Row],[Profit]]&gt;=10000,"Excellent",IF(Table1[[#This Row],[Profit]]&gt;5000,"Good","Low"))</f>
        <v>Excellent</v>
      </c>
      <c r="N1285" t="str">
        <f>TEXT(Table1[[#This Row],[Order_Date]],"YYYY")</f>
        <v>2025</v>
      </c>
    </row>
    <row r="1286" spans="1:14" x14ac:dyDescent="0.25">
      <c r="A1286" s="1">
        <v>45618</v>
      </c>
      <c r="B1286" t="s">
        <v>17</v>
      </c>
      <c r="C1286" t="s">
        <v>33</v>
      </c>
      <c r="D1286">
        <v>32826</v>
      </c>
      <c r="E1286">
        <v>23008</v>
      </c>
      <c r="F1286">
        <v>9818</v>
      </c>
      <c r="G1286" t="s">
        <v>19</v>
      </c>
      <c r="H1286" t="s">
        <v>60</v>
      </c>
      <c r="I1286" t="s">
        <v>42</v>
      </c>
      <c r="J1286" s="2">
        <f>Table1[[#This Row],[Profit]]/Table1[[#This Row],[Sales]]*100</f>
        <v>29.909218302565037</v>
      </c>
      <c r="K1286" t="str">
        <f>IF(Table1[[#This Row],[Sales]]&gt;=30000,"High", IF(Table1[[#This Row],[Sales]]&gt;=15000,"Medium","Low"))</f>
        <v>High</v>
      </c>
      <c r="L1286" t="str">
        <f>TEXT(Table1[[#This Row],[Order_Date]],"MMM")</f>
        <v>Nov</v>
      </c>
      <c r="M1286" t="str">
        <f>IF(Table1[[#This Row],[Profit]]&gt;=10000,"Excellent",IF(Table1[[#This Row],[Profit]]&gt;5000,"Good","Low"))</f>
        <v>Good</v>
      </c>
      <c r="N1286" t="str">
        <f>TEXT(Table1[[#This Row],[Order_Date]],"YYYY")</f>
        <v>2024</v>
      </c>
    </row>
    <row r="1287" spans="1:14" x14ac:dyDescent="0.25">
      <c r="A1287" s="1">
        <v>45229</v>
      </c>
      <c r="B1287" t="s">
        <v>17</v>
      </c>
      <c r="C1287" t="s">
        <v>18</v>
      </c>
      <c r="D1287">
        <v>37983</v>
      </c>
      <c r="E1287">
        <v>22522</v>
      </c>
      <c r="F1287">
        <v>15461</v>
      </c>
      <c r="G1287" t="s">
        <v>38</v>
      </c>
      <c r="H1287" t="s">
        <v>23</v>
      </c>
      <c r="I1287" t="s">
        <v>15</v>
      </c>
      <c r="J1287" s="2">
        <f>Table1[[#This Row],[Profit]]/Table1[[#This Row],[Sales]]*100</f>
        <v>40.705052260221677</v>
      </c>
      <c r="K1287" t="str">
        <f>IF(Table1[[#This Row],[Sales]]&gt;=30000,"High", IF(Table1[[#This Row],[Sales]]&gt;=15000,"Medium","Low"))</f>
        <v>High</v>
      </c>
      <c r="L1287" t="str">
        <f>TEXT(Table1[[#This Row],[Order_Date]],"MMM")</f>
        <v>Oct</v>
      </c>
      <c r="M1287" t="str">
        <f>IF(Table1[[#This Row],[Profit]]&gt;=10000,"Excellent",IF(Table1[[#This Row],[Profit]]&gt;5000,"Good","Low"))</f>
        <v>Excellent</v>
      </c>
      <c r="N1287" t="str">
        <f>TEXT(Table1[[#This Row],[Order_Date]],"YYYY")</f>
        <v>2023</v>
      </c>
    </row>
    <row r="1288" spans="1:14" x14ac:dyDescent="0.25">
      <c r="A1288" s="1">
        <v>45738</v>
      </c>
      <c r="B1288" t="s">
        <v>44</v>
      </c>
      <c r="C1288" t="s">
        <v>12</v>
      </c>
      <c r="D1288">
        <v>49037</v>
      </c>
      <c r="E1288">
        <v>42935</v>
      </c>
      <c r="F1288">
        <v>6102</v>
      </c>
      <c r="G1288" t="s">
        <v>38</v>
      </c>
      <c r="H1288" t="s">
        <v>60</v>
      </c>
      <c r="I1288" t="s">
        <v>29</v>
      </c>
      <c r="J1288" s="2">
        <f>Table1[[#This Row],[Profit]]/Table1[[#This Row],[Sales]]*100</f>
        <v>12.443664987662377</v>
      </c>
      <c r="K1288" t="str">
        <f>IF(Table1[[#This Row],[Sales]]&gt;=30000,"High", IF(Table1[[#This Row],[Sales]]&gt;=15000,"Medium","Low"))</f>
        <v>High</v>
      </c>
      <c r="L1288" t="str">
        <f>TEXT(Table1[[#This Row],[Order_Date]],"MMM")</f>
        <v>Mar</v>
      </c>
      <c r="M1288" t="str">
        <f>IF(Table1[[#This Row],[Profit]]&gt;=10000,"Excellent",IF(Table1[[#This Row],[Profit]]&gt;5000,"Good","Low"))</f>
        <v>Good</v>
      </c>
      <c r="N1288" t="str">
        <f>TEXT(Table1[[#This Row],[Order_Date]],"YYYY")</f>
        <v>2025</v>
      </c>
    </row>
    <row r="1289" spans="1:14" x14ac:dyDescent="0.25">
      <c r="A1289" s="1">
        <v>46049</v>
      </c>
      <c r="B1289" t="s">
        <v>44</v>
      </c>
      <c r="C1289" t="s">
        <v>18</v>
      </c>
      <c r="D1289">
        <v>13166</v>
      </c>
      <c r="E1289">
        <v>8664</v>
      </c>
      <c r="F1289">
        <v>4502</v>
      </c>
      <c r="G1289" t="s">
        <v>13</v>
      </c>
      <c r="H1289" t="s">
        <v>20</v>
      </c>
      <c r="I1289" t="s">
        <v>15</v>
      </c>
      <c r="J1289" s="2">
        <f>Table1[[#This Row],[Profit]]/Table1[[#This Row],[Sales]]*100</f>
        <v>34.194136411970227</v>
      </c>
      <c r="K1289" t="str">
        <f>IF(Table1[[#This Row],[Sales]]&gt;=30000,"High", IF(Table1[[#This Row],[Sales]]&gt;=15000,"Medium","Low"))</f>
        <v>Low</v>
      </c>
      <c r="L1289" t="str">
        <f>TEXT(Table1[[#This Row],[Order_Date]],"MMM")</f>
        <v>Jan</v>
      </c>
      <c r="M1289" t="str">
        <f>IF(Table1[[#This Row],[Profit]]&gt;=10000,"Excellent",IF(Table1[[#This Row],[Profit]]&gt;5000,"Good","Low"))</f>
        <v>Low</v>
      </c>
      <c r="N1289" t="str">
        <f>TEXT(Table1[[#This Row],[Order_Date]],"YYYY")</f>
        <v>2026</v>
      </c>
    </row>
    <row r="1290" spans="1:14" x14ac:dyDescent="0.25">
      <c r="A1290" s="1">
        <v>46149</v>
      </c>
      <c r="B1290" t="s">
        <v>26</v>
      </c>
      <c r="C1290" t="s">
        <v>41</v>
      </c>
      <c r="D1290">
        <v>20454</v>
      </c>
      <c r="E1290">
        <v>4260</v>
      </c>
      <c r="F1290">
        <v>16194</v>
      </c>
      <c r="G1290" t="s">
        <v>13</v>
      </c>
      <c r="H1290" t="s">
        <v>20</v>
      </c>
      <c r="I1290" t="s">
        <v>24</v>
      </c>
      <c r="J1290" s="2">
        <f>Table1[[#This Row],[Profit]]/Table1[[#This Row],[Sales]]*100</f>
        <v>79.172777940745092</v>
      </c>
      <c r="K1290" t="str">
        <f>IF(Table1[[#This Row],[Sales]]&gt;=30000,"High", IF(Table1[[#This Row],[Sales]]&gt;=15000,"Medium","Low"))</f>
        <v>Medium</v>
      </c>
      <c r="L1290" t="str">
        <f>TEXT(Table1[[#This Row],[Order_Date]],"MMM")</f>
        <v>May</v>
      </c>
      <c r="M1290" t="str">
        <f>IF(Table1[[#This Row],[Profit]]&gt;=10000,"Excellent",IF(Table1[[#This Row],[Profit]]&gt;5000,"Good","Low"))</f>
        <v>Excellent</v>
      </c>
      <c r="N1290" t="str">
        <f>TEXT(Table1[[#This Row],[Order_Date]],"YYYY")</f>
        <v>2026</v>
      </c>
    </row>
    <row r="1291" spans="1:14" x14ac:dyDescent="0.25">
      <c r="A1291" s="1">
        <v>45276</v>
      </c>
      <c r="B1291" t="s">
        <v>26</v>
      </c>
      <c r="C1291" t="s">
        <v>41</v>
      </c>
      <c r="D1291">
        <v>25927</v>
      </c>
      <c r="E1291">
        <v>18241</v>
      </c>
      <c r="F1291">
        <v>7686</v>
      </c>
      <c r="G1291" t="s">
        <v>19</v>
      </c>
      <c r="H1291" t="s">
        <v>14</v>
      </c>
      <c r="I1291" t="s">
        <v>29</v>
      </c>
      <c r="J1291" s="2">
        <f>Table1[[#This Row],[Profit]]/Table1[[#This Row],[Sales]]*100</f>
        <v>29.644771859451534</v>
      </c>
      <c r="K1291" t="str">
        <f>IF(Table1[[#This Row],[Sales]]&gt;=30000,"High", IF(Table1[[#This Row],[Sales]]&gt;=15000,"Medium","Low"))</f>
        <v>Medium</v>
      </c>
      <c r="L1291" t="str">
        <f>TEXT(Table1[[#This Row],[Order_Date]],"MMM")</f>
        <v>Dec</v>
      </c>
      <c r="M1291" t="str">
        <f>IF(Table1[[#This Row],[Profit]]&gt;=10000,"Excellent",IF(Table1[[#This Row],[Profit]]&gt;5000,"Good","Low"))</f>
        <v>Good</v>
      </c>
      <c r="N1291" t="str">
        <f>TEXT(Table1[[#This Row],[Order_Date]],"YYYY")</f>
        <v>2023</v>
      </c>
    </row>
    <row r="1292" spans="1:14" x14ac:dyDescent="0.25">
      <c r="A1292" s="1">
        <v>45620</v>
      </c>
      <c r="B1292" t="s">
        <v>17</v>
      </c>
      <c r="C1292" t="s">
        <v>36</v>
      </c>
      <c r="D1292">
        <v>13356</v>
      </c>
      <c r="E1292">
        <v>10839</v>
      </c>
      <c r="F1292">
        <v>2517</v>
      </c>
      <c r="G1292" t="s">
        <v>19</v>
      </c>
      <c r="H1292" t="s">
        <v>23</v>
      </c>
      <c r="I1292" t="s">
        <v>53</v>
      </c>
      <c r="J1292" s="2">
        <f>Table1[[#This Row],[Profit]]/Table1[[#This Row],[Sales]]*100</f>
        <v>18.845462713387242</v>
      </c>
      <c r="K1292" t="str">
        <f>IF(Table1[[#This Row],[Sales]]&gt;=30000,"High", IF(Table1[[#This Row],[Sales]]&gt;=15000,"Medium","Low"))</f>
        <v>Low</v>
      </c>
      <c r="L1292" t="str">
        <f>TEXT(Table1[[#This Row],[Order_Date]],"MMM")</f>
        <v>Nov</v>
      </c>
      <c r="M1292" t="str">
        <f>IF(Table1[[#This Row],[Profit]]&gt;=10000,"Excellent",IF(Table1[[#This Row],[Profit]]&gt;5000,"Good","Low"))</f>
        <v>Low</v>
      </c>
      <c r="N1292" t="str">
        <f>TEXT(Table1[[#This Row],[Order_Date]],"YYYY")</f>
        <v>2024</v>
      </c>
    </row>
    <row r="1293" spans="1:14" x14ac:dyDescent="0.25">
      <c r="A1293" s="1">
        <v>45772</v>
      </c>
      <c r="B1293" t="s">
        <v>44</v>
      </c>
      <c r="C1293" t="s">
        <v>12</v>
      </c>
      <c r="D1293">
        <v>41933</v>
      </c>
      <c r="E1293">
        <v>39476</v>
      </c>
      <c r="F1293">
        <v>2457</v>
      </c>
      <c r="G1293" t="s">
        <v>19</v>
      </c>
      <c r="H1293" t="s">
        <v>28</v>
      </c>
      <c r="I1293" t="s">
        <v>29</v>
      </c>
      <c r="J1293" s="2">
        <f>Table1[[#This Row],[Profit]]/Table1[[#This Row],[Sales]]*100</f>
        <v>5.8593470536331766</v>
      </c>
      <c r="K1293" t="str">
        <f>IF(Table1[[#This Row],[Sales]]&gt;=30000,"High", IF(Table1[[#This Row],[Sales]]&gt;=15000,"Medium","Low"))</f>
        <v>High</v>
      </c>
      <c r="L1293" t="str">
        <f>TEXT(Table1[[#This Row],[Order_Date]],"MMM")</f>
        <v>Apr</v>
      </c>
      <c r="M1293" t="str">
        <f>IF(Table1[[#This Row],[Profit]]&gt;=10000,"Excellent",IF(Table1[[#This Row],[Profit]]&gt;5000,"Good","Low"))</f>
        <v>Low</v>
      </c>
      <c r="N1293" t="str">
        <f>TEXT(Table1[[#This Row],[Order_Date]],"YYYY")</f>
        <v>2025</v>
      </c>
    </row>
    <row r="1294" spans="1:14" x14ac:dyDescent="0.25">
      <c r="A1294" s="1">
        <v>45448</v>
      </c>
      <c r="B1294" t="s">
        <v>44</v>
      </c>
      <c r="C1294" t="s">
        <v>36</v>
      </c>
      <c r="D1294">
        <v>16737</v>
      </c>
      <c r="E1294">
        <v>9609</v>
      </c>
      <c r="F1294">
        <v>7128</v>
      </c>
      <c r="G1294" t="s">
        <v>13</v>
      </c>
      <c r="H1294" t="s">
        <v>28</v>
      </c>
      <c r="I1294" t="s">
        <v>24</v>
      </c>
      <c r="J1294" s="2">
        <f>Table1[[#This Row],[Profit]]/Table1[[#This Row],[Sales]]*100</f>
        <v>42.588277469080481</v>
      </c>
      <c r="K1294" t="str">
        <f>IF(Table1[[#This Row],[Sales]]&gt;=30000,"High", IF(Table1[[#This Row],[Sales]]&gt;=15000,"Medium","Low"))</f>
        <v>Medium</v>
      </c>
      <c r="L1294" t="str">
        <f>TEXT(Table1[[#This Row],[Order_Date]],"MMM")</f>
        <v>Jun</v>
      </c>
      <c r="M1294" t="str">
        <f>IF(Table1[[#This Row],[Profit]]&gt;=10000,"Excellent",IF(Table1[[#This Row],[Profit]]&gt;5000,"Good","Low"))</f>
        <v>Good</v>
      </c>
      <c r="N1294" t="str">
        <f>TEXT(Table1[[#This Row],[Order_Date]],"YYYY")</f>
        <v>2024</v>
      </c>
    </row>
    <row r="1295" spans="1:14" x14ac:dyDescent="0.25">
      <c r="A1295" s="1">
        <v>45258</v>
      </c>
      <c r="B1295" t="s">
        <v>22</v>
      </c>
      <c r="C1295" t="s">
        <v>41</v>
      </c>
      <c r="D1295">
        <v>16664</v>
      </c>
      <c r="E1295">
        <v>10273</v>
      </c>
      <c r="F1295">
        <v>6391</v>
      </c>
      <c r="G1295" t="s">
        <v>13</v>
      </c>
      <c r="H1295" t="s">
        <v>31</v>
      </c>
      <c r="I1295" t="s">
        <v>42</v>
      </c>
      <c r="J1295" s="2">
        <f>Table1[[#This Row],[Profit]]/Table1[[#This Row],[Sales]]*100</f>
        <v>38.352136341814692</v>
      </c>
      <c r="K1295" t="str">
        <f>IF(Table1[[#This Row],[Sales]]&gt;=30000,"High", IF(Table1[[#This Row],[Sales]]&gt;=15000,"Medium","Low"))</f>
        <v>Medium</v>
      </c>
      <c r="L1295" t="str">
        <f>TEXT(Table1[[#This Row],[Order_Date]],"MMM")</f>
        <v>Nov</v>
      </c>
      <c r="M1295" t="str">
        <f>IF(Table1[[#This Row],[Profit]]&gt;=10000,"Excellent",IF(Table1[[#This Row],[Profit]]&gt;5000,"Good","Low"))</f>
        <v>Good</v>
      </c>
      <c r="N1295" t="str">
        <f>TEXT(Table1[[#This Row],[Order_Date]],"YYYY")</f>
        <v>2023</v>
      </c>
    </row>
    <row r="1296" spans="1:14" x14ac:dyDescent="0.25">
      <c r="A1296" s="1">
        <v>45700</v>
      </c>
      <c r="B1296" t="s">
        <v>44</v>
      </c>
      <c r="C1296" t="s">
        <v>36</v>
      </c>
      <c r="D1296">
        <v>31952</v>
      </c>
      <c r="E1296">
        <v>23058</v>
      </c>
      <c r="F1296">
        <v>8894</v>
      </c>
      <c r="G1296" t="s">
        <v>13</v>
      </c>
      <c r="H1296" t="s">
        <v>23</v>
      </c>
      <c r="I1296" t="s">
        <v>15</v>
      </c>
      <c r="J1296" s="2">
        <f>Table1[[#This Row],[Profit]]/Table1[[#This Row],[Sales]]*100</f>
        <v>27.835503254882322</v>
      </c>
      <c r="K1296" t="str">
        <f>IF(Table1[[#This Row],[Sales]]&gt;=30000,"High", IF(Table1[[#This Row],[Sales]]&gt;=15000,"Medium","Low"))</f>
        <v>High</v>
      </c>
      <c r="L1296" t="str">
        <f>TEXT(Table1[[#This Row],[Order_Date]],"MMM")</f>
        <v>Feb</v>
      </c>
      <c r="M1296" t="str">
        <f>IF(Table1[[#This Row],[Profit]]&gt;=10000,"Excellent",IF(Table1[[#This Row],[Profit]]&gt;5000,"Good","Low"))</f>
        <v>Good</v>
      </c>
      <c r="N1296" t="str">
        <f>TEXT(Table1[[#This Row],[Order_Date]],"YYYY")</f>
        <v>2025</v>
      </c>
    </row>
    <row r="1297" spans="1:14" x14ac:dyDescent="0.25">
      <c r="A1297" s="1">
        <v>45465</v>
      </c>
      <c r="B1297" t="s">
        <v>22</v>
      </c>
      <c r="C1297" t="s">
        <v>41</v>
      </c>
      <c r="D1297">
        <v>32610</v>
      </c>
      <c r="E1297">
        <v>18199</v>
      </c>
      <c r="F1297">
        <v>14411</v>
      </c>
      <c r="G1297" t="s">
        <v>38</v>
      </c>
      <c r="H1297" t="s">
        <v>60</v>
      </c>
      <c r="I1297" t="s">
        <v>24</v>
      </c>
      <c r="J1297" s="2">
        <f>Table1[[#This Row],[Profit]]/Table1[[#This Row],[Sales]]*100</f>
        <v>44.191965654707147</v>
      </c>
      <c r="K1297" t="str">
        <f>IF(Table1[[#This Row],[Sales]]&gt;=30000,"High", IF(Table1[[#This Row],[Sales]]&gt;=15000,"Medium","Low"))</f>
        <v>High</v>
      </c>
      <c r="L1297" t="str">
        <f>TEXT(Table1[[#This Row],[Order_Date]],"MMM")</f>
        <v>Jun</v>
      </c>
      <c r="M1297" t="str">
        <f>IF(Table1[[#This Row],[Profit]]&gt;=10000,"Excellent",IF(Table1[[#This Row],[Profit]]&gt;5000,"Good","Low"))</f>
        <v>Excellent</v>
      </c>
      <c r="N1297" t="str">
        <f>TEXT(Table1[[#This Row],[Order_Date]],"YYYY")</f>
        <v>2024</v>
      </c>
    </row>
    <row r="1298" spans="1:14" x14ac:dyDescent="0.25">
      <c r="A1298" s="1">
        <v>45829</v>
      </c>
      <c r="B1298" t="s">
        <v>26</v>
      </c>
      <c r="C1298" t="s">
        <v>18</v>
      </c>
      <c r="D1298">
        <v>16446</v>
      </c>
      <c r="E1298">
        <v>2793</v>
      </c>
      <c r="F1298">
        <v>13653</v>
      </c>
      <c r="G1298" t="s">
        <v>19</v>
      </c>
      <c r="H1298" t="s">
        <v>78</v>
      </c>
      <c r="I1298" t="s">
        <v>24</v>
      </c>
      <c r="J1298" s="2">
        <f>Table1[[#This Row],[Profit]]/Table1[[#This Row],[Sales]]*100</f>
        <v>83.017147026632614</v>
      </c>
      <c r="K1298" t="str">
        <f>IF(Table1[[#This Row],[Sales]]&gt;=30000,"High", IF(Table1[[#This Row],[Sales]]&gt;=15000,"Medium","Low"))</f>
        <v>Medium</v>
      </c>
      <c r="L1298" t="str">
        <f>TEXT(Table1[[#This Row],[Order_Date]],"MMM")</f>
        <v>Jun</v>
      </c>
      <c r="M1298" t="str">
        <f>IF(Table1[[#This Row],[Profit]]&gt;=10000,"Excellent",IF(Table1[[#This Row],[Profit]]&gt;5000,"Good","Low"))</f>
        <v>Excellent</v>
      </c>
      <c r="N1298" t="str">
        <f>TEXT(Table1[[#This Row],[Order_Date]],"YYYY")</f>
        <v>2025</v>
      </c>
    </row>
    <row r="1299" spans="1:14" x14ac:dyDescent="0.25">
      <c r="A1299" s="1">
        <v>45741</v>
      </c>
      <c r="B1299" t="s">
        <v>44</v>
      </c>
      <c r="C1299" t="s">
        <v>33</v>
      </c>
      <c r="D1299">
        <v>8734</v>
      </c>
      <c r="E1299">
        <v>5002</v>
      </c>
      <c r="F1299">
        <v>3732</v>
      </c>
      <c r="G1299" t="s">
        <v>13</v>
      </c>
      <c r="H1299" t="s">
        <v>78</v>
      </c>
      <c r="I1299" t="s">
        <v>29</v>
      </c>
      <c r="J1299" s="2">
        <f>Table1[[#This Row],[Profit]]/Table1[[#This Row],[Sales]]*100</f>
        <v>42.72956262880696</v>
      </c>
      <c r="K1299" t="str">
        <f>IF(Table1[[#This Row],[Sales]]&gt;=30000,"High", IF(Table1[[#This Row],[Sales]]&gt;=15000,"Medium","Low"))</f>
        <v>Low</v>
      </c>
      <c r="L1299" t="str">
        <f>TEXT(Table1[[#This Row],[Order_Date]],"MMM")</f>
        <v>Mar</v>
      </c>
      <c r="M1299" t="str">
        <f>IF(Table1[[#This Row],[Profit]]&gt;=10000,"Excellent",IF(Table1[[#This Row],[Profit]]&gt;5000,"Good","Low"))</f>
        <v>Low</v>
      </c>
      <c r="N1299" t="str">
        <f>TEXT(Table1[[#This Row],[Order_Date]],"YYYY")</f>
        <v>2025</v>
      </c>
    </row>
    <row r="1300" spans="1:14" x14ac:dyDescent="0.25">
      <c r="A1300" s="1">
        <v>45994</v>
      </c>
      <c r="B1300" t="s">
        <v>11</v>
      </c>
      <c r="C1300" t="s">
        <v>33</v>
      </c>
      <c r="D1300">
        <v>11799</v>
      </c>
      <c r="E1300">
        <v>8313</v>
      </c>
      <c r="F1300">
        <v>3486</v>
      </c>
      <c r="G1300" t="s">
        <v>13</v>
      </c>
      <c r="H1300" t="s">
        <v>60</v>
      </c>
      <c r="I1300" t="s">
        <v>24</v>
      </c>
      <c r="J1300" s="2">
        <f>Table1[[#This Row],[Profit]]/Table1[[#This Row],[Sales]]*100</f>
        <v>29.544876684464782</v>
      </c>
      <c r="K1300" t="str">
        <f>IF(Table1[[#This Row],[Sales]]&gt;=30000,"High", IF(Table1[[#This Row],[Sales]]&gt;=15000,"Medium","Low"))</f>
        <v>Low</v>
      </c>
      <c r="L1300" t="str">
        <f>TEXT(Table1[[#This Row],[Order_Date]],"MMM")</f>
        <v>Dec</v>
      </c>
      <c r="M1300" t="str">
        <f>IF(Table1[[#This Row],[Profit]]&gt;=10000,"Excellent",IF(Table1[[#This Row],[Profit]]&gt;5000,"Good","Low"))</f>
        <v>Low</v>
      </c>
      <c r="N1300" t="str">
        <f>TEXT(Table1[[#This Row],[Order_Date]],"YYYY")</f>
        <v>2025</v>
      </c>
    </row>
    <row r="1301" spans="1:14" x14ac:dyDescent="0.25">
      <c r="A1301" s="1">
        <v>45637</v>
      </c>
      <c r="B1301" t="s">
        <v>11</v>
      </c>
      <c r="C1301" t="s">
        <v>33</v>
      </c>
      <c r="D1301">
        <v>15400</v>
      </c>
      <c r="E1301">
        <v>4482</v>
      </c>
      <c r="F1301">
        <v>10918</v>
      </c>
      <c r="G1301" t="s">
        <v>27</v>
      </c>
      <c r="H1301" t="s">
        <v>28</v>
      </c>
      <c r="I1301" t="s">
        <v>24</v>
      </c>
      <c r="J1301" s="2">
        <f>Table1[[#This Row],[Profit]]/Table1[[#This Row],[Sales]]*100</f>
        <v>70.896103896103895</v>
      </c>
      <c r="K1301" t="str">
        <f>IF(Table1[[#This Row],[Sales]]&gt;=30000,"High", IF(Table1[[#This Row],[Sales]]&gt;=15000,"Medium","Low"))</f>
        <v>Medium</v>
      </c>
      <c r="L1301" t="str">
        <f>TEXT(Table1[[#This Row],[Order_Date]],"MMM")</f>
        <v>Dec</v>
      </c>
      <c r="M1301" t="str">
        <f>IF(Table1[[#This Row],[Profit]]&gt;=10000,"Excellent",IF(Table1[[#This Row],[Profit]]&gt;5000,"Good","Low"))</f>
        <v>Excellent</v>
      </c>
      <c r="N1301" t="str">
        <f>TEXT(Table1[[#This Row],[Order_Date]],"YYYY")</f>
        <v>2024</v>
      </c>
    </row>
    <row r="1302" spans="1:14" x14ac:dyDescent="0.25">
      <c r="A1302" s="1">
        <v>45519</v>
      </c>
      <c r="B1302" t="s">
        <v>44</v>
      </c>
      <c r="C1302" t="s">
        <v>18</v>
      </c>
      <c r="D1302">
        <v>41012</v>
      </c>
      <c r="E1302">
        <v>29243</v>
      </c>
      <c r="F1302">
        <v>11769</v>
      </c>
      <c r="G1302" t="s">
        <v>38</v>
      </c>
      <c r="H1302" t="s">
        <v>34</v>
      </c>
      <c r="I1302" t="s">
        <v>53</v>
      </c>
      <c r="J1302" s="2">
        <f>Table1[[#This Row],[Profit]]/Table1[[#This Row],[Sales]]*100</f>
        <v>28.696479079293862</v>
      </c>
      <c r="K1302" t="str">
        <f>IF(Table1[[#This Row],[Sales]]&gt;=30000,"High", IF(Table1[[#This Row],[Sales]]&gt;=15000,"Medium","Low"))</f>
        <v>High</v>
      </c>
      <c r="L1302" t="str">
        <f>TEXT(Table1[[#This Row],[Order_Date]],"MMM")</f>
        <v>Aug</v>
      </c>
      <c r="M1302" t="str">
        <f>IF(Table1[[#This Row],[Profit]]&gt;=10000,"Excellent",IF(Table1[[#This Row],[Profit]]&gt;5000,"Good","Low"))</f>
        <v>Excellent</v>
      </c>
      <c r="N1302" t="str">
        <f>TEXT(Table1[[#This Row],[Order_Date]],"YYYY")</f>
        <v>2024</v>
      </c>
    </row>
    <row r="1303" spans="1:14" x14ac:dyDescent="0.25">
      <c r="A1303" s="1">
        <v>46046</v>
      </c>
      <c r="B1303" t="s">
        <v>17</v>
      </c>
      <c r="C1303" t="s">
        <v>36</v>
      </c>
      <c r="D1303">
        <v>8131</v>
      </c>
      <c r="E1303">
        <v>4687</v>
      </c>
      <c r="F1303">
        <v>3444</v>
      </c>
      <c r="G1303" t="s">
        <v>19</v>
      </c>
      <c r="H1303" t="s">
        <v>34</v>
      </c>
      <c r="I1303" t="s">
        <v>29</v>
      </c>
      <c r="J1303" s="2">
        <f>Table1[[#This Row],[Profit]]/Table1[[#This Row],[Sales]]*100</f>
        <v>42.356413725249048</v>
      </c>
      <c r="K1303" t="str">
        <f>IF(Table1[[#This Row],[Sales]]&gt;=30000,"High", IF(Table1[[#This Row],[Sales]]&gt;=15000,"Medium","Low"))</f>
        <v>Low</v>
      </c>
      <c r="L1303" t="str">
        <f>TEXT(Table1[[#This Row],[Order_Date]],"MMM")</f>
        <v>Jan</v>
      </c>
      <c r="M1303" t="str">
        <f>IF(Table1[[#This Row],[Profit]]&gt;=10000,"Excellent",IF(Table1[[#This Row],[Profit]]&gt;5000,"Good","Low"))</f>
        <v>Low</v>
      </c>
      <c r="N1303" t="str">
        <f>TEXT(Table1[[#This Row],[Order_Date]],"YYYY")</f>
        <v>2026</v>
      </c>
    </row>
    <row r="1304" spans="1:14" x14ac:dyDescent="0.25">
      <c r="A1304" s="1">
        <v>45602</v>
      </c>
      <c r="B1304" t="s">
        <v>22</v>
      </c>
      <c r="C1304" t="s">
        <v>18</v>
      </c>
      <c r="D1304">
        <v>29915</v>
      </c>
      <c r="E1304">
        <v>23573</v>
      </c>
      <c r="F1304">
        <v>6342</v>
      </c>
      <c r="G1304" t="s">
        <v>19</v>
      </c>
      <c r="H1304" t="s">
        <v>14</v>
      </c>
      <c r="I1304" t="s">
        <v>15</v>
      </c>
      <c r="J1304" s="2">
        <f>Table1[[#This Row],[Profit]]/Table1[[#This Row],[Sales]]*100</f>
        <v>21.200066856092263</v>
      </c>
      <c r="K1304" t="str">
        <f>IF(Table1[[#This Row],[Sales]]&gt;=30000,"High", IF(Table1[[#This Row],[Sales]]&gt;=15000,"Medium","Low"))</f>
        <v>Medium</v>
      </c>
      <c r="L1304" t="str">
        <f>TEXT(Table1[[#This Row],[Order_Date]],"MMM")</f>
        <v>Nov</v>
      </c>
      <c r="M1304" t="str">
        <f>IF(Table1[[#This Row],[Profit]]&gt;=10000,"Excellent",IF(Table1[[#This Row],[Profit]]&gt;5000,"Good","Low"))</f>
        <v>Good</v>
      </c>
      <c r="N1304" t="str">
        <f>TEXT(Table1[[#This Row],[Order_Date]],"YYYY")</f>
        <v>2024</v>
      </c>
    </row>
    <row r="1305" spans="1:14" x14ac:dyDescent="0.25">
      <c r="A1305" s="1">
        <v>45280</v>
      </c>
      <c r="B1305" t="s">
        <v>22</v>
      </c>
      <c r="C1305" t="s">
        <v>12</v>
      </c>
      <c r="D1305">
        <v>45292</v>
      </c>
      <c r="E1305">
        <v>25376</v>
      </c>
      <c r="F1305">
        <v>19916</v>
      </c>
      <c r="G1305" t="s">
        <v>13</v>
      </c>
      <c r="H1305" t="s">
        <v>14</v>
      </c>
      <c r="I1305" t="s">
        <v>24</v>
      </c>
      <c r="J1305" s="2">
        <f>Table1[[#This Row],[Profit]]/Table1[[#This Row],[Sales]]*100</f>
        <v>43.972445464982776</v>
      </c>
      <c r="K1305" t="str">
        <f>IF(Table1[[#This Row],[Sales]]&gt;=30000,"High", IF(Table1[[#This Row],[Sales]]&gt;=15000,"Medium","Low"))</f>
        <v>High</v>
      </c>
      <c r="L1305" t="str">
        <f>TEXT(Table1[[#This Row],[Order_Date]],"MMM")</f>
        <v>Dec</v>
      </c>
      <c r="M1305" t="str">
        <f>IF(Table1[[#This Row],[Profit]]&gt;=10000,"Excellent",IF(Table1[[#This Row],[Profit]]&gt;5000,"Good","Low"))</f>
        <v>Excellent</v>
      </c>
      <c r="N1305" t="str">
        <f>TEXT(Table1[[#This Row],[Order_Date]],"YYYY")</f>
        <v>2023</v>
      </c>
    </row>
    <row r="1306" spans="1:14" x14ac:dyDescent="0.25">
      <c r="A1306" s="1">
        <v>45257</v>
      </c>
      <c r="B1306" t="s">
        <v>26</v>
      </c>
      <c r="C1306" t="s">
        <v>33</v>
      </c>
      <c r="D1306">
        <v>22927</v>
      </c>
      <c r="E1306">
        <v>12616</v>
      </c>
      <c r="F1306">
        <v>10311</v>
      </c>
      <c r="G1306" t="s">
        <v>38</v>
      </c>
      <c r="H1306" t="s">
        <v>14</v>
      </c>
      <c r="I1306" t="s">
        <v>15</v>
      </c>
      <c r="J1306" s="2">
        <f>Table1[[#This Row],[Profit]]/Table1[[#This Row],[Sales]]*100</f>
        <v>44.973175731670082</v>
      </c>
      <c r="K1306" t="str">
        <f>IF(Table1[[#This Row],[Sales]]&gt;=30000,"High", IF(Table1[[#This Row],[Sales]]&gt;=15000,"Medium","Low"))</f>
        <v>Medium</v>
      </c>
      <c r="L1306" t="str">
        <f>TEXT(Table1[[#This Row],[Order_Date]],"MMM")</f>
        <v>Nov</v>
      </c>
      <c r="M1306" t="str">
        <f>IF(Table1[[#This Row],[Profit]]&gt;=10000,"Excellent",IF(Table1[[#This Row],[Profit]]&gt;5000,"Good","Low"))</f>
        <v>Excellent</v>
      </c>
      <c r="N1306" t="str">
        <f>TEXT(Table1[[#This Row],[Order_Date]],"YYYY")</f>
        <v>2023</v>
      </c>
    </row>
    <row r="1307" spans="1:14" x14ac:dyDescent="0.25">
      <c r="A1307" s="1">
        <v>45657</v>
      </c>
      <c r="B1307" t="s">
        <v>17</v>
      </c>
      <c r="C1307" t="s">
        <v>33</v>
      </c>
      <c r="D1307">
        <v>5858</v>
      </c>
      <c r="E1307">
        <v>4042</v>
      </c>
      <c r="F1307">
        <v>1816</v>
      </c>
      <c r="G1307" t="s">
        <v>13</v>
      </c>
      <c r="H1307" t="s">
        <v>14</v>
      </c>
      <c r="I1307" t="s">
        <v>15</v>
      </c>
      <c r="J1307" s="2">
        <f>Table1[[#This Row],[Profit]]/Table1[[#This Row],[Sales]]*100</f>
        <v>31.000341413451686</v>
      </c>
      <c r="K1307" t="str">
        <f>IF(Table1[[#This Row],[Sales]]&gt;=30000,"High", IF(Table1[[#This Row],[Sales]]&gt;=15000,"Medium","Low"))</f>
        <v>Low</v>
      </c>
      <c r="L1307" t="str">
        <f>TEXT(Table1[[#This Row],[Order_Date]],"MMM")</f>
        <v>Dec</v>
      </c>
      <c r="M1307" t="str">
        <f>IF(Table1[[#This Row],[Profit]]&gt;=10000,"Excellent",IF(Table1[[#This Row],[Profit]]&gt;5000,"Good","Low"))</f>
        <v>Low</v>
      </c>
      <c r="N1307" t="str">
        <f>TEXT(Table1[[#This Row],[Order_Date]],"YYYY")</f>
        <v>2024</v>
      </c>
    </row>
    <row r="1308" spans="1:14" x14ac:dyDescent="0.25">
      <c r="A1308" s="1">
        <v>45711</v>
      </c>
      <c r="B1308" t="s">
        <v>44</v>
      </c>
      <c r="C1308" t="s">
        <v>41</v>
      </c>
      <c r="D1308">
        <v>20708</v>
      </c>
      <c r="E1308">
        <v>3778</v>
      </c>
      <c r="F1308">
        <v>16930</v>
      </c>
      <c r="G1308" t="s">
        <v>27</v>
      </c>
      <c r="H1308" t="s">
        <v>14</v>
      </c>
      <c r="I1308" t="s">
        <v>53</v>
      </c>
      <c r="J1308" s="2">
        <f>Table1[[#This Row],[Profit]]/Table1[[#This Row],[Sales]]*100</f>
        <v>81.755843152404879</v>
      </c>
      <c r="K1308" t="str">
        <f>IF(Table1[[#This Row],[Sales]]&gt;=30000,"High", IF(Table1[[#This Row],[Sales]]&gt;=15000,"Medium","Low"))</f>
        <v>Medium</v>
      </c>
      <c r="L1308" t="str">
        <f>TEXT(Table1[[#This Row],[Order_Date]],"MMM")</f>
        <v>Feb</v>
      </c>
      <c r="M1308" t="str">
        <f>IF(Table1[[#This Row],[Profit]]&gt;=10000,"Excellent",IF(Table1[[#This Row],[Profit]]&gt;5000,"Good","Low"))</f>
        <v>Excellent</v>
      </c>
      <c r="N1308" t="str">
        <f>TEXT(Table1[[#This Row],[Order_Date]],"YYYY")</f>
        <v>2025</v>
      </c>
    </row>
    <row r="1309" spans="1:14" x14ac:dyDescent="0.25">
      <c r="A1309" s="1">
        <v>45404</v>
      </c>
      <c r="B1309" t="s">
        <v>22</v>
      </c>
      <c r="C1309" t="s">
        <v>41</v>
      </c>
      <c r="D1309">
        <v>46467</v>
      </c>
      <c r="E1309">
        <v>29884</v>
      </c>
      <c r="F1309">
        <v>16583</v>
      </c>
      <c r="G1309" t="s">
        <v>19</v>
      </c>
      <c r="H1309" t="s">
        <v>20</v>
      </c>
      <c r="I1309" t="s">
        <v>24</v>
      </c>
      <c r="J1309" s="2">
        <f>Table1[[#This Row],[Profit]]/Table1[[#This Row],[Sales]]*100</f>
        <v>35.687692340801</v>
      </c>
      <c r="K1309" t="str">
        <f>IF(Table1[[#This Row],[Sales]]&gt;=30000,"High", IF(Table1[[#This Row],[Sales]]&gt;=15000,"Medium","Low"))</f>
        <v>High</v>
      </c>
      <c r="L1309" t="str">
        <f>TEXT(Table1[[#This Row],[Order_Date]],"MMM")</f>
        <v>Apr</v>
      </c>
      <c r="M1309" t="str">
        <f>IF(Table1[[#This Row],[Profit]]&gt;=10000,"Excellent",IF(Table1[[#This Row],[Profit]]&gt;5000,"Good","Low"))</f>
        <v>Excellent</v>
      </c>
      <c r="N1309" t="str">
        <f>TEXT(Table1[[#This Row],[Order_Date]],"YYYY")</f>
        <v>2024</v>
      </c>
    </row>
    <row r="1310" spans="1:14" x14ac:dyDescent="0.25">
      <c r="A1310" s="1">
        <v>45641</v>
      </c>
      <c r="B1310" t="s">
        <v>11</v>
      </c>
      <c r="C1310" t="s">
        <v>41</v>
      </c>
      <c r="D1310">
        <v>22875</v>
      </c>
      <c r="E1310">
        <v>8774</v>
      </c>
      <c r="F1310">
        <v>14101</v>
      </c>
      <c r="G1310" t="s">
        <v>27</v>
      </c>
      <c r="H1310" t="s">
        <v>31</v>
      </c>
      <c r="I1310" t="s">
        <v>53</v>
      </c>
      <c r="J1310" s="2">
        <f>Table1[[#This Row],[Profit]]/Table1[[#This Row],[Sales]]*100</f>
        <v>61.643715846994539</v>
      </c>
      <c r="K1310" t="str">
        <f>IF(Table1[[#This Row],[Sales]]&gt;=30000,"High", IF(Table1[[#This Row],[Sales]]&gt;=15000,"Medium","Low"))</f>
        <v>Medium</v>
      </c>
      <c r="L1310" t="str">
        <f>TEXT(Table1[[#This Row],[Order_Date]],"MMM")</f>
        <v>Dec</v>
      </c>
      <c r="M1310" t="str">
        <f>IF(Table1[[#This Row],[Profit]]&gt;=10000,"Excellent",IF(Table1[[#This Row],[Profit]]&gt;5000,"Good","Low"))</f>
        <v>Excellent</v>
      </c>
      <c r="N1310" t="str">
        <f>TEXT(Table1[[#This Row],[Order_Date]],"YYYY")</f>
        <v>2024</v>
      </c>
    </row>
    <row r="1311" spans="1:14" x14ac:dyDescent="0.25">
      <c r="A1311" s="1">
        <v>45416</v>
      </c>
      <c r="B1311" t="s">
        <v>22</v>
      </c>
      <c r="C1311" t="s">
        <v>36</v>
      </c>
      <c r="D1311">
        <v>36871</v>
      </c>
      <c r="E1311">
        <v>17219</v>
      </c>
      <c r="F1311">
        <v>19652</v>
      </c>
      <c r="G1311" t="s">
        <v>19</v>
      </c>
      <c r="H1311" t="s">
        <v>31</v>
      </c>
      <c r="I1311" t="s">
        <v>53</v>
      </c>
      <c r="J1311" s="2">
        <f>Table1[[#This Row],[Profit]]/Table1[[#This Row],[Sales]]*100</f>
        <v>53.299340945458496</v>
      </c>
      <c r="K1311" t="str">
        <f>IF(Table1[[#This Row],[Sales]]&gt;=30000,"High", IF(Table1[[#This Row],[Sales]]&gt;=15000,"Medium","Low"))</f>
        <v>High</v>
      </c>
      <c r="L1311" t="str">
        <f>TEXT(Table1[[#This Row],[Order_Date]],"MMM")</f>
        <v>May</v>
      </c>
      <c r="M1311" t="str">
        <f>IF(Table1[[#This Row],[Profit]]&gt;=10000,"Excellent",IF(Table1[[#This Row],[Profit]]&gt;5000,"Good","Low"))</f>
        <v>Excellent</v>
      </c>
      <c r="N1311" t="str">
        <f>TEXT(Table1[[#This Row],[Order_Date]],"YYYY")</f>
        <v>2024</v>
      </c>
    </row>
    <row r="1312" spans="1:14" x14ac:dyDescent="0.25">
      <c r="A1312" s="1">
        <v>45693</v>
      </c>
      <c r="B1312" t="s">
        <v>26</v>
      </c>
      <c r="C1312" t="s">
        <v>33</v>
      </c>
      <c r="D1312">
        <v>19478</v>
      </c>
      <c r="E1312">
        <v>1664</v>
      </c>
      <c r="F1312">
        <v>17814</v>
      </c>
      <c r="G1312" t="s">
        <v>13</v>
      </c>
      <c r="H1312" t="s">
        <v>28</v>
      </c>
      <c r="I1312" t="s">
        <v>42</v>
      </c>
      <c r="J1312" s="2">
        <f>Table1[[#This Row],[Profit]]/Table1[[#This Row],[Sales]]*100</f>
        <v>91.457028442345205</v>
      </c>
      <c r="K1312" t="str">
        <f>IF(Table1[[#This Row],[Sales]]&gt;=30000,"High", IF(Table1[[#This Row],[Sales]]&gt;=15000,"Medium","Low"))</f>
        <v>Medium</v>
      </c>
      <c r="L1312" t="str">
        <f>TEXT(Table1[[#This Row],[Order_Date]],"MMM")</f>
        <v>Feb</v>
      </c>
      <c r="M1312" t="str">
        <f>IF(Table1[[#This Row],[Profit]]&gt;=10000,"Excellent",IF(Table1[[#This Row],[Profit]]&gt;5000,"Good","Low"))</f>
        <v>Excellent</v>
      </c>
      <c r="N1312" t="str">
        <f>TEXT(Table1[[#This Row],[Order_Date]],"YYYY")</f>
        <v>2025</v>
      </c>
    </row>
    <row r="1313" spans="1:14" x14ac:dyDescent="0.25">
      <c r="A1313" s="1">
        <v>45220</v>
      </c>
      <c r="B1313" t="s">
        <v>44</v>
      </c>
      <c r="C1313" t="s">
        <v>41</v>
      </c>
      <c r="D1313">
        <v>42839</v>
      </c>
      <c r="E1313">
        <v>25384</v>
      </c>
      <c r="F1313">
        <v>17455</v>
      </c>
      <c r="G1313" t="s">
        <v>13</v>
      </c>
      <c r="H1313" t="s">
        <v>23</v>
      </c>
      <c r="I1313" t="s">
        <v>29</v>
      </c>
      <c r="J1313" s="2">
        <f>Table1[[#This Row],[Profit]]/Table1[[#This Row],[Sales]]*100</f>
        <v>40.745582296505525</v>
      </c>
      <c r="K1313" t="str">
        <f>IF(Table1[[#This Row],[Sales]]&gt;=30000,"High", IF(Table1[[#This Row],[Sales]]&gt;=15000,"Medium","Low"))</f>
        <v>High</v>
      </c>
      <c r="L1313" t="str">
        <f>TEXT(Table1[[#This Row],[Order_Date]],"MMM")</f>
        <v>Oct</v>
      </c>
      <c r="M1313" t="str">
        <f>IF(Table1[[#This Row],[Profit]]&gt;=10000,"Excellent",IF(Table1[[#This Row],[Profit]]&gt;5000,"Good","Low"))</f>
        <v>Excellent</v>
      </c>
      <c r="N1313" t="str">
        <f>TEXT(Table1[[#This Row],[Order_Date]],"YYYY")</f>
        <v>2023</v>
      </c>
    </row>
    <row r="1314" spans="1:14" x14ac:dyDescent="0.25">
      <c r="A1314" s="1">
        <v>45888</v>
      </c>
      <c r="B1314" t="s">
        <v>11</v>
      </c>
      <c r="C1314" t="s">
        <v>36</v>
      </c>
      <c r="D1314">
        <v>11786</v>
      </c>
      <c r="E1314">
        <v>10138</v>
      </c>
      <c r="F1314">
        <v>1648</v>
      </c>
      <c r="G1314" t="s">
        <v>27</v>
      </c>
      <c r="H1314" t="s">
        <v>20</v>
      </c>
      <c r="I1314" t="s">
        <v>42</v>
      </c>
      <c r="J1314" s="2">
        <f>Table1[[#This Row],[Profit]]/Table1[[#This Row],[Sales]]*100</f>
        <v>13.982691328695063</v>
      </c>
      <c r="K1314" t="str">
        <f>IF(Table1[[#This Row],[Sales]]&gt;=30000,"High", IF(Table1[[#This Row],[Sales]]&gt;=15000,"Medium","Low"))</f>
        <v>Low</v>
      </c>
      <c r="L1314" t="str">
        <f>TEXT(Table1[[#This Row],[Order_Date]],"MMM")</f>
        <v>Aug</v>
      </c>
      <c r="M1314" t="str">
        <f>IF(Table1[[#This Row],[Profit]]&gt;=10000,"Excellent",IF(Table1[[#This Row],[Profit]]&gt;5000,"Good","Low"))</f>
        <v>Low</v>
      </c>
      <c r="N1314" t="str">
        <f>TEXT(Table1[[#This Row],[Order_Date]],"YYYY")</f>
        <v>2025</v>
      </c>
    </row>
    <row r="1315" spans="1:14" x14ac:dyDescent="0.25">
      <c r="A1315" s="1">
        <v>46036</v>
      </c>
      <c r="B1315" t="s">
        <v>11</v>
      </c>
      <c r="C1315" t="s">
        <v>18</v>
      </c>
      <c r="D1315">
        <v>32125</v>
      </c>
      <c r="E1315">
        <v>18292</v>
      </c>
      <c r="F1315">
        <v>13833</v>
      </c>
      <c r="G1315" t="s">
        <v>27</v>
      </c>
      <c r="H1315" t="s">
        <v>20</v>
      </c>
      <c r="I1315" t="s">
        <v>42</v>
      </c>
      <c r="J1315" s="2">
        <f>Table1[[#This Row],[Profit]]/Table1[[#This Row],[Sales]]*100</f>
        <v>43.059922178988323</v>
      </c>
      <c r="K1315" t="str">
        <f>IF(Table1[[#This Row],[Sales]]&gt;=30000,"High", IF(Table1[[#This Row],[Sales]]&gt;=15000,"Medium","Low"))</f>
        <v>High</v>
      </c>
      <c r="L1315" t="str">
        <f>TEXT(Table1[[#This Row],[Order_Date]],"MMM")</f>
        <v>Jan</v>
      </c>
      <c r="M1315" t="str">
        <f>IF(Table1[[#This Row],[Profit]]&gt;=10000,"Excellent",IF(Table1[[#This Row],[Profit]]&gt;5000,"Good","Low"))</f>
        <v>Excellent</v>
      </c>
      <c r="N1315" t="str">
        <f>TEXT(Table1[[#This Row],[Order_Date]],"YYYY")</f>
        <v>2026</v>
      </c>
    </row>
    <row r="1316" spans="1:14" x14ac:dyDescent="0.25">
      <c r="A1316" s="1">
        <v>45362</v>
      </c>
      <c r="B1316" t="s">
        <v>22</v>
      </c>
      <c r="C1316" t="s">
        <v>18</v>
      </c>
      <c r="D1316">
        <v>15904</v>
      </c>
      <c r="E1316">
        <v>13851</v>
      </c>
      <c r="F1316">
        <v>2053</v>
      </c>
      <c r="G1316" t="s">
        <v>38</v>
      </c>
      <c r="H1316" t="s">
        <v>45</v>
      </c>
      <c r="I1316" t="s">
        <v>42</v>
      </c>
      <c r="J1316" s="2">
        <f>Table1[[#This Row],[Profit]]/Table1[[#This Row],[Sales]]*100</f>
        <v>12.908702213279676</v>
      </c>
      <c r="K1316" t="str">
        <f>IF(Table1[[#This Row],[Sales]]&gt;=30000,"High", IF(Table1[[#This Row],[Sales]]&gt;=15000,"Medium","Low"))</f>
        <v>Medium</v>
      </c>
      <c r="L1316" t="str">
        <f>TEXT(Table1[[#This Row],[Order_Date]],"MMM")</f>
        <v>Mar</v>
      </c>
      <c r="M1316" t="str">
        <f>IF(Table1[[#This Row],[Profit]]&gt;=10000,"Excellent",IF(Table1[[#This Row],[Profit]]&gt;5000,"Good","Low"))</f>
        <v>Low</v>
      </c>
      <c r="N1316" t="str">
        <f>TEXT(Table1[[#This Row],[Order_Date]],"YYYY")</f>
        <v>2024</v>
      </c>
    </row>
    <row r="1317" spans="1:14" x14ac:dyDescent="0.25">
      <c r="A1317" s="1">
        <v>45898</v>
      </c>
      <c r="B1317" t="s">
        <v>11</v>
      </c>
      <c r="C1317" t="s">
        <v>41</v>
      </c>
      <c r="D1317">
        <v>24853</v>
      </c>
      <c r="E1317">
        <v>8437</v>
      </c>
      <c r="F1317">
        <v>16416</v>
      </c>
      <c r="G1317" t="s">
        <v>19</v>
      </c>
      <c r="H1317" t="s">
        <v>45</v>
      </c>
      <c r="I1317" t="s">
        <v>24</v>
      </c>
      <c r="J1317" s="2">
        <f>Table1[[#This Row],[Profit]]/Table1[[#This Row],[Sales]]*100</f>
        <v>66.052388041685106</v>
      </c>
      <c r="K1317" t="str">
        <f>IF(Table1[[#This Row],[Sales]]&gt;=30000,"High", IF(Table1[[#This Row],[Sales]]&gt;=15000,"Medium","Low"))</f>
        <v>Medium</v>
      </c>
      <c r="L1317" t="str">
        <f>TEXT(Table1[[#This Row],[Order_Date]],"MMM")</f>
        <v>Aug</v>
      </c>
      <c r="M1317" t="str">
        <f>IF(Table1[[#This Row],[Profit]]&gt;=10000,"Excellent",IF(Table1[[#This Row],[Profit]]&gt;5000,"Good","Low"))</f>
        <v>Excellent</v>
      </c>
      <c r="N1317" t="str">
        <f>TEXT(Table1[[#This Row],[Order_Date]],"YYYY")</f>
        <v>2025</v>
      </c>
    </row>
    <row r="1318" spans="1:14" x14ac:dyDescent="0.25">
      <c r="A1318" s="1">
        <v>45474</v>
      </c>
      <c r="B1318" t="s">
        <v>22</v>
      </c>
      <c r="C1318" t="s">
        <v>33</v>
      </c>
      <c r="D1318">
        <v>23364</v>
      </c>
      <c r="E1318">
        <v>15430</v>
      </c>
      <c r="F1318">
        <v>7934</v>
      </c>
      <c r="G1318" t="s">
        <v>27</v>
      </c>
      <c r="H1318" t="s">
        <v>45</v>
      </c>
      <c r="I1318" t="s">
        <v>53</v>
      </c>
      <c r="J1318" s="2">
        <f>Table1[[#This Row],[Profit]]/Table1[[#This Row],[Sales]]*100</f>
        <v>33.958226331107689</v>
      </c>
      <c r="K1318" t="str">
        <f>IF(Table1[[#This Row],[Sales]]&gt;=30000,"High", IF(Table1[[#This Row],[Sales]]&gt;=15000,"Medium","Low"))</f>
        <v>Medium</v>
      </c>
      <c r="L1318" t="str">
        <f>TEXT(Table1[[#This Row],[Order_Date]],"MMM")</f>
        <v>Jul</v>
      </c>
      <c r="M1318" t="str">
        <f>IF(Table1[[#This Row],[Profit]]&gt;=10000,"Excellent",IF(Table1[[#This Row],[Profit]]&gt;5000,"Good","Low"))</f>
        <v>Good</v>
      </c>
      <c r="N1318" t="str">
        <f>TEXT(Table1[[#This Row],[Order_Date]],"YYYY")</f>
        <v>2024</v>
      </c>
    </row>
    <row r="1319" spans="1:14" x14ac:dyDescent="0.25">
      <c r="A1319" s="1">
        <v>45691</v>
      </c>
      <c r="B1319" t="s">
        <v>44</v>
      </c>
      <c r="C1319" t="s">
        <v>36</v>
      </c>
      <c r="D1319">
        <v>30380</v>
      </c>
      <c r="E1319">
        <v>15957</v>
      </c>
      <c r="F1319">
        <v>14423</v>
      </c>
      <c r="G1319" t="s">
        <v>38</v>
      </c>
      <c r="H1319" t="s">
        <v>28</v>
      </c>
      <c r="I1319" t="s">
        <v>53</v>
      </c>
      <c r="J1319" s="2">
        <f>Table1[[#This Row],[Profit]]/Table1[[#This Row],[Sales]]*100</f>
        <v>47.475312705727454</v>
      </c>
      <c r="K1319" t="str">
        <f>IF(Table1[[#This Row],[Sales]]&gt;=30000,"High", IF(Table1[[#This Row],[Sales]]&gt;=15000,"Medium","Low"))</f>
        <v>High</v>
      </c>
      <c r="L1319" t="str">
        <f>TEXT(Table1[[#This Row],[Order_Date]],"MMM")</f>
        <v>Feb</v>
      </c>
      <c r="M1319" t="str">
        <f>IF(Table1[[#This Row],[Profit]]&gt;=10000,"Excellent",IF(Table1[[#This Row],[Profit]]&gt;5000,"Good","Low"))</f>
        <v>Excellent</v>
      </c>
      <c r="N1319" t="str">
        <f>TEXT(Table1[[#This Row],[Order_Date]],"YYYY")</f>
        <v>2025</v>
      </c>
    </row>
    <row r="1320" spans="1:14" x14ac:dyDescent="0.25">
      <c r="A1320" s="1">
        <v>45773</v>
      </c>
      <c r="B1320" t="s">
        <v>17</v>
      </c>
      <c r="C1320" t="s">
        <v>18</v>
      </c>
      <c r="D1320">
        <v>16103</v>
      </c>
      <c r="E1320">
        <v>2828</v>
      </c>
      <c r="F1320">
        <v>13275</v>
      </c>
      <c r="G1320" t="s">
        <v>19</v>
      </c>
      <c r="H1320" t="s">
        <v>78</v>
      </c>
      <c r="I1320" t="s">
        <v>15</v>
      </c>
      <c r="J1320" s="2">
        <f>Table1[[#This Row],[Profit]]/Table1[[#This Row],[Sales]]*100</f>
        <v>82.438055020803574</v>
      </c>
      <c r="K1320" t="str">
        <f>IF(Table1[[#This Row],[Sales]]&gt;=30000,"High", IF(Table1[[#This Row],[Sales]]&gt;=15000,"Medium","Low"))</f>
        <v>Medium</v>
      </c>
      <c r="L1320" t="str">
        <f>TEXT(Table1[[#This Row],[Order_Date]],"MMM")</f>
        <v>Apr</v>
      </c>
      <c r="M1320" t="str">
        <f>IF(Table1[[#This Row],[Profit]]&gt;=10000,"Excellent",IF(Table1[[#This Row],[Profit]]&gt;5000,"Good","Low"))</f>
        <v>Excellent</v>
      </c>
      <c r="N1320" t="str">
        <f>TEXT(Table1[[#This Row],[Order_Date]],"YYYY")</f>
        <v>2025</v>
      </c>
    </row>
    <row r="1321" spans="1:14" x14ac:dyDescent="0.25">
      <c r="A1321" s="1">
        <v>45670</v>
      </c>
      <c r="B1321" t="s">
        <v>44</v>
      </c>
      <c r="C1321" t="s">
        <v>36</v>
      </c>
      <c r="D1321">
        <v>23992</v>
      </c>
      <c r="E1321">
        <v>12926</v>
      </c>
      <c r="F1321">
        <v>11066</v>
      </c>
      <c r="G1321" t="s">
        <v>13</v>
      </c>
      <c r="H1321" t="s">
        <v>28</v>
      </c>
      <c r="I1321" t="s">
        <v>15</v>
      </c>
      <c r="J1321" s="2">
        <f>Table1[[#This Row],[Profit]]/Table1[[#This Row],[Sales]]*100</f>
        <v>46.123707902634209</v>
      </c>
      <c r="K1321" t="str">
        <f>IF(Table1[[#This Row],[Sales]]&gt;=30000,"High", IF(Table1[[#This Row],[Sales]]&gt;=15000,"Medium","Low"))</f>
        <v>Medium</v>
      </c>
      <c r="L1321" t="str">
        <f>TEXT(Table1[[#This Row],[Order_Date]],"MMM")</f>
        <v>Jan</v>
      </c>
      <c r="M1321" t="str">
        <f>IF(Table1[[#This Row],[Profit]]&gt;=10000,"Excellent",IF(Table1[[#This Row],[Profit]]&gt;5000,"Good","Low"))</f>
        <v>Excellent</v>
      </c>
      <c r="N1321" t="str">
        <f>TEXT(Table1[[#This Row],[Order_Date]],"YYYY")</f>
        <v>2025</v>
      </c>
    </row>
    <row r="1322" spans="1:14" x14ac:dyDescent="0.25">
      <c r="A1322" s="1">
        <v>45318</v>
      </c>
      <c r="B1322" t="s">
        <v>44</v>
      </c>
      <c r="C1322" t="s">
        <v>41</v>
      </c>
      <c r="D1322">
        <v>49392</v>
      </c>
      <c r="E1322">
        <v>33041</v>
      </c>
      <c r="F1322">
        <v>16351</v>
      </c>
      <c r="G1322" t="s">
        <v>27</v>
      </c>
      <c r="H1322" t="s">
        <v>34</v>
      </c>
      <c r="I1322" t="s">
        <v>24</v>
      </c>
      <c r="J1322" s="2">
        <f>Table1[[#This Row],[Profit]]/Table1[[#This Row],[Sales]]*100</f>
        <v>33.104551344347257</v>
      </c>
      <c r="K1322" t="str">
        <f>IF(Table1[[#This Row],[Sales]]&gt;=30000,"High", IF(Table1[[#This Row],[Sales]]&gt;=15000,"Medium","Low"))</f>
        <v>High</v>
      </c>
      <c r="L1322" t="str">
        <f>TEXT(Table1[[#This Row],[Order_Date]],"MMM")</f>
        <v>Jan</v>
      </c>
      <c r="M1322" t="str">
        <f>IF(Table1[[#This Row],[Profit]]&gt;=10000,"Excellent",IF(Table1[[#This Row],[Profit]]&gt;5000,"Good","Low"))</f>
        <v>Excellent</v>
      </c>
      <c r="N1322" t="str">
        <f>TEXT(Table1[[#This Row],[Order_Date]],"YYYY")</f>
        <v>2024</v>
      </c>
    </row>
    <row r="1323" spans="1:14" x14ac:dyDescent="0.25">
      <c r="A1323" s="1">
        <v>45430</v>
      </c>
      <c r="B1323" t="s">
        <v>17</v>
      </c>
      <c r="C1323" t="s">
        <v>33</v>
      </c>
      <c r="D1323">
        <v>39047</v>
      </c>
      <c r="E1323">
        <v>24218</v>
      </c>
      <c r="F1323">
        <v>14829</v>
      </c>
      <c r="G1323" t="s">
        <v>19</v>
      </c>
      <c r="H1323" t="s">
        <v>78</v>
      </c>
      <c r="I1323" t="s">
        <v>53</v>
      </c>
      <c r="J1323" s="2">
        <f>Table1[[#This Row],[Profit]]/Table1[[#This Row],[Sales]]*100</f>
        <v>37.977309396368483</v>
      </c>
      <c r="K1323" t="str">
        <f>IF(Table1[[#This Row],[Sales]]&gt;=30000,"High", IF(Table1[[#This Row],[Sales]]&gt;=15000,"Medium","Low"))</f>
        <v>High</v>
      </c>
      <c r="L1323" t="str">
        <f>TEXT(Table1[[#This Row],[Order_Date]],"MMM")</f>
        <v>May</v>
      </c>
      <c r="M1323" t="str">
        <f>IF(Table1[[#This Row],[Profit]]&gt;=10000,"Excellent",IF(Table1[[#This Row],[Profit]]&gt;5000,"Good","Low"))</f>
        <v>Excellent</v>
      </c>
      <c r="N1323" t="str">
        <f>TEXT(Table1[[#This Row],[Order_Date]],"YYYY")</f>
        <v>2024</v>
      </c>
    </row>
    <row r="1324" spans="1:14" x14ac:dyDescent="0.25">
      <c r="A1324" s="1">
        <v>45840</v>
      </c>
      <c r="B1324" t="s">
        <v>44</v>
      </c>
      <c r="C1324" t="s">
        <v>41</v>
      </c>
      <c r="D1324">
        <v>36633</v>
      </c>
      <c r="E1324">
        <v>19017</v>
      </c>
      <c r="F1324">
        <v>17616</v>
      </c>
      <c r="G1324" t="s">
        <v>13</v>
      </c>
      <c r="H1324" t="s">
        <v>28</v>
      </c>
      <c r="I1324" t="s">
        <v>53</v>
      </c>
      <c r="J1324" s="2">
        <f>Table1[[#This Row],[Profit]]/Table1[[#This Row],[Sales]]*100</f>
        <v>48.087789697813449</v>
      </c>
      <c r="K1324" t="str">
        <f>IF(Table1[[#This Row],[Sales]]&gt;=30000,"High", IF(Table1[[#This Row],[Sales]]&gt;=15000,"Medium","Low"))</f>
        <v>High</v>
      </c>
      <c r="L1324" t="str">
        <f>TEXT(Table1[[#This Row],[Order_Date]],"MMM")</f>
        <v>Jul</v>
      </c>
      <c r="M1324" t="str">
        <f>IF(Table1[[#This Row],[Profit]]&gt;=10000,"Excellent",IF(Table1[[#This Row],[Profit]]&gt;5000,"Good","Low"))</f>
        <v>Excellent</v>
      </c>
      <c r="N1324" t="str">
        <f>TEXT(Table1[[#This Row],[Order_Date]],"YYYY")</f>
        <v>2025</v>
      </c>
    </row>
    <row r="1325" spans="1:14" x14ac:dyDescent="0.25">
      <c r="A1325" s="1">
        <v>45684</v>
      </c>
      <c r="B1325" t="s">
        <v>17</v>
      </c>
      <c r="C1325" t="s">
        <v>36</v>
      </c>
      <c r="D1325">
        <v>29556</v>
      </c>
      <c r="E1325">
        <v>22770</v>
      </c>
      <c r="F1325">
        <v>6786</v>
      </c>
      <c r="G1325" t="s">
        <v>13</v>
      </c>
      <c r="H1325" t="s">
        <v>45</v>
      </c>
      <c r="I1325" t="s">
        <v>53</v>
      </c>
      <c r="J1325" s="2">
        <f>Table1[[#This Row],[Profit]]/Table1[[#This Row],[Sales]]*100</f>
        <v>22.959805115712545</v>
      </c>
      <c r="K1325" t="str">
        <f>IF(Table1[[#This Row],[Sales]]&gt;=30000,"High", IF(Table1[[#This Row],[Sales]]&gt;=15000,"Medium","Low"))</f>
        <v>Medium</v>
      </c>
      <c r="L1325" t="str">
        <f>TEXT(Table1[[#This Row],[Order_Date]],"MMM")</f>
        <v>Jan</v>
      </c>
      <c r="M1325" t="str">
        <f>IF(Table1[[#This Row],[Profit]]&gt;=10000,"Excellent",IF(Table1[[#This Row],[Profit]]&gt;5000,"Good","Low"))</f>
        <v>Good</v>
      </c>
      <c r="N1325" t="str">
        <f>TEXT(Table1[[#This Row],[Order_Date]],"YYYY")</f>
        <v>2025</v>
      </c>
    </row>
    <row r="1326" spans="1:14" x14ac:dyDescent="0.25">
      <c r="A1326" s="1">
        <v>45497</v>
      </c>
      <c r="B1326" t="s">
        <v>17</v>
      </c>
      <c r="C1326" t="s">
        <v>33</v>
      </c>
      <c r="D1326">
        <v>43814</v>
      </c>
      <c r="E1326">
        <v>35614</v>
      </c>
      <c r="F1326">
        <v>8200</v>
      </c>
      <c r="G1326" t="s">
        <v>27</v>
      </c>
      <c r="H1326" t="s">
        <v>31</v>
      </c>
      <c r="I1326" t="s">
        <v>15</v>
      </c>
      <c r="J1326" s="2">
        <f>Table1[[#This Row],[Profit]]/Table1[[#This Row],[Sales]]*100</f>
        <v>18.715479070616698</v>
      </c>
      <c r="K1326" t="str">
        <f>IF(Table1[[#This Row],[Sales]]&gt;=30000,"High", IF(Table1[[#This Row],[Sales]]&gt;=15000,"Medium","Low"))</f>
        <v>High</v>
      </c>
      <c r="L1326" t="str">
        <f>TEXT(Table1[[#This Row],[Order_Date]],"MMM")</f>
        <v>Jul</v>
      </c>
      <c r="M1326" t="str">
        <f>IF(Table1[[#This Row],[Profit]]&gt;=10000,"Excellent",IF(Table1[[#This Row],[Profit]]&gt;5000,"Good","Low"))</f>
        <v>Good</v>
      </c>
      <c r="N1326" t="str">
        <f>TEXT(Table1[[#This Row],[Order_Date]],"YYYY")</f>
        <v>2024</v>
      </c>
    </row>
    <row r="1327" spans="1:14" x14ac:dyDescent="0.25">
      <c r="A1327" s="1">
        <v>45346</v>
      </c>
      <c r="B1327" t="s">
        <v>22</v>
      </c>
      <c r="C1327" t="s">
        <v>41</v>
      </c>
      <c r="D1327">
        <v>22711</v>
      </c>
      <c r="E1327">
        <v>7491</v>
      </c>
      <c r="F1327">
        <v>15220</v>
      </c>
      <c r="G1327" t="s">
        <v>13</v>
      </c>
      <c r="H1327" t="s">
        <v>31</v>
      </c>
      <c r="I1327" t="s">
        <v>15</v>
      </c>
      <c r="J1327" s="2">
        <f>Table1[[#This Row],[Profit]]/Table1[[#This Row],[Sales]]*100</f>
        <v>67.015983444146016</v>
      </c>
      <c r="K1327" t="str">
        <f>IF(Table1[[#This Row],[Sales]]&gt;=30000,"High", IF(Table1[[#This Row],[Sales]]&gt;=15000,"Medium","Low"))</f>
        <v>Medium</v>
      </c>
      <c r="L1327" t="str">
        <f>TEXT(Table1[[#This Row],[Order_Date]],"MMM")</f>
        <v>Feb</v>
      </c>
      <c r="M1327" t="str">
        <f>IF(Table1[[#This Row],[Profit]]&gt;=10000,"Excellent",IF(Table1[[#This Row],[Profit]]&gt;5000,"Good","Low"))</f>
        <v>Excellent</v>
      </c>
      <c r="N1327" t="str">
        <f>TEXT(Table1[[#This Row],[Order_Date]],"YYYY")</f>
        <v>2024</v>
      </c>
    </row>
    <row r="1328" spans="1:14" x14ac:dyDescent="0.25">
      <c r="A1328" s="1">
        <v>46153</v>
      </c>
      <c r="B1328" t="s">
        <v>44</v>
      </c>
      <c r="C1328" t="s">
        <v>33</v>
      </c>
      <c r="D1328">
        <v>28438</v>
      </c>
      <c r="E1328">
        <v>18393</v>
      </c>
      <c r="F1328">
        <v>10045</v>
      </c>
      <c r="G1328" t="s">
        <v>13</v>
      </c>
      <c r="H1328" t="s">
        <v>28</v>
      </c>
      <c r="I1328" t="s">
        <v>15</v>
      </c>
      <c r="J1328" s="2">
        <f>Table1[[#This Row],[Profit]]/Table1[[#This Row],[Sales]]*100</f>
        <v>35.322455868907795</v>
      </c>
      <c r="K1328" t="str">
        <f>IF(Table1[[#This Row],[Sales]]&gt;=30000,"High", IF(Table1[[#This Row],[Sales]]&gt;=15000,"Medium","Low"))</f>
        <v>Medium</v>
      </c>
      <c r="L1328" t="str">
        <f>TEXT(Table1[[#This Row],[Order_Date]],"MMM")</f>
        <v>May</v>
      </c>
      <c r="M1328" t="str">
        <f>IF(Table1[[#This Row],[Profit]]&gt;=10000,"Excellent",IF(Table1[[#This Row],[Profit]]&gt;5000,"Good","Low"))</f>
        <v>Excellent</v>
      </c>
      <c r="N1328" t="str">
        <f>TEXT(Table1[[#This Row],[Order_Date]],"YYYY")</f>
        <v>2026</v>
      </c>
    </row>
    <row r="1329" spans="1:14" x14ac:dyDescent="0.25">
      <c r="A1329" s="1">
        <v>45676</v>
      </c>
      <c r="B1329" t="s">
        <v>11</v>
      </c>
      <c r="C1329" t="s">
        <v>41</v>
      </c>
      <c r="D1329">
        <v>34170</v>
      </c>
      <c r="E1329">
        <v>26168</v>
      </c>
      <c r="F1329">
        <v>8002</v>
      </c>
      <c r="G1329" t="s">
        <v>19</v>
      </c>
      <c r="H1329" t="s">
        <v>31</v>
      </c>
      <c r="I1329" t="s">
        <v>24</v>
      </c>
      <c r="J1329" s="2">
        <f>Table1[[#This Row],[Profit]]/Table1[[#This Row],[Sales]]*100</f>
        <v>23.418203102136374</v>
      </c>
      <c r="K1329" t="str">
        <f>IF(Table1[[#This Row],[Sales]]&gt;=30000,"High", IF(Table1[[#This Row],[Sales]]&gt;=15000,"Medium","Low"))</f>
        <v>High</v>
      </c>
      <c r="L1329" t="str">
        <f>TEXT(Table1[[#This Row],[Order_Date]],"MMM")</f>
        <v>Jan</v>
      </c>
      <c r="M1329" t="str">
        <f>IF(Table1[[#This Row],[Profit]]&gt;=10000,"Excellent",IF(Table1[[#This Row],[Profit]]&gt;5000,"Good","Low"))</f>
        <v>Good</v>
      </c>
      <c r="N1329" t="str">
        <f>TEXT(Table1[[#This Row],[Order_Date]],"YYYY")</f>
        <v>2025</v>
      </c>
    </row>
    <row r="1330" spans="1:14" x14ac:dyDescent="0.25">
      <c r="A1330" s="1">
        <v>45167</v>
      </c>
      <c r="B1330" t="s">
        <v>17</v>
      </c>
      <c r="C1330" t="s">
        <v>33</v>
      </c>
      <c r="D1330">
        <v>27822</v>
      </c>
      <c r="E1330">
        <v>24176</v>
      </c>
      <c r="F1330">
        <v>3646</v>
      </c>
      <c r="G1330" t="s">
        <v>38</v>
      </c>
      <c r="H1330" t="s">
        <v>31</v>
      </c>
      <c r="I1330" t="s">
        <v>24</v>
      </c>
      <c r="J1330" s="2">
        <f>Table1[[#This Row],[Profit]]/Table1[[#This Row],[Sales]]*100</f>
        <v>13.104737258284811</v>
      </c>
      <c r="K1330" t="str">
        <f>IF(Table1[[#This Row],[Sales]]&gt;=30000,"High", IF(Table1[[#This Row],[Sales]]&gt;=15000,"Medium","Low"))</f>
        <v>Medium</v>
      </c>
      <c r="L1330" t="str">
        <f>TEXT(Table1[[#This Row],[Order_Date]],"MMM")</f>
        <v>Aug</v>
      </c>
      <c r="M1330" t="str">
        <f>IF(Table1[[#This Row],[Profit]]&gt;=10000,"Excellent",IF(Table1[[#This Row],[Profit]]&gt;5000,"Good","Low"))</f>
        <v>Low</v>
      </c>
      <c r="N1330" t="str">
        <f>TEXT(Table1[[#This Row],[Order_Date]],"YYYY")</f>
        <v>2023</v>
      </c>
    </row>
    <row r="1331" spans="1:14" x14ac:dyDescent="0.25">
      <c r="A1331" s="1">
        <v>45549</v>
      </c>
      <c r="B1331" t="s">
        <v>22</v>
      </c>
      <c r="C1331" t="s">
        <v>36</v>
      </c>
      <c r="D1331">
        <v>27490</v>
      </c>
      <c r="E1331">
        <v>19211</v>
      </c>
      <c r="F1331">
        <v>8279</v>
      </c>
      <c r="G1331" t="s">
        <v>13</v>
      </c>
      <c r="H1331" t="s">
        <v>28</v>
      </c>
      <c r="I1331" t="s">
        <v>15</v>
      </c>
      <c r="J1331" s="2">
        <f>Table1[[#This Row],[Profit]]/Table1[[#This Row],[Sales]]*100</f>
        <v>30.116405965805747</v>
      </c>
      <c r="K1331" t="str">
        <f>IF(Table1[[#This Row],[Sales]]&gt;=30000,"High", IF(Table1[[#This Row],[Sales]]&gt;=15000,"Medium","Low"))</f>
        <v>Medium</v>
      </c>
      <c r="L1331" t="str">
        <f>TEXT(Table1[[#This Row],[Order_Date]],"MMM")</f>
        <v>Sep</v>
      </c>
      <c r="M1331" t="str">
        <f>IF(Table1[[#This Row],[Profit]]&gt;=10000,"Excellent",IF(Table1[[#This Row],[Profit]]&gt;5000,"Good","Low"))</f>
        <v>Good</v>
      </c>
      <c r="N1331" t="str">
        <f>TEXT(Table1[[#This Row],[Order_Date]],"YYYY")</f>
        <v>2024</v>
      </c>
    </row>
    <row r="1332" spans="1:14" x14ac:dyDescent="0.25">
      <c r="A1332" s="1">
        <v>46051</v>
      </c>
      <c r="B1332" t="s">
        <v>11</v>
      </c>
      <c r="C1332" t="s">
        <v>33</v>
      </c>
      <c r="D1332">
        <v>20281</v>
      </c>
      <c r="E1332">
        <v>16052</v>
      </c>
      <c r="F1332">
        <v>4229</v>
      </c>
      <c r="G1332" t="s">
        <v>38</v>
      </c>
      <c r="H1332" t="s">
        <v>31</v>
      </c>
      <c r="I1332" t="s">
        <v>24</v>
      </c>
      <c r="J1332" s="2">
        <f>Table1[[#This Row],[Profit]]/Table1[[#This Row],[Sales]]*100</f>
        <v>20.852028992653221</v>
      </c>
      <c r="K1332" t="str">
        <f>IF(Table1[[#This Row],[Sales]]&gt;=30000,"High", IF(Table1[[#This Row],[Sales]]&gt;=15000,"Medium","Low"))</f>
        <v>Medium</v>
      </c>
      <c r="L1332" t="str">
        <f>TEXT(Table1[[#This Row],[Order_Date]],"MMM")</f>
        <v>Jan</v>
      </c>
      <c r="M1332" t="str">
        <f>IF(Table1[[#This Row],[Profit]]&gt;=10000,"Excellent",IF(Table1[[#This Row],[Profit]]&gt;5000,"Good","Low"))</f>
        <v>Low</v>
      </c>
      <c r="N1332" t="str">
        <f>TEXT(Table1[[#This Row],[Order_Date]],"YYYY")</f>
        <v>2026</v>
      </c>
    </row>
    <row r="1333" spans="1:14" x14ac:dyDescent="0.25">
      <c r="A1333" s="1">
        <v>46064</v>
      </c>
      <c r="B1333" t="s">
        <v>17</v>
      </c>
      <c r="C1333" t="s">
        <v>41</v>
      </c>
      <c r="D1333">
        <v>12128</v>
      </c>
      <c r="E1333">
        <v>4625</v>
      </c>
      <c r="F1333">
        <v>7503</v>
      </c>
      <c r="G1333" t="s">
        <v>19</v>
      </c>
      <c r="H1333" t="s">
        <v>23</v>
      </c>
      <c r="I1333" t="s">
        <v>24</v>
      </c>
      <c r="J1333" s="2">
        <f>Table1[[#This Row],[Profit]]/Table1[[#This Row],[Sales]]*100</f>
        <v>61.865105540897105</v>
      </c>
      <c r="K1333" t="str">
        <f>IF(Table1[[#This Row],[Sales]]&gt;=30000,"High", IF(Table1[[#This Row],[Sales]]&gt;=15000,"Medium","Low"))</f>
        <v>Low</v>
      </c>
      <c r="L1333" t="str">
        <f>TEXT(Table1[[#This Row],[Order_Date]],"MMM")</f>
        <v>Feb</v>
      </c>
      <c r="M1333" t="str">
        <f>IF(Table1[[#This Row],[Profit]]&gt;=10000,"Excellent",IF(Table1[[#This Row],[Profit]]&gt;5000,"Good","Low"))</f>
        <v>Good</v>
      </c>
      <c r="N1333" t="str">
        <f>TEXT(Table1[[#This Row],[Order_Date]],"YYYY")</f>
        <v>2026</v>
      </c>
    </row>
    <row r="1334" spans="1:14" x14ac:dyDescent="0.25">
      <c r="A1334" s="1">
        <v>45299</v>
      </c>
      <c r="B1334" t="s">
        <v>17</v>
      </c>
      <c r="C1334" t="s">
        <v>36</v>
      </c>
      <c r="D1334">
        <v>31322</v>
      </c>
      <c r="E1334">
        <v>25289</v>
      </c>
      <c r="F1334">
        <v>6033</v>
      </c>
      <c r="G1334" t="s">
        <v>38</v>
      </c>
      <c r="H1334" t="s">
        <v>28</v>
      </c>
      <c r="I1334" t="s">
        <v>42</v>
      </c>
      <c r="J1334" s="2">
        <f>Table1[[#This Row],[Profit]]/Table1[[#This Row],[Sales]]*100</f>
        <v>19.261222144179811</v>
      </c>
      <c r="K1334" t="str">
        <f>IF(Table1[[#This Row],[Sales]]&gt;=30000,"High", IF(Table1[[#This Row],[Sales]]&gt;=15000,"Medium","Low"))</f>
        <v>High</v>
      </c>
      <c r="L1334" t="str">
        <f>TEXT(Table1[[#This Row],[Order_Date]],"MMM")</f>
        <v>Jan</v>
      </c>
      <c r="M1334" t="str">
        <f>IF(Table1[[#This Row],[Profit]]&gt;=10000,"Excellent",IF(Table1[[#This Row],[Profit]]&gt;5000,"Good","Low"))</f>
        <v>Good</v>
      </c>
      <c r="N1334" t="str">
        <f>TEXT(Table1[[#This Row],[Order_Date]],"YYYY")</f>
        <v>2024</v>
      </c>
    </row>
    <row r="1335" spans="1:14" x14ac:dyDescent="0.25">
      <c r="A1335" s="1">
        <v>45248</v>
      </c>
      <c r="B1335" t="s">
        <v>17</v>
      </c>
      <c r="C1335" t="s">
        <v>18</v>
      </c>
      <c r="D1335">
        <v>14378</v>
      </c>
      <c r="E1335">
        <v>9696</v>
      </c>
      <c r="F1335">
        <v>4682</v>
      </c>
      <c r="G1335" t="s">
        <v>13</v>
      </c>
      <c r="H1335" t="s">
        <v>78</v>
      </c>
      <c r="I1335" t="s">
        <v>42</v>
      </c>
      <c r="J1335" s="2">
        <f>Table1[[#This Row],[Profit]]/Table1[[#This Row],[Sales]]*100</f>
        <v>32.563638892752813</v>
      </c>
      <c r="K1335" t="str">
        <f>IF(Table1[[#This Row],[Sales]]&gt;=30000,"High", IF(Table1[[#This Row],[Sales]]&gt;=15000,"Medium","Low"))</f>
        <v>Low</v>
      </c>
      <c r="L1335" t="str">
        <f>TEXT(Table1[[#This Row],[Order_Date]],"MMM")</f>
        <v>Nov</v>
      </c>
      <c r="M1335" t="str">
        <f>IF(Table1[[#This Row],[Profit]]&gt;=10000,"Excellent",IF(Table1[[#This Row],[Profit]]&gt;5000,"Good","Low"))</f>
        <v>Low</v>
      </c>
      <c r="N1335" t="str">
        <f>TEXT(Table1[[#This Row],[Order_Date]],"YYYY")</f>
        <v>2023</v>
      </c>
    </row>
    <row r="1336" spans="1:14" x14ac:dyDescent="0.25">
      <c r="A1336" s="1">
        <v>45155</v>
      </c>
      <c r="B1336" t="s">
        <v>26</v>
      </c>
      <c r="C1336" t="s">
        <v>33</v>
      </c>
      <c r="D1336">
        <v>33132</v>
      </c>
      <c r="E1336">
        <v>26822</v>
      </c>
      <c r="F1336">
        <v>6310</v>
      </c>
      <c r="G1336" t="s">
        <v>19</v>
      </c>
      <c r="H1336" t="s">
        <v>78</v>
      </c>
      <c r="I1336" t="s">
        <v>15</v>
      </c>
      <c r="J1336" s="2">
        <f>Table1[[#This Row],[Profit]]/Table1[[#This Row],[Sales]]*100</f>
        <v>19.045031993239164</v>
      </c>
      <c r="K1336" t="str">
        <f>IF(Table1[[#This Row],[Sales]]&gt;=30000,"High", IF(Table1[[#This Row],[Sales]]&gt;=15000,"Medium","Low"))</f>
        <v>High</v>
      </c>
      <c r="L1336" t="str">
        <f>TEXT(Table1[[#This Row],[Order_Date]],"MMM")</f>
        <v>Aug</v>
      </c>
      <c r="M1336" t="str">
        <f>IF(Table1[[#This Row],[Profit]]&gt;=10000,"Excellent",IF(Table1[[#This Row],[Profit]]&gt;5000,"Good","Low"))</f>
        <v>Good</v>
      </c>
      <c r="N1336" t="str">
        <f>TEXT(Table1[[#This Row],[Order_Date]],"YYYY")</f>
        <v>2023</v>
      </c>
    </row>
    <row r="1337" spans="1:14" x14ac:dyDescent="0.25">
      <c r="A1337" s="1">
        <v>46158</v>
      </c>
      <c r="B1337" t="s">
        <v>26</v>
      </c>
      <c r="C1337" t="s">
        <v>41</v>
      </c>
      <c r="D1337">
        <v>35829</v>
      </c>
      <c r="E1337">
        <v>24093</v>
      </c>
      <c r="F1337">
        <v>11736</v>
      </c>
      <c r="G1337" t="s">
        <v>38</v>
      </c>
      <c r="H1337" t="s">
        <v>28</v>
      </c>
      <c r="I1337" t="s">
        <v>15</v>
      </c>
      <c r="J1337" s="2">
        <f>Table1[[#This Row],[Profit]]/Table1[[#This Row],[Sales]]*100</f>
        <v>32.755589047977892</v>
      </c>
      <c r="K1337" t="str">
        <f>IF(Table1[[#This Row],[Sales]]&gt;=30000,"High", IF(Table1[[#This Row],[Sales]]&gt;=15000,"Medium","Low"))</f>
        <v>High</v>
      </c>
      <c r="L1337" t="str">
        <f>TEXT(Table1[[#This Row],[Order_Date]],"MMM")</f>
        <v>May</v>
      </c>
      <c r="M1337" t="str">
        <f>IF(Table1[[#This Row],[Profit]]&gt;=10000,"Excellent",IF(Table1[[#This Row],[Profit]]&gt;5000,"Good","Low"))</f>
        <v>Excellent</v>
      </c>
      <c r="N1337" t="str">
        <f>TEXT(Table1[[#This Row],[Order_Date]],"YYYY")</f>
        <v>2026</v>
      </c>
    </row>
    <row r="1338" spans="1:14" x14ac:dyDescent="0.25">
      <c r="A1338" s="1">
        <v>45142</v>
      </c>
      <c r="B1338" t="s">
        <v>11</v>
      </c>
      <c r="C1338" t="s">
        <v>41</v>
      </c>
      <c r="D1338">
        <v>14974</v>
      </c>
      <c r="E1338">
        <v>922</v>
      </c>
      <c r="F1338">
        <v>14052</v>
      </c>
      <c r="G1338" t="s">
        <v>38</v>
      </c>
      <c r="H1338" t="s">
        <v>28</v>
      </c>
      <c r="I1338" t="s">
        <v>53</v>
      </c>
      <c r="J1338" s="2">
        <f>Table1[[#This Row],[Profit]]/Table1[[#This Row],[Sales]]*100</f>
        <v>93.842660611726984</v>
      </c>
      <c r="K1338" t="str">
        <f>IF(Table1[[#This Row],[Sales]]&gt;=30000,"High", IF(Table1[[#This Row],[Sales]]&gt;=15000,"Medium","Low"))</f>
        <v>Low</v>
      </c>
      <c r="L1338" t="str">
        <f>TEXT(Table1[[#This Row],[Order_Date]],"MMM")</f>
        <v>Aug</v>
      </c>
      <c r="M1338" t="str">
        <f>IF(Table1[[#This Row],[Profit]]&gt;=10000,"Excellent",IF(Table1[[#This Row],[Profit]]&gt;5000,"Good","Low"))</f>
        <v>Excellent</v>
      </c>
      <c r="N1338" t="str">
        <f>TEXT(Table1[[#This Row],[Order_Date]],"YYYY")</f>
        <v>2023</v>
      </c>
    </row>
    <row r="1339" spans="1:14" x14ac:dyDescent="0.25">
      <c r="A1339" s="1">
        <v>45287</v>
      </c>
      <c r="B1339" t="s">
        <v>26</v>
      </c>
      <c r="C1339" t="s">
        <v>18</v>
      </c>
      <c r="D1339">
        <v>17103</v>
      </c>
      <c r="E1339">
        <v>1086</v>
      </c>
      <c r="F1339">
        <v>16017</v>
      </c>
      <c r="G1339" t="s">
        <v>13</v>
      </c>
      <c r="H1339" t="s">
        <v>60</v>
      </c>
      <c r="I1339" t="s">
        <v>29</v>
      </c>
      <c r="J1339" s="2">
        <f>Table1[[#This Row],[Profit]]/Table1[[#This Row],[Sales]]*100</f>
        <v>93.650236800561302</v>
      </c>
      <c r="K1339" t="str">
        <f>IF(Table1[[#This Row],[Sales]]&gt;=30000,"High", IF(Table1[[#This Row],[Sales]]&gt;=15000,"Medium","Low"))</f>
        <v>Medium</v>
      </c>
      <c r="L1339" t="str">
        <f>TEXT(Table1[[#This Row],[Order_Date]],"MMM")</f>
        <v>Dec</v>
      </c>
      <c r="M1339" t="str">
        <f>IF(Table1[[#This Row],[Profit]]&gt;=10000,"Excellent",IF(Table1[[#This Row],[Profit]]&gt;5000,"Good","Low"))</f>
        <v>Excellent</v>
      </c>
      <c r="N1339" t="str">
        <f>TEXT(Table1[[#This Row],[Order_Date]],"YYYY")</f>
        <v>2023</v>
      </c>
    </row>
    <row r="1340" spans="1:14" x14ac:dyDescent="0.25">
      <c r="A1340" s="1">
        <v>46165</v>
      </c>
      <c r="B1340" t="s">
        <v>17</v>
      </c>
      <c r="C1340" t="s">
        <v>18</v>
      </c>
      <c r="D1340">
        <v>38109</v>
      </c>
      <c r="E1340">
        <v>26832</v>
      </c>
      <c r="F1340">
        <v>11277</v>
      </c>
      <c r="G1340" t="s">
        <v>13</v>
      </c>
      <c r="H1340" t="s">
        <v>31</v>
      </c>
      <c r="I1340" t="s">
        <v>29</v>
      </c>
      <c r="J1340" s="2">
        <f>Table1[[#This Row],[Profit]]/Table1[[#This Row],[Sales]]*100</f>
        <v>29.591435094072267</v>
      </c>
      <c r="K1340" t="str">
        <f>IF(Table1[[#This Row],[Sales]]&gt;=30000,"High", IF(Table1[[#This Row],[Sales]]&gt;=15000,"Medium","Low"))</f>
        <v>High</v>
      </c>
      <c r="L1340" t="str">
        <f>TEXT(Table1[[#This Row],[Order_Date]],"MMM")</f>
        <v>May</v>
      </c>
      <c r="M1340" t="str">
        <f>IF(Table1[[#This Row],[Profit]]&gt;=10000,"Excellent",IF(Table1[[#This Row],[Profit]]&gt;5000,"Good","Low"))</f>
        <v>Excellent</v>
      </c>
      <c r="N1340" t="str">
        <f>TEXT(Table1[[#This Row],[Order_Date]],"YYYY")</f>
        <v>2026</v>
      </c>
    </row>
    <row r="1341" spans="1:14" x14ac:dyDescent="0.25">
      <c r="A1341" s="1">
        <v>46098</v>
      </c>
      <c r="B1341" t="s">
        <v>44</v>
      </c>
      <c r="C1341" t="s">
        <v>41</v>
      </c>
      <c r="D1341">
        <v>42395</v>
      </c>
      <c r="E1341">
        <v>39771</v>
      </c>
      <c r="F1341">
        <v>2624</v>
      </c>
      <c r="G1341" t="s">
        <v>13</v>
      </c>
      <c r="H1341" t="s">
        <v>14</v>
      </c>
      <c r="I1341" t="s">
        <v>42</v>
      </c>
      <c r="J1341" s="2">
        <f>Table1[[#This Row],[Profit]]/Table1[[#This Row],[Sales]]*100</f>
        <v>6.1894091284349573</v>
      </c>
      <c r="K1341" t="str">
        <f>IF(Table1[[#This Row],[Sales]]&gt;=30000,"High", IF(Table1[[#This Row],[Sales]]&gt;=15000,"Medium","Low"))</f>
        <v>High</v>
      </c>
      <c r="L1341" t="str">
        <f>TEXT(Table1[[#This Row],[Order_Date]],"MMM")</f>
        <v>Mar</v>
      </c>
      <c r="M1341" t="str">
        <f>IF(Table1[[#This Row],[Profit]]&gt;=10000,"Excellent",IF(Table1[[#This Row],[Profit]]&gt;5000,"Good","Low"))</f>
        <v>Low</v>
      </c>
      <c r="N1341" t="str">
        <f>TEXT(Table1[[#This Row],[Order_Date]],"YYYY")</f>
        <v>2026</v>
      </c>
    </row>
    <row r="1342" spans="1:14" x14ac:dyDescent="0.25">
      <c r="A1342" s="1">
        <v>46106</v>
      </c>
      <c r="B1342" t="s">
        <v>44</v>
      </c>
      <c r="C1342" t="s">
        <v>12</v>
      </c>
      <c r="D1342">
        <v>46316</v>
      </c>
      <c r="E1342">
        <v>26589</v>
      </c>
      <c r="F1342">
        <v>19727</v>
      </c>
      <c r="G1342" t="s">
        <v>27</v>
      </c>
      <c r="H1342" t="s">
        <v>14</v>
      </c>
      <c r="I1342" t="s">
        <v>15</v>
      </c>
      <c r="J1342" s="2">
        <f>Table1[[#This Row],[Profit]]/Table1[[#This Row],[Sales]]*100</f>
        <v>42.59219276276017</v>
      </c>
      <c r="K1342" t="str">
        <f>IF(Table1[[#This Row],[Sales]]&gt;=30000,"High", IF(Table1[[#This Row],[Sales]]&gt;=15000,"Medium","Low"))</f>
        <v>High</v>
      </c>
      <c r="L1342" t="str">
        <f>TEXT(Table1[[#This Row],[Order_Date]],"MMM")</f>
        <v>Mar</v>
      </c>
      <c r="M1342" t="str">
        <f>IF(Table1[[#This Row],[Profit]]&gt;=10000,"Excellent",IF(Table1[[#This Row],[Profit]]&gt;5000,"Good","Low"))</f>
        <v>Excellent</v>
      </c>
      <c r="N1342" t="str">
        <f>TEXT(Table1[[#This Row],[Order_Date]],"YYYY")</f>
        <v>2026</v>
      </c>
    </row>
    <row r="1343" spans="1:14" x14ac:dyDescent="0.25">
      <c r="A1343" s="1">
        <v>45852</v>
      </c>
      <c r="B1343" t="s">
        <v>44</v>
      </c>
      <c r="C1343" t="s">
        <v>41</v>
      </c>
      <c r="D1343">
        <v>20974</v>
      </c>
      <c r="E1343">
        <v>7493</v>
      </c>
      <c r="F1343">
        <v>13481</v>
      </c>
      <c r="G1343" t="s">
        <v>38</v>
      </c>
      <c r="H1343" t="s">
        <v>34</v>
      </c>
      <c r="I1343" t="s">
        <v>24</v>
      </c>
      <c r="J1343" s="2">
        <f>Table1[[#This Row],[Profit]]/Table1[[#This Row],[Sales]]*100</f>
        <v>64.274816439401164</v>
      </c>
      <c r="K1343" t="str">
        <f>IF(Table1[[#This Row],[Sales]]&gt;=30000,"High", IF(Table1[[#This Row],[Sales]]&gt;=15000,"Medium","Low"))</f>
        <v>Medium</v>
      </c>
      <c r="L1343" t="str">
        <f>TEXT(Table1[[#This Row],[Order_Date]],"MMM")</f>
        <v>Jul</v>
      </c>
      <c r="M1343" t="str">
        <f>IF(Table1[[#This Row],[Profit]]&gt;=10000,"Excellent",IF(Table1[[#This Row],[Profit]]&gt;5000,"Good","Low"))</f>
        <v>Excellent</v>
      </c>
      <c r="N1343" t="str">
        <f>TEXT(Table1[[#This Row],[Order_Date]],"YYYY")</f>
        <v>2025</v>
      </c>
    </row>
    <row r="1344" spans="1:14" x14ac:dyDescent="0.25">
      <c r="A1344" s="1">
        <v>45475</v>
      </c>
      <c r="B1344" t="s">
        <v>44</v>
      </c>
      <c r="C1344" t="s">
        <v>41</v>
      </c>
      <c r="D1344">
        <v>30504</v>
      </c>
      <c r="E1344">
        <v>12762</v>
      </c>
      <c r="F1344">
        <v>17742</v>
      </c>
      <c r="G1344" t="s">
        <v>38</v>
      </c>
      <c r="H1344" t="s">
        <v>63</v>
      </c>
      <c r="I1344" t="s">
        <v>29</v>
      </c>
      <c r="J1344" s="2">
        <f>Table1[[#This Row],[Profit]]/Table1[[#This Row],[Sales]]*100</f>
        <v>58.162863886703384</v>
      </c>
      <c r="K1344" t="str">
        <f>IF(Table1[[#This Row],[Sales]]&gt;=30000,"High", IF(Table1[[#This Row],[Sales]]&gt;=15000,"Medium","Low"))</f>
        <v>High</v>
      </c>
      <c r="L1344" t="str">
        <f>TEXT(Table1[[#This Row],[Order_Date]],"MMM")</f>
        <v>Jul</v>
      </c>
      <c r="M1344" t="str">
        <f>IF(Table1[[#This Row],[Profit]]&gt;=10000,"Excellent",IF(Table1[[#This Row],[Profit]]&gt;5000,"Good","Low"))</f>
        <v>Excellent</v>
      </c>
      <c r="N1344" t="str">
        <f>TEXT(Table1[[#This Row],[Order_Date]],"YYYY")</f>
        <v>2024</v>
      </c>
    </row>
    <row r="1345" spans="1:14" x14ac:dyDescent="0.25">
      <c r="A1345" s="1">
        <v>45210</v>
      </c>
      <c r="B1345" t="s">
        <v>26</v>
      </c>
      <c r="C1345" t="s">
        <v>41</v>
      </c>
      <c r="D1345">
        <v>48762</v>
      </c>
      <c r="E1345">
        <v>29832</v>
      </c>
      <c r="F1345">
        <v>18930</v>
      </c>
      <c r="G1345" t="s">
        <v>38</v>
      </c>
      <c r="H1345" t="s">
        <v>45</v>
      </c>
      <c r="I1345" t="s">
        <v>29</v>
      </c>
      <c r="J1345" s="2">
        <f>Table1[[#This Row],[Profit]]/Table1[[#This Row],[Sales]]*100</f>
        <v>38.821213239817894</v>
      </c>
      <c r="K1345" t="str">
        <f>IF(Table1[[#This Row],[Sales]]&gt;=30000,"High", IF(Table1[[#This Row],[Sales]]&gt;=15000,"Medium","Low"))</f>
        <v>High</v>
      </c>
      <c r="L1345" t="str">
        <f>TEXT(Table1[[#This Row],[Order_Date]],"MMM")</f>
        <v>Oct</v>
      </c>
      <c r="M1345" t="str">
        <f>IF(Table1[[#This Row],[Profit]]&gt;=10000,"Excellent",IF(Table1[[#This Row],[Profit]]&gt;5000,"Good","Low"))</f>
        <v>Excellent</v>
      </c>
      <c r="N1345" t="str">
        <f>TEXT(Table1[[#This Row],[Order_Date]],"YYYY")</f>
        <v>2023</v>
      </c>
    </row>
    <row r="1346" spans="1:14" x14ac:dyDescent="0.25">
      <c r="A1346" s="1">
        <v>46171</v>
      </c>
      <c r="B1346" t="s">
        <v>26</v>
      </c>
      <c r="C1346" t="s">
        <v>33</v>
      </c>
      <c r="D1346">
        <v>25291</v>
      </c>
      <c r="E1346">
        <v>6261</v>
      </c>
      <c r="F1346">
        <v>19030</v>
      </c>
      <c r="G1346" t="s">
        <v>19</v>
      </c>
      <c r="H1346" t="s">
        <v>78</v>
      </c>
      <c r="I1346" t="s">
        <v>24</v>
      </c>
      <c r="J1346" s="2">
        <f>Table1[[#This Row],[Profit]]/Table1[[#This Row],[Sales]]*100</f>
        <v>75.244158000869874</v>
      </c>
      <c r="K1346" t="str">
        <f>IF(Table1[[#This Row],[Sales]]&gt;=30000,"High", IF(Table1[[#This Row],[Sales]]&gt;=15000,"Medium","Low"))</f>
        <v>Medium</v>
      </c>
      <c r="L1346" t="str">
        <f>TEXT(Table1[[#This Row],[Order_Date]],"MMM")</f>
        <v>May</v>
      </c>
      <c r="M1346" t="str">
        <f>IF(Table1[[#This Row],[Profit]]&gt;=10000,"Excellent",IF(Table1[[#This Row],[Profit]]&gt;5000,"Good","Low"))</f>
        <v>Excellent</v>
      </c>
      <c r="N1346" t="str">
        <f>TEXT(Table1[[#This Row],[Order_Date]],"YYYY")</f>
        <v>2026</v>
      </c>
    </row>
    <row r="1347" spans="1:14" x14ac:dyDescent="0.25">
      <c r="A1347" s="1">
        <v>45184</v>
      </c>
      <c r="B1347" t="s">
        <v>26</v>
      </c>
      <c r="C1347" t="s">
        <v>41</v>
      </c>
      <c r="D1347">
        <v>40507</v>
      </c>
      <c r="E1347">
        <v>23295</v>
      </c>
      <c r="F1347">
        <v>17212</v>
      </c>
      <c r="G1347" t="s">
        <v>13</v>
      </c>
      <c r="H1347" t="s">
        <v>78</v>
      </c>
      <c r="I1347" t="s">
        <v>53</v>
      </c>
      <c r="J1347" s="2">
        <f>Table1[[#This Row],[Profit]]/Table1[[#This Row],[Sales]]*100</f>
        <v>42.49142123583578</v>
      </c>
      <c r="K1347" t="str">
        <f>IF(Table1[[#This Row],[Sales]]&gt;=30000,"High", IF(Table1[[#This Row],[Sales]]&gt;=15000,"Medium","Low"))</f>
        <v>High</v>
      </c>
      <c r="L1347" t="str">
        <f>TEXT(Table1[[#This Row],[Order_Date]],"MMM")</f>
        <v>Sep</v>
      </c>
      <c r="M1347" t="str">
        <f>IF(Table1[[#This Row],[Profit]]&gt;=10000,"Excellent",IF(Table1[[#This Row],[Profit]]&gt;5000,"Good","Low"))</f>
        <v>Excellent</v>
      </c>
      <c r="N1347" t="str">
        <f>TEXT(Table1[[#This Row],[Order_Date]],"YYYY")</f>
        <v>2023</v>
      </c>
    </row>
    <row r="1348" spans="1:14" x14ac:dyDescent="0.25">
      <c r="A1348" s="1">
        <v>45733</v>
      </c>
      <c r="B1348" t="s">
        <v>11</v>
      </c>
      <c r="C1348" t="s">
        <v>33</v>
      </c>
      <c r="D1348">
        <v>40728</v>
      </c>
      <c r="E1348">
        <v>21305</v>
      </c>
      <c r="F1348">
        <v>19423</v>
      </c>
      <c r="G1348" t="s">
        <v>38</v>
      </c>
      <c r="H1348" t="s">
        <v>28</v>
      </c>
      <c r="I1348" t="s">
        <v>29</v>
      </c>
      <c r="J1348" s="2">
        <f>Table1[[#This Row],[Profit]]/Table1[[#This Row],[Sales]]*100</f>
        <v>47.68955018660381</v>
      </c>
      <c r="K1348" t="str">
        <f>IF(Table1[[#This Row],[Sales]]&gt;=30000,"High", IF(Table1[[#This Row],[Sales]]&gt;=15000,"Medium","Low"))</f>
        <v>High</v>
      </c>
      <c r="L1348" t="str">
        <f>TEXT(Table1[[#This Row],[Order_Date]],"MMM")</f>
        <v>Mar</v>
      </c>
      <c r="M1348" t="str">
        <f>IF(Table1[[#This Row],[Profit]]&gt;=10000,"Excellent",IF(Table1[[#This Row],[Profit]]&gt;5000,"Good","Low"))</f>
        <v>Excellent</v>
      </c>
      <c r="N1348" t="str">
        <f>TEXT(Table1[[#This Row],[Order_Date]],"YYYY")</f>
        <v>2025</v>
      </c>
    </row>
    <row r="1349" spans="1:14" x14ac:dyDescent="0.25">
      <c r="A1349" s="1">
        <v>45128</v>
      </c>
      <c r="B1349" t="s">
        <v>11</v>
      </c>
      <c r="C1349" t="s">
        <v>33</v>
      </c>
      <c r="D1349">
        <v>37970</v>
      </c>
      <c r="E1349">
        <v>19265</v>
      </c>
      <c r="F1349">
        <v>18705</v>
      </c>
      <c r="G1349" t="s">
        <v>13</v>
      </c>
      <c r="H1349" t="s">
        <v>34</v>
      </c>
      <c r="I1349" t="s">
        <v>29</v>
      </c>
      <c r="J1349" s="2">
        <f>Table1[[#This Row],[Profit]]/Table1[[#This Row],[Sales]]*100</f>
        <v>49.262575717671844</v>
      </c>
      <c r="K1349" t="str">
        <f>IF(Table1[[#This Row],[Sales]]&gt;=30000,"High", IF(Table1[[#This Row],[Sales]]&gt;=15000,"Medium","Low"))</f>
        <v>High</v>
      </c>
      <c r="L1349" t="str">
        <f>TEXT(Table1[[#This Row],[Order_Date]],"MMM")</f>
        <v>Jul</v>
      </c>
      <c r="M1349" t="str">
        <f>IF(Table1[[#This Row],[Profit]]&gt;=10000,"Excellent",IF(Table1[[#This Row],[Profit]]&gt;5000,"Good","Low"))</f>
        <v>Excellent</v>
      </c>
      <c r="N1349" t="str">
        <f>TEXT(Table1[[#This Row],[Order_Date]],"YYYY")</f>
        <v>2023</v>
      </c>
    </row>
    <row r="1350" spans="1:14" x14ac:dyDescent="0.25">
      <c r="A1350" s="1">
        <v>45138</v>
      </c>
      <c r="B1350" t="s">
        <v>26</v>
      </c>
      <c r="C1350" t="s">
        <v>36</v>
      </c>
      <c r="D1350">
        <v>10735</v>
      </c>
      <c r="E1350">
        <v>588</v>
      </c>
      <c r="F1350">
        <v>10147</v>
      </c>
      <c r="G1350" t="s">
        <v>38</v>
      </c>
      <c r="H1350" t="s">
        <v>31</v>
      </c>
      <c r="I1350" t="s">
        <v>15</v>
      </c>
      <c r="J1350" s="2">
        <f>Table1[[#This Row],[Profit]]/Table1[[#This Row],[Sales]]*100</f>
        <v>94.522589659990686</v>
      </c>
      <c r="K1350" t="str">
        <f>IF(Table1[[#This Row],[Sales]]&gt;=30000,"High", IF(Table1[[#This Row],[Sales]]&gt;=15000,"Medium","Low"))</f>
        <v>Low</v>
      </c>
      <c r="L1350" t="str">
        <f>TEXT(Table1[[#This Row],[Order_Date]],"MMM")</f>
        <v>Jul</v>
      </c>
      <c r="M1350" t="str">
        <f>IF(Table1[[#This Row],[Profit]]&gt;=10000,"Excellent",IF(Table1[[#This Row],[Profit]]&gt;5000,"Good","Low"))</f>
        <v>Excellent</v>
      </c>
      <c r="N1350" t="str">
        <f>TEXT(Table1[[#This Row],[Order_Date]],"YYYY")</f>
        <v>2023</v>
      </c>
    </row>
    <row r="1351" spans="1:14" x14ac:dyDescent="0.25">
      <c r="A1351" s="1">
        <v>45300</v>
      </c>
      <c r="B1351" t="s">
        <v>17</v>
      </c>
      <c r="C1351" t="s">
        <v>33</v>
      </c>
      <c r="D1351">
        <v>24786</v>
      </c>
      <c r="E1351">
        <v>19304</v>
      </c>
      <c r="F1351">
        <v>5482</v>
      </c>
      <c r="G1351" t="s">
        <v>19</v>
      </c>
      <c r="H1351" t="s">
        <v>63</v>
      </c>
      <c r="I1351" t="s">
        <v>15</v>
      </c>
      <c r="J1351" s="2">
        <f>Table1[[#This Row],[Profit]]/Table1[[#This Row],[Sales]]*100</f>
        <v>22.117324295973535</v>
      </c>
      <c r="K1351" t="str">
        <f>IF(Table1[[#This Row],[Sales]]&gt;=30000,"High", IF(Table1[[#This Row],[Sales]]&gt;=15000,"Medium","Low"))</f>
        <v>Medium</v>
      </c>
      <c r="L1351" t="str">
        <f>TEXT(Table1[[#This Row],[Order_Date]],"MMM")</f>
        <v>Jan</v>
      </c>
      <c r="M1351" t="str">
        <f>IF(Table1[[#This Row],[Profit]]&gt;=10000,"Excellent",IF(Table1[[#This Row],[Profit]]&gt;5000,"Good","Low"))</f>
        <v>Good</v>
      </c>
      <c r="N1351" t="str">
        <f>TEXT(Table1[[#This Row],[Order_Date]],"YYYY")</f>
        <v>2024</v>
      </c>
    </row>
    <row r="1352" spans="1:14" x14ac:dyDescent="0.25">
      <c r="A1352" s="1">
        <v>46145</v>
      </c>
      <c r="B1352" t="s">
        <v>26</v>
      </c>
      <c r="C1352" t="s">
        <v>33</v>
      </c>
      <c r="D1352">
        <v>43570</v>
      </c>
      <c r="E1352">
        <v>26091</v>
      </c>
      <c r="F1352">
        <v>17479</v>
      </c>
      <c r="G1352" t="s">
        <v>27</v>
      </c>
      <c r="H1352" t="s">
        <v>63</v>
      </c>
      <c r="I1352" t="s">
        <v>42</v>
      </c>
      <c r="J1352" s="2">
        <f>Table1[[#This Row],[Profit]]/Table1[[#This Row],[Sales]]*100</f>
        <v>40.117053018131742</v>
      </c>
      <c r="K1352" t="str">
        <f>IF(Table1[[#This Row],[Sales]]&gt;=30000,"High", IF(Table1[[#This Row],[Sales]]&gt;=15000,"Medium","Low"))</f>
        <v>High</v>
      </c>
      <c r="L1352" t="str">
        <f>TEXT(Table1[[#This Row],[Order_Date]],"MMM")</f>
        <v>May</v>
      </c>
      <c r="M1352" t="str">
        <f>IF(Table1[[#This Row],[Profit]]&gt;=10000,"Excellent",IF(Table1[[#This Row],[Profit]]&gt;5000,"Good","Low"))</f>
        <v>Excellent</v>
      </c>
      <c r="N1352" t="str">
        <f>TEXT(Table1[[#This Row],[Order_Date]],"YYYY")</f>
        <v>2026</v>
      </c>
    </row>
    <row r="1353" spans="1:14" x14ac:dyDescent="0.25">
      <c r="A1353" s="1">
        <v>45554</v>
      </c>
      <c r="B1353" t="s">
        <v>11</v>
      </c>
      <c r="C1353" t="s">
        <v>18</v>
      </c>
      <c r="D1353">
        <v>44694</v>
      </c>
      <c r="E1353">
        <v>26680</v>
      </c>
      <c r="F1353">
        <v>18014</v>
      </c>
      <c r="G1353" t="s">
        <v>19</v>
      </c>
      <c r="H1353" t="s">
        <v>60</v>
      </c>
      <c r="I1353" t="s">
        <v>29</v>
      </c>
      <c r="J1353" s="2">
        <f>Table1[[#This Row],[Profit]]/Table1[[#This Row],[Sales]]*100</f>
        <v>40.305186378484805</v>
      </c>
      <c r="K1353" t="str">
        <f>IF(Table1[[#This Row],[Sales]]&gt;=30000,"High", IF(Table1[[#This Row],[Sales]]&gt;=15000,"Medium","Low"))</f>
        <v>High</v>
      </c>
      <c r="L1353" t="str">
        <f>TEXT(Table1[[#This Row],[Order_Date]],"MMM")</f>
        <v>Sep</v>
      </c>
      <c r="M1353" t="str">
        <f>IF(Table1[[#This Row],[Profit]]&gt;=10000,"Excellent",IF(Table1[[#This Row],[Profit]]&gt;5000,"Good","Low"))</f>
        <v>Excellent</v>
      </c>
      <c r="N1353" t="str">
        <f>TEXT(Table1[[#This Row],[Order_Date]],"YYYY")</f>
        <v>2024</v>
      </c>
    </row>
    <row r="1354" spans="1:14" x14ac:dyDescent="0.25">
      <c r="A1354" s="1">
        <v>45669</v>
      </c>
      <c r="B1354" t="s">
        <v>11</v>
      </c>
      <c r="C1354" t="s">
        <v>12</v>
      </c>
      <c r="D1354">
        <v>8495</v>
      </c>
      <c r="E1354">
        <v>1581</v>
      </c>
      <c r="F1354">
        <v>6914</v>
      </c>
      <c r="G1354" t="s">
        <v>27</v>
      </c>
      <c r="H1354" t="s">
        <v>45</v>
      </c>
      <c r="I1354" t="s">
        <v>24</v>
      </c>
      <c r="J1354" s="2">
        <f>Table1[[#This Row],[Profit]]/Table1[[#This Row],[Sales]]*100</f>
        <v>81.389052383755143</v>
      </c>
      <c r="K1354" t="str">
        <f>IF(Table1[[#This Row],[Sales]]&gt;=30000,"High", IF(Table1[[#This Row],[Sales]]&gt;=15000,"Medium","Low"))</f>
        <v>Low</v>
      </c>
      <c r="L1354" t="str">
        <f>TEXT(Table1[[#This Row],[Order_Date]],"MMM")</f>
        <v>Jan</v>
      </c>
      <c r="M1354" t="str">
        <f>IF(Table1[[#This Row],[Profit]]&gt;=10000,"Excellent",IF(Table1[[#This Row],[Profit]]&gt;5000,"Good","Low"))</f>
        <v>Good</v>
      </c>
      <c r="N1354" t="str">
        <f>TEXT(Table1[[#This Row],[Order_Date]],"YYYY")</f>
        <v>2025</v>
      </c>
    </row>
    <row r="1355" spans="1:14" x14ac:dyDescent="0.25">
      <c r="A1355" s="1">
        <v>45492</v>
      </c>
      <c r="B1355" t="s">
        <v>22</v>
      </c>
      <c r="C1355" t="s">
        <v>33</v>
      </c>
      <c r="D1355">
        <v>47151</v>
      </c>
      <c r="E1355">
        <v>39520</v>
      </c>
      <c r="F1355">
        <v>7631</v>
      </c>
      <c r="G1355" t="s">
        <v>27</v>
      </c>
      <c r="H1355" t="s">
        <v>78</v>
      </c>
      <c r="I1355" t="s">
        <v>29</v>
      </c>
      <c r="J1355" s="2">
        <f>Table1[[#This Row],[Profit]]/Table1[[#This Row],[Sales]]*100</f>
        <v>16.184174248690379</v>
      </c>
      <c r="K1355" t="str">
        <f>IF(Table1[[#This Row],[Sales]]&gt;=30000,"High", IF(Table1[[#This Row],[Sales]]&gt;=15000,"Medium","Low"))</f>
        <v>High</v>
      </c>
      <c r="L1355" t="str">
        <f>TEXT(Table1[[#This Row],[Order_Date]],"MMM")</f>
        <v>Jul</v>
      </c>
      <c r="M1355" t="str">
        <f>IF(Table1[[#This Row],[Profit]]&gt;=10000,"Excellent",IF(Table1[[#This Row],[Profit]]&gt;5000,"Good","Low"))</f>
        <v>Good</v>
      </c>
      <c r="N1355" t="str">
        <f>TEXT(Table1[[#This Row],[Order_Date]],"YYYY")</f>
        <v>2024</v>
      </c>
    </row>
    <row r="1356" spans="1:14" x14ac:dyDescent="0.25">
      <c r="A1356" s="1">
        <v>46162</v>
      </c>
      <c r="B1356" t="s">
        <v>44</v>
      </c>
      <c r="C1356" t="s">
        <v>33</v>
      </c>
      <c r="D1356">
        <v>40454</v>
      </c>
      <c r="E1356">
        <v>38024</v>
      </c>
      <c r="F1356">
        <v>2430</v>
      </c>
      <c r="G1356" t="s">
        <v>19</v>
      </c>
      <c r="H1356" t="s">
        <v>31</v>
      </c>
      <c r="I1356" t="s">
        <v>24</v>
      </c>
      <c r="J1356" s="2">
        <f>Table1[[#This Row],[Profit]]/Table1[[#This Row],[Sales]]*100</f>
        <v>6.0068225638997381</v>
      </c>
      <c r="K1356" t="str">
        <f>IF(Table1[[#This Row],[Sales]]&gt;=30000,"High", IF(Table1[[#This Row],[Sales]]&gt;=15000,"Medium","Low"))</f>
        <v>High</v>
      </c>
      <c r="L1356" t="str">
        <f>TEXT(Table1[[#This Row],[Order_Date]],"MMM")</f>
        <v>May</v>
      </c>
      <c r="M1356" t="str">
        <f>IF(Table1[[#This Row],[Profit]]&gt;=10000,"Excellent",IF(Table1[[#This Row],[Profit]]&gt;5000,"Good","Low"))</f>
        <v>Low</v>
      </c>
      <c r="N1356" t="str">
        <f>TEXT(Table1[[#This Row],[Order_Date]],"YYYY")</f>
        <v>2026</v>
      </c>
    </row>
    <row r="1357" spans="1:14" x14ac:dyDescent="0.25">
      <c r="A1357" s="1">
        <v>45182</v>
      </c>
      <c r="B1357" t="s">
        <v>17</v>
      </c>
      <c r="C1357" t="s">
        <v>18</v>
      </c>
      <c r="D1357">
        <v>19644</v>
      </c>
      <c r="E1357">
        <v>4601</v>
      </c>
      <c r="F1357">
        <v>15043</v>
      </c>
      <c r="G1357" t="s">
        <v>19</v>
      </c>
      <c r="H1357" t="s">
        <v>23</v>
      </c>
      <c r="I1357" t="s">
        <v>53</v>
      </c>
      <c r="J1357" s="2">
        <f>Table1[[#This Row],[Profit]]/Table1[[#This Row],[Sales]]*100</f>
        <v>76.578090002036248</v>
      </c>
      <c r="K1357" t="str">
        <f>IF(Table1[[#This Row],[Sales]]&gt;=30000,"High", IF(Table1[[#This Row],[Sales]]&gt;=15000,"Medium","Low"))</f>
        <v>Medium</v>
      </c>
      <c r="L1357" t="str">
        <f>TEXT(Table1[[#This Row],[Order_Date]],"MMM")</f>
        <v>Sep</v>
      </c>
      <c r="M1357" t="str">
        <f>IF(Table1[[#This Row],[Profit]]&gt;=10000,"Excellent",IF(Table1[[#This Row],[Profit]]&gt;5000,"Good","Low"))</f>
        <v>Excellent</v>
      </c>
      <c r="N1357" t="str">
        <f>TEXT(Table1[[#This Row],[Order_Date]],"YYYY")</f>
        <v>2023</v>
      </c>
    </row>
    <row r="1358" spans="1:14" x14ac:dyDescent="0.25">
      <c r="A1358" s="1">
        <v>45768</v>
      </c>
      <c r="B1358" t="s">
        <v>11</v>
      </c>
      <c r="C1358" t="s">
        <v>18</v>
      </c>
      <c r="D1358">
        <v>36173</v>
      </c>
      <c r="E1358">
        <v>24620</v>
      </c>
      <c r="F1358">
        <v>11553</v>
      </c>
      <c r="G1358" t="s">
        <v>13</v>
      </c>
      <c r="H1358" t="s">
        <v>63</v>
      </c>
      <c r="I1358" t="s">
        <v>24</v>
      </c>
      <c r="J1358" s="2">
        <f>Table1[[#This Row],[Profit]]/Table1[[#This Row],[Sales]]*100</f>
        <v>31.938185939789342</v>
      </c>
      <c r="K1358" t="str">
        <f>IF(Table1[[#This Row],[Sales]]&gt;=30000,"High", IF(Table1[[#This Row],[Sales]]&gt;=15000,"Medium","Low"))</f>
        <v>High</v>
      </c>
      <c r="L1358" t="str">
        <f>TEXT(Table1[[#This Row],[Order_Date]],"MMM")</f>
        <v>Apr</v>
      </c>
      <c r="M1358" t="str">
        <f>IF(Table1[[#This Row],[Profit]]&gt;=10000,"Excellent",IF(Table1[[#This Row],[Profit]]&gt;5000,"Good","Low"))</f>
        <v>Excellent</v>
      </c>
      <c r="N1358" t="str">
        <f>TEXT(Table1[[#This Row],[Order_Date]],"YYYY")</f>
        <v>2025</v>
      </c>
    </row>
    <row r="1359" spans="1:14" x14ac:dyDescent="0.25">
      <c r="A1359" s="1">
        <v>45298</v>
      </c>
      <c r="B1359" t="s">
        <v>11</v>
      </c>
      <c r="C1359" t="s">
        <v>36</v>
      </c>
      <c r="D1359">
        <v>14781</v>
      </c>
      <c r="E1359">
        <v>606</v>
      </c>
      <c r="F1359">
        <v>14175</v>
      </c>
      <c r="G1359" t="s">
        <v>19</v>
      </c>
      <c r="H1359" t="s">
        <v>45</v>
      </c>
      <c r="I1359" t="s">
        <v>42</v>
      </c>
      <c r="J1359" s="2">
        <f>Table1[[#This Row],[Profit]]/Table1[[#This Row],[Sales]]*100</f>
        <v>95.90014207428456</v>
      </c>
      <c r="K1359" t="str">
        <f>IF(Table1[[#This Row],[Sales]]&gt;=30000,"High", IF(Table1[[#This Row],[Sales]]&gt;=15000,"Medium","Low"))</f>
        <v>Low</v>
      </c>
      <c r="L1359" t="str">
        <f>TEXT(Table1[[#This Row],[Order_Date]],"MMM")</f>
        <v>Jan</v>
      </c>
      <c r="M1359" t="str">
        <f>IF(Table1[[#This Row],[Profit]]&gt;=10000,"Excellent",IF(Table1[[#This Row],[Profit]]&gt;5000,"Good","Low"))</f>
        <v>Excellent</v>
      </c>
      <c r="N1359" t="str">
        <f>TEXT(Table1[[#This Row],[Order_Date]],"YYYY")</f>
        <v>2024</v>
      </c>
    </row>
    <row r="1360" spans="1:14" x14ac:dyDescent="0.25">
      <c r="A1360" s="1">
        <v>45216</v>
      </c>
      <c r="B1360" t="s">
        <v>22</v>
      </c>
      <c r="C1360" t="s">
        <v>33</v>
      </c>
      <c r="D1360">
        <v>49264</v>
      </c>
      <c r="E1360">
        <v>43955</v>
      </c>
      <c r="F1360">
        <v>5309</v>
      </c>
      <c r="G1360" t="s">
        <v>27</v>
      </c>
      <c r="H1360" t="s">
        <v>20</v>
      </c>
      <c r="I1360" t="s">
        <v>24</v>
      </c>
      <c r="J1360" s="2">
        <f>Table1[[#This Row],[Profit]]/Table1[[#This Row],[Sales]]*100</f>
        <v>10.776632023384215</v>
      </c>
      <c r="K1360" t="str">
        <f>IF(Table1[[#This Row],[Sales]]&gt;=30000,"High", IF(Table1[[#This Row],[Sales]]&gt;=15000,"Medium","Low"))</f>
        <v>High</v>
      </c>
      <c r="L1360" t="str">
        <f>TEXT(Table1[[#This Row],[Order_Date]],"MMM")</f>
        <v>Oct</v>
      </c>
      <c r="M1360" t="str">
        <f>IF(Table1[[#This Row],[Profit]]&gt;=10000,"Excellent",IF(Table1[[#This Row],[Profit]]&gt;5000,"Good","Low"))</f>
        <v>Good</v>
      </c>
      <c r="N1360" t="str">
        <f>TEXT(Table1[[#This Row],[Order_Date]],"YYYY")</f>
        <v>2023</v>
      </c>
    </row>
    <row r="1361" spans="1:14" x14ac:dyDescent="0.25">
      <c r="A1361" s="1">
        <v>45880</v>
      </c>
      <c r="B1361" t="s">
        <v>11</v>
      </c>
      <c r="C1361" t="s">
        <v>36</v>
      </c>
      <c r="D1361">
        <v>22417</v>
      </c>
      <c r="E1361">
        <v>3934</v>
      </c>
      <c r="F1361">
        <v>18483</v>
      </c>
      <c r="G1361" t="s">
        <v>13</v>
      </c>
      <c r="H1361" t="s">
        <v>34</v>
      </c>
      <c r="I1361" t="s">
        <v>53</v>
      </c>
      <c r="J1361" s="2">
        <f>Table1[[#This Row],[Profit]]/Table1[[#This Row],[Sales]]*100</f>
        <v>82.450818575188478</v>
      </c>
      <c r="K1361" t="str">
        <f>IF(Table1[[#This Row],[Sales]]&gt;=30000,"High", IF(Table1[[#This Row],[Sales]]&gt;=15000,"Medium","Low"))</f>
        <v>Medium</v>
      </c>
      <c r="L1361" t="str">
        <f>TEXT(Table1[[#This Row],[Order_Date]],"MMM")</f>
        <v>Aug</v>
      </c>
      <c r="M1361" t="str">
        <f>IF(Table1[[#This Row],[Profit]]&gt;=10000,"Excellent",IF(Table1[[#This Row],[Profit]]&gt;5000,"Good","Low"))</f>
        <v>Excellent</v>
      </c>
      <c r="N1361" t="str">
        <f>TEXT(Table1[[#This Row],[Order_Date]],"YYYY")</f>
        <v>2025</v>
      </c>
    </row>
    <row r="1362" spans="1:14" x14ac:dyDescent="0.25">
      <c r="A1362" s="1">
        <v>45393</v>
      </c>
      <c r="B1362" t="s">
        <v>26</v>
      </c>
      <c r="C1362" t="s">
        <v>12</v>
      </c>
      <c r="D1362">
        <v>22208</v>
      </c>
      <c r="E1362">
        <v>18169</v>
      </c>
      <c r="F1362">
        <v>4039</v>
      </c>
      <c r="G1362" t="s">
        <v>19</v>
      </c>
      <c r="H1362" t="s">
        <v>20</v>
      </c>
      <c r="I1362" t="s">
        <v>42</v>
      </c>
      <c r="J1362" s="2">
        <f>Table1[[#This Row],[Profit]]/Table1[[#This Row],[Sales]]*100</f>
        <v>18.187139769452447</v>
      </c>
      <c r="K1362" t="str">
        <f>IF(Table1[[#This Row],[Sales]]&gt;=30000,"High", IF(Table1[[#This Row],[Sales]]&gt;=15000,"Medium","Low"))</f>
        <v>Medium</v>
      </c>
      <c r="L1362" t="str">
        <f>TEXT(Table1[[#This Row],[Order_Date]],"MMM")</f>
        <v>Apr</v>
      </c>
      <c r="M1362" t="str">
        <f>IF(Table1[[#This Row],[Profit]]&gt;=10000,"Excellent",IF(Table1[[#This Row],[Profit]]&gt;5000,"Good","Low"))</f>
        <v>Low</v>
      </c>
      <c r="N1362" t="str">
        <f>TEXT(Table1[[#This Row],[Order_Date]],"YYYY")</f>
        <v>2024</v>
      </c>
    </row>
    <row r="1363" spans="1:14" x14ac:dyDescent="0.25">
      <c r="A1363" s="1">
        <v>45133</v>
      </c>
      <c r="B1363" t="s">
        <v>44</v>
      </c>
      <c r="C1363" t="s">
        <v>12</v>
      </c>
      <c r="D1363">
        <v>28231</v>
      </c>
      <c r="E1363">
        <v>26046</v>
      </c>
      <c r="F1363">
        <v>2185</v>
      </c>
      <c r="G1363" t="s">
        <v>27</v>
      </c>
      <c r="H1363" t="s">
        <v>20</v>
      </c>
      <c r="I1363" t="s">
        <v>53</v>
      </c>
      <c r="J1363" s="2">
        <f>Table1[[#This Row],[Profit]]/Table1[[#This Row],[Sales]]*100</f>
        <v>7.7397187488930612</v>
      </c>
      <c r="K1363" t="str">
        <f>IF(Table1[[#This Row],[Sales]]&gt;=30000,"High", IF(Table1[[#This Row],[Sales]]&gt;=15000,"Medium","Low"))</f>
        <v>Medium</v>
      </c>
      <c r="L1363" t="str">
        <f>TEXT(Table1[[#This Row],[Order_Date]],"MMM")</f>
        <v>Jul</v>
      </c>
      <c r="M1363" t="str">
        <f>IF(Table1[[#This Row],[Profit]]&gt;=10000,"Excellent",IF(Table1[[#This Row],[Profit]]&gt;5000,"Good","Low"))</f>
        <v>Low</v>
      </c>
      <c r="N1363" t="str">
        <f>TEXT(Table1[[#This Row],[Order_Date]],"YYYY")</f>
        <v>2023</v>
      </c>
    </row>
    <row r="1364" spans="1:14" x14ac:dyDescent="0.25">
      <c r="A1364" s="1">
        <v>45807</v>
      </c>
      <c r="B1364" t="s">
        <v>22</v>
      </c>
      <c r="C1364" t="s">
        <v>33</v>
      </c>
      <c r="D1364">
        <v>6109</v>
      </c>
      <c r="E1364">
        <v>4894</v>
      </c>
      <c r="F1364">
        <v>1215</v>
      </c>
      <c r="G1364" t="s">
        <v>38</v>
      </c>
      <c r="H1364" t="s">
        <v>34</v>
      </c>
      <c r="I1364" t="s">
        <v>24</v>
      </c>
      <c r="J1364" s="2">
        <f>Table1[[#This Row],[Profit]]/Table1[[#This Row],[Sales]]*100</f>
        <v>19.888688819774103</v>
      </c>
      <c r="K1364" t="str">
        <f>IF(Table1[[#This Row],[Sales]]&gt;=30000,"High", IF(Table1[[#This Row],[Sales]]&gt;=15000,"Medium","Low"))</f>
        <v>Low</v>
      </c>
      <c r="L1364" t="str">
        <f>TEXT(Table1[[#This Row],[Order_Date]],"MMM")</f>
        <v>May</v>
      </c>
      <c r="M1364" t="str">
        <f>IF(Table1[[#This Row],[Profit]]&gt;=10000,"Excellent",IF(Table1[[#This Row],[Profit]]&gt;5000,"Good","Low"))</f>
        <v>Low</v>
      </c>
      <c r="N1364" t="str">
        <f>TEXT(Table1[[#This Row],[Order_Date]],"YYYY")</f>
        <v>2025</v>
      </c>
    </row>
    <row r="1365" spans="1:14" x14ac:dyDescent="0.25">
      <c r="A1365" s="1">
        <v>45119</v>
      </c>
      <c r="B1365" t="s">
        <v>22</v>
      </c>
      <c r="C1365" t="s">
        <v>36</v>
      </c>
      <c r="D1365">
        <v>34363</v>
      </c>
      <c r="E1365">
        <v>29986</v>
      </c>
      <c r="F1365">
        <v>4377</v>
      </c>
      <c r="G1365" t="s">
        <v>13</v>
      </c>
      <c r="H1365" t="s">
        <v>14</v>
      </c>
      <c r="I1365" t="s">
        <v>42</v>
      </c>
      <c r="J1365" s="2">
        <f>Table1[[#This Row],[Profit]]/Table1[[#This Row],[Sales]]*100</f>
        <v>12.737537467625062</v>
      </c>
      <c r="K1365" t="str">
        <f>IF(Table1[[#This Row],[Sales]]&gt;=30000,"High", IF(Table1[[#This Row],[Sales]]&gt;=15000,"Medium","Low"))</f>
        <v>High</v>
      </c>
      <c r="L1365" t="str">
        <f>TEXT(Table1[[#This Row],[Order_Date]],"MMM")</f>
        <v>Jul</v>
      </c>
      <c r="M1365" t="str">
        <f>IF(Table1[[#This Row],[Profit]]&gt;=10000,"Excellent",IF(Table1[[#This Row],[Profit]]&gt;5000,"Good","Low"))</f>
        <v>Low</v>
      </c>
      <c r="N1365" t="str">
        <f>TEXT(Table1[[#This Row],[Order_Date]],"YYYY")</f>
        <v>2023</v>
      </c>
    </row>
    <row r="1366" spans="1:14" x14ac:dyDescent="0.25">
      <c r="A1366" s="1">
        <v>45125</v>
      </c>
      <c r="B1366" t="s">
        <v>22</v>
      </c>
      <c r="C1366" t="s">
        <v>41</v>
      </c>
      <c r="D1366">
        <v>6339</v>
      </c>
      <c r="E1366">
        <v>3614</v>
      </c>
      <c r="F1366">
        <v>2725</v>
      </c>
      <c r="G1366" t="s">
        <v>38</v>
      </c>
      <c r="H1366" t="s">
        <v>31</v>
      </c>
      <c r="I1366" t="s">
        <v>29</v>
      </c>
      <c r="J1366" s="2">
        <f>Table1[[#This Row],[Profit]]/Table1[[#This Row],[Sales]]*100</f>
        <v>42.987852973655151</v>
      </c>
      <c r="K1366" t="str">
        <f>IF(Table1[[#This Row],[Sales]]&gt;=30000,"High", IF(Table1[[#This Row],[Sales]]&gt;=15000,"Medium","Low"))</f>
        <v>Low</v>
      </c>
      <c r="L1366" t="str">
        <f>TEXT(Table1[[#This Row],[Order_Date]],"MMM")</f>
        <v>Jul</v>
      </c>
      <c r="M1366" t="str">
        <f>IF(Table1[[#This Row],[Profit]]&gt;=10000,"Excellent",IF(Table1[[#This Row],[Profit]]&gt;5000,"Good","Low"))</f>
        <v>Low</v>
      </c>
      <c r="N1366" t="str">
        <f>TEXT(Table1[[#This Row],[Order_Date]],"YYYY")</f>
        <v>2023</v>
      </c>
    </row>
    <row r="1367" spans="1:14" x14ac:dyDescent="0.25">
      <c r="A1367" s="1">
        <v>45394</v>
      </c>
      <c r="B1367" t="s">
        <v>22</v>
      </c>
      <c r="C1367" t="s">
        <v>36</v>
      </c>
      <c r="D1367">
        <v>49359</v>
      </c>
      <c r="E1367">
        <v>46993</v>
      </c>
      <c r="F1367">
        <v>2366</v>
      </c>
      <c r="G1367" t="s">
        <v>19</v>
      </c>
      <c r="H1367" t="s">
        <v>45</v>
      </c>
      <c r="I1367" t="s">
        <v>29</v>
      </c>
      <c r="J1367" s="2">
        <f>Table1[[#This Row],[Profit]]/Table1[[#This Row],[Sales]]*100</f>
        <v>4.7934520553495812</v>
      </c>
      <c r="K1367" t="str">
        <f>IF(Table1[[#This Row],[Sales]]&gt;=30000,"High", IF(Table1[[#This Row],[Sales]]&gt;=15000,"Medium","Low"))</f>
        <v>High</v>
      </c>
      <c r="L1367" t="str">
        <f>TEXT(Table1[[#This Row],[Order_Date]],"MMM")</f>
        <v>Apr</v>
      </c>
      <c r="M1367" t="str">
        <f>IF(Table1[[#This Row],[Profit]]&gt;=10000,"Excellent",IF(Table1[[#This Row],[Profit]]&gt;5000,"Good","Low"))</f>
        <v>Low</v>
      </c>
      <c r="N1367" t="str">
        <f>TEXT(Table1[[#This Row],[Order_Date]],"YYYY")</f>
        <v>2024</v>
      </c>
    </row>
    <row r="1368" spans="1:14" x14ac:dyDescent="0.25">
      <c r="A1368" s="1">
        <v>45413</v>
      </c>
      <c r="B1368" t="s">
        <v>22</v>
      </c>
      <c r="C1368" t="s">
        <v>33</v>
      </c>
      <c r="D1368">
        <v>29827</v>
      </c>
      <c r="E1368">
        <v>24145</v>
      </c>
      <c r="F1368">
        <v>5682</v>
      </c>
      <c r="G1368" t="s">
        <v>38</v>
      </c>
      <c r="H1368" t="s">
        <v>31</v>
      </c>
      <c r="I1368" t="s">
        <v>53</v>
      </c>
      <c r="J1368" s="2">
        <f>Table1[[#This Row],[Profit]]/Table1[[#This Row],[Sales]]*100</f>
        <v>19.049854158983472</v>
      </c>
      <c r="K1368" t="str">
        <f>IF(Table1[[#This Row],[Sales]]&gt;=30000,"High", IF(Table1[[#This Row],[Sales]]&gt;=15000,"Medium","Low"))</f>
        <v>Medium</v>
      </c>
      <c r="L1368" t="str">
        <f>TEXT(Table1[[#This Row],[Order_Date]],"MMM")</f>
        <v>May</v>
      </c>
      <c r="M1368" t="str">
        <f>IF(Table1[[#This Row],[Profit]]&gt;=10000,"Excellent",IF(Table1[[#This Row],[Profit]]&gt;5000,"Good","Low"))</f>
        <v>Good</v>
      </c>
      <c r="N1368" t="str">
        <f>TEXT(Table1[[#This Row],[Order_Date]],"YYYY")</f>
        <v>2024</v>
      </c>
    </row>
    <row r="1369" spans="1:14" x14ac:dyDescent="0.25">
      <c r="A1369" s="1">
        <v>45951</v>
      </c>
      <c r="B1369" t="s">
        <v>26</v>
      </c>
      <c r="C1369" t="s">
        <v>12</v>
      </c>
      <c r="D1369">
        <v>16762</v>
      </c>
      <c r="E1369">
        <v>7414</v>
      </c>
      <c r="F1369">
        <v>9348</v>
      </c>
      <c r="G1369" t="s">
        <v>27</v>
      </c>
      <c r="H1369" t="s">
        <v>28</v>
      </c>
      <c r="I1369" t="s">
        <v>29</v>
      </c>
      <c r="J1369" s="2">
        <f>Table1[[#This Row],[Profit]]/Table1[[#This Row],[Sales]]*100</f>
        <v>55.769001312492541</v>
      </c>
      <c r="K1369" t="str">
        <f>IF(Table1[[#This Row],[Sales]]&gt;=30000,"High", IF(Table1[[#This Row],[Sales]]&gt;=15000,"Medium","Low"))</f>
        <v>Medium</v>
      </c>
      <c r="L1369" t="str">
        <f>TEXT(Table1[[#This Row],[Order_Date]],"MMM")</f>
        <v>Oct</v>
      </c>
      <c r="M1369" t="str">
        <f>IF(Table1[[#This Row],[Profit]]&gt;=10000,"Excellent",IF(Table1[[#This Row],[Profit]]&gt;5000,"Good","Low"))</f>
        <v>Good</v>
      </c>
      <c r="N1369" t="str">
        <f>TEXT(Table1[[#This Row],[Order_Date]],"YYYY")</f>
        <v>2025</v>
      </c>
    </row>
    <row r="1370" spans="1:14" x14ac:dyDescent="0.25">
      <c r="A1370" s="1">
        <v>45427</v>
      </c>
      <c r="B1370" t="s">
        <v>11</v>
      </c>
      <c r="C1370" t="s">
        <v>18</v>
      </c>
      <c r="D1370">
        <v>48066</v>
      </c>
      <c r="E1370">
        <v>39418</v>
      </c>
      <c r="F1370">
        <v>8648</v>
      </c>
      <c r="G1370" t="s">
        <v>38</v>
      </c>
      <c r="H1370" t="s">
        <v>23</v>
      </c>
      <c r="I1370" t="s">
        <v>53</v>
      </c>
      <c r="J1370" s="2">
        <f>Table1[[#This Row],[Profit]]/Table1[[#This Row],[Sales]]*100</f>
        <v>17.991927765988432</v>
      </c>
      <c r="K1370" t="str">
        <f>IF(Table1[[#This Row],[Sales]]&gt;=30000,"High", IF(Table1[[#This Row],[Sales]]&gt;=15000,"Medium","Low"))</f>
        <v>High</v>
      </c>
      <c r="L1370" t="str">
        <f>TEXT(Table1[[#This Row],[Order_Date]],"MMM")</f>
        <v>May</v>
      </c>
      <c r="M1370" t="str">
        <f>IF(Table1[[#This Row],[Profit]]&gt;=10000,"Excellent",IF(Table1[[#This Row],[Profit]]&gt;5000,"Good","Low"))</f>
        <v>Good</v>
      </c>
      <c r="N1370" t="str">
        <f>TEXT(Table1[[#This Row],[Order_Date]],"YYYY")</f>
        <v>2024</v>
      </c>
    </row>
    <row r="1371" spans="1:14" x14ac:dyDescent="0.25">
      <c r="A1371" s="1">
        <v>45666</v>
      </c>
      <c r="B1371" t="s">
        <v>26</v>
      </c>
      <c r="C1371" t="s">
        <v>41</v>
      </c>
      <c r="D1371">
        <v>11344</v>
      </c>
      <c r="E1371">
        <v>5021</v>
      </c>
      <c r="F1371">
        <v>6323</v>
      </c>
      <c r="G1371" t="s">
        <v>19</v>
      </c>
      <c r="H1371" t="s">
        <v>31</v>
      </c>
      <c r="I1371" t="s">
        <v>24</v>
      </c>
      <c r="J1371" s="2">
        <f>Table1[[#This Row],[Profit]]/Table1[[#This Row],[Sales]]*100</f>
        <v>55.738716502115658</v>
      </c>
      <c r="K1371" t="str">
        <f>IF(Table1[[#This Row],[Sales]]&gt;=30000,"High", IF(Table1[[#This Row],[Sales]]&gt;=15000,"Medium","Low"))</f>
        <v>Low</v>
      </c>
      <c r="L1371" t="str">
        <f>TEXT(Table1[[#This Row],[Order_Date]],"MMM")</f>
        <v>Jan</v>
      </c>
      <c r="M1371" t="str">
        <f>IF(Table1[[#This Row],[Profit]]&gt;=10000,"Excellent",IF(Table1[[#This Row],[Profit]]&gt;5000,"Good","Low"))</f>
        <v>Good</v>
      </c>
      <c r="N1371" t="str">
        <f>TEXT(Table1[[#This Row],[Order_Date]],"YYYY")</f>
        <v>2025</v>
      </c>
    </row>
    <row r="1372" spans="1:14" x14ac:dyDescent="0.25">
      <c r="A1372" s="1">
        <v>45849</v>
      </c>
      <c r="B1372" t="s">
        <v>44</v>
      </c>
      <c r="C1372" t="s">
        <v>36</v>
      </c>
      <c r="D1372">
        <v>45696</v>
      </c>
      <c r="E1372">
        <v>35702</v>
      </c>
      <c r="F1372">
        <v>9994</v>
      </c>
      <c r="G1372" t="s">
        <v>27</v>
      </c>
      <c r="H1372" t="s">
        <v>63</v>
      </c>
      <c r="I1372" t="s">
        <v>15</v>
      </c>
      <c r="J1372" s="2">
        <f>Table1[[#This Row],[Profit]]/Table1[[#This Row],[Sales]]*100</f>
        <v>21.870623249299719</v>
      </c>
      <c r="K1372" t="str">
        <f>IF(Table1[[#This Row],[Sales]]&gt;=30000,"High", IF(Table1[[#This Row],[Sales]]&gt;=15000,"Medium","Low"))</f>
        <v>High</v>
      </c>
      <c r="L1372" t="str">
        <f>TEXT(Table1[[#This Row],[Order_Date]],"MMM")</f>
        <v>Jul</v>
      </c>
      <c r="M1372" t="str">
        <f>IF(Table1[[#This Row],[Profit]]&gt;=10000,"Excellent",IF(Table1[[#This Row],[Profit]]&gt;5000,"Good","Low"))</f>
        <v>Good</v>
      </c>
      <c r="N1372" t="str">
        <f>TEXT(Table1[[#This Row],[Order_Date]],"YYYY")</f>
        <v>2025</v>
      </c>
    </row>
    <row r="1373" spans="1:14" x14ac:dyDescent="0.25">
      <c r="A1373" s="1">
        <v>45815</v>
      </c>
      <c r="B1373" t="s">
        <v>26</v>
      </c>
      <c r="C1373" t="s">
        <v>12</v>
      </c>
      <c r="D1373">
        <v>45315</v>
      </c>
      <c r="E1373">
        <v>30224</v>
      </c>
      <c r="F1373">
        <v>15091</v>
      </c>
      <c r="G1373" t="s">
        <v>38</v>
      </c>
      <c r="H1373" t="s">
        <v>14</v>
      </c>
      <c r="I1373" t="s">
        <v>15</v>
      </c>
      <c r="J1373" s="2">
        <f>Table1[[#This Row],[Profit]]/Table1[[#This Row],[Sales]]*100</f>
        <v>33.302438486152482</v>
      </c>
      <c r="K1373" t="str">
        <f>IF(Table1[[#This Row],[Sales]]&gt;=30000,"High", IF(Table1[[#This Row],[Sales]]&gt;=15000,"Medium","Low"))</f>
        <v>High</v>
      </c>
      <c r="L1373" t="str">
        <f>TEXT(Table1[[#This Row],[Order_Date]],"MMM")</f>
        <v>Jun</v>
      </c>
      <c r="M1373" t="str">
        <f>IF(Table1[[#This Row],[Profit]]&gt;=10000,"Excellent",IF(Table1[[#This Row],[Profit]]&gt;5000,"Good","Low"))</f>
        <v>Excellent</v>
      </c>
      <c r="N1373" t="str">
        <f>TEXT(Table1[[#This Row],[Order_Date]],"YYYY")</f>
        <v>2025</v>
      </c>
    </row>
    <row r="1374" spans="1:14" x14ac:dyDescent="0.25">
      <c r="A1374" s="1">
        <v>45479</v>
      </c>
      <c r="B1374" t="s">
        <v>17</v>
      </c>
      <c r="C1374" t="s">
        <v>36</v>
      </c>
      <c r="D1374">
        <v>28747</v>
      </c>
      <c r="E1374">
        <v>9804</v>
      </c>
      <c r="F1374">
        <v>18943</v>
      </c>
      <c r="G1374" t="s">
        <v>27</v>
      </c>
      <c r="H1374" t="s">
        <v>31</v>
      </c>
      <c r="I1374" t="s">
        <v>15</v>
      </c>
      <c r="J1374" s="2">
        <f>Table1[[#This Row],[Profit]]/Table1[[#This Row],[Sales]]*100</f>
        <v>65.895571711830797</v>
      </c>
      <c r="K1374" t="str">
        <f>IF(Table1[[#This Row],[Sales]]&gt;=30000,"High", IF(Table1[[#This Row],[Sales]]&gt;=15000,"Medium","Low"))</f>
        <v>Medium</v>
      </c>
      <c r="L1374" t="str">
        <f>TEXT(Table1[[#This Row],[Order_Date]],"MMM")</f>
        <v>Jul</v>
      </c>
      <c r="M1374" t="str">
        <f>IF(Table1[[#This Row],[Profit]]&gt;=10000,"Excellent",IF(Table1[[#This Row],[Profit]]&gt;5000,"Good","Low"))</f>
        <v>Excellent</v>
      </c>
      <c r="N1374" t="str">
        <f>TEXT(Table1[[#This Row],[Order_Date]],"YYYY")</f>
        <v>2024</v>
      </c>
    </row>
    <row r="1375" spans="1:14" x14ac:dyDescent="0.25">
      <c r="A1375" s="1">
        <v>45453</v>
      </c>
      <c r="B1375" t="s">
        <v>22</v>
      </c>
      <c r="C1375" t="s">
        <v>18</v>
      </c>
      <c r="D1375">
        <v>36992</v>
      </c>
      <c r="E1375">
        <v>33050</v>
      </c>
      <c r="F1375">
        <v>3942</v>
      </c>
      <c r="G1375" t="s">
        <v>27</v>
      </c>
      <c r="H1375" t="s">
        <v>31</v>
      </c>
      <c r="I1375" t="s">
        <v>53</v>
      </c>
      <c r="J1375" s="2">
        <f>Table1[[#This Row],[Profit]]/Table1[[#This Row],[Sales]]*100</f>
        <v>10.65635813148789</v>
      </c>
      <c r="K1375" t="str">
        <f>IF(Table1[[#This Row],[Sales]]&gt;=30000,"High", IF(Table1[[#This Row],[Sales]]&gt;=15000,"Medium","Low"))</f>
        <v>High</v>
      </c>
      <c r="L1375" t="str">
        <f>TEXT(Table1[[#This Row],[Order_Date]],"MMM")</f>
        <v>Jun</v>
      </c>
      <c r="M1375" t="str">
        <f>IF(Table1[[#This Row],[Profit]]&gt;=10000,"Excellent",IF(Table1[[#This Row],[Profit]]&gt;5000,"Good","Low"))</f>
        <v>Low</v>
      </c>
      <c r="N1375" t="str">
        <f>TEXT(Table1[[#This Row],[Order_Date]],"YYYY")</f>
        <v>2024</v>
      </c>
    </row>
    <row r="1376" spans="1:14" x14ac:dyDescent="0.25">
      <c r="A1376" s="1">
        <v>45519</v>
      </c>
      <c r="B1376" t="s">
        <v>22</v>
      </c>
      <c r="C1376" t="s">
        <v>36</v>
      </c>
      <c r="D1376">
        <v>28102</v>
      </c>
      <c r="E1376">
        <v>26052</v>
      </c>
      <c r="F1376">
        <v>2050</v>
      </c>
      <c r="G1376" t="s">
        <v>13</v>
      </c>
      <c r="H1376" t="s">
        <v>28</v>
      </c>
      <c r="I1376" t="s">
        <v>29</v>
      </c>
      <c r="J1376" s="2">
        <f>Table1[[#This Row],[Profit]]/Table1[[#This Row],[Sales]]*100</f>
        <v>7.294854458757384</v>
      </c>
      <c r="K1376" t="str">
        <f>IF(Table1[[#This Row],[Sales]]&gt;=30000,"High", IF(Table1[[#This Row],[Sales]]&gt;=15000,"Medium","Low"))</f>
        <v>Medium</v>
      </c>
      <c r="L1376" t="str">
        <f>TEXT(Table1[[#This Row],[Order_Date]],"MMM")</f>
        <v>Aug</v>
      </c>
      <c r="M1376" t="str">
        <f>IF(Table1[[#This Row],[Profit]]&gt;=10000,"Excellent",IF(Table1[[#This Row],[Profit]]&gt;5000,"Good","Low"))</f>
        <v>Low</v>
      </c>
      <c r="N1376" t="str">
        <f>TEXT(Table1[[#This Row],[Order_Date]],"YYYY")</f>
        <v>2024</v>
      </c>
    </row>
    <row r="1377" spans="1:14" x14ac:dyDescent="0.25">
      <c r="A1377" s="1">
        <v>46153</v>
      </c>
      <c r="B1377" t="s">
        <v>22</v>
      </c>
      <c r="C1377" t="s">
        <v>12</v>
      </c>
      <c r="D1377">
        <v>7851</v>
      </c>
      <c r="E1377">
        <v>5666</v>
      </c>
      <c r="F1377">
        <v>2185</v>
      </c>
      <c r="G1377" t="s">
        <v>19</v>
      </c>
      <c r="H1377" t="s">
        <v>60</v>
      </c>
      <c r="I1377" t="s">
        <v>29</v>
      </c>
      <c r="J1377" s="2">
        <f>Table1[[#This Row],[Profit]]/Table1[[#This Row],[Sales]]*100</f>
        <v>27.830849573302764</v>
      </c>
      <c r="K1377" t="str">
        <f>IF(Table1[[#This Row],[Sales]]&gt;=30000,"High", IF(Table1[[#This Row],[Sales]]&gt;=15000,"Medium","Low"))</f>
        <v>Low</v>
      </c>
      <c r="L1377" t="str">
        <f>TEXT(Table1[[#This Row],[Order_Date]],"MMM")</f>
        <v>May</v>
      </c>
      <c r="M1377" t="str">
        <f>IF(Table1[[#This Row],[Profit]]&gt;=10000,"Excellent",IF(Table1[[#This Row],[Profit]]&gt;5000,"Good","Low"))</f>
        <v>Low</v>
      </c>
      <c r="N1377" t="str">
        <f>TEXT(Table1[[#This Row],[Order_Date]],"YYYY")</f>
        <v>2026</v>
      </c>
    </row>
    <row r="1378" spans="1:14" x14ac:dyDescent="0.25">
      <c r="A1378" s="1">
        <v>45529</v>
      </c>
      <c r="B1378" t="s">
        <v>11</v>
      </c>
      <c r="C1378" t="s">
        <v>36</v>
      </c>
      <c r="D1378">
        <v>40420</v>
      </c>
      <c r="E1378">
        <v>33803</v>
      </c>
      <c r="F1378">
        <v>6617</v>
      </c>
      <c r="G1378" t="s">
        <v>19</v>
      </c>
      <c r="H1378" t="s">
        <v>78</v>
      </c>
      <c r="I1378" t="s">
        <v>42</v>
      </c>
      <c r="J1378" s="2">
        <f>Table1[[#This Row],[Profit]]/Table1[[#This Row],[Sales]]*100</f>
        <v>16.370608609599209</v>
      </c>
      <c r="K1378" t="str">
        <f>IF(Table1[[#This Row],[Sales]]&gt;=30000,"High", IF(Table1[[#This Row],[Sales]]&gt;=15000,"Medium","Low"))</f>
        <v>High</v>
      </c>
      <c r="L1378" t="str">
        <f>TEXT(Table1[[#This Row],[Order_Date]],"MMM")</f>
        <v>Aug</v>
      </c>
      <c r="M1378" t="str">
        <f>IF(Table1[[#This Row],[Profit]]&gt;=10000,"Excellent",IF(Table1[[#This Row],[Profit]]&gt;5000,"Good","Low"))</f>
        <v>Good</v>
      </c>
      <c r="N1378" t="str">
        <f>TEXT(Table1[[#This Row],[Order_Date]],"YYYY")</f>
        <v>2024</v>
      </c>
    </row>
    <row r="1379" spans="1:14" x14ac:dyDescent="0.25">
      <c r="A1379" s="1">
        <v>45622</v>
      </c>
      <c r="B1379" t="s">
        <v>17</v>
      </c>
      <c r="C1379" t="s">
        <v>33</v>
      </c>
      <c r="D1379">
        <v>12039</v>
      </c>
      <c r="E1379">
        <v>11097</v>
      </c>
      <c r="F1379">
        <v>942</v>
      </c>
      <c r="G1379" t="s">
        <v>19</v>
      </c>
      <c r="H1379" t="s">
        <v>60</v>
      </c>
      <c r="I1379" t="s">
        <v>53</v>
      </c>
      <c r="J1379" s="2">
        <f>Table1[[#This Row],[Profit]]/Table1[[#This Row],[Sales]]*100</f>
        <v>7.824570147022178</v>
      </c>
      <c r="K1379" t="str">
        <f>IF(Table1[[#This Row],[Sales]]&gt;=30000,"High", IF(Table1[[#This Row],[Sales]]&gt;=15000,"Medium","Low"))</f>
        <v>Low</v>
      </c>
      <c r="L1379" t="str">
        <f>TEXT(Table1[[#This Row],[Order_Date]],"MMM")</f>
        <v>Nov</v>
      </c>
      <c r="M1379" t="str">
        <f>IF(Table1[[#This Row],[Profit]]&gt;=10000,"Excellent",IF(Table1[[#This Row],[Profit]]&gt;5000,"Good","Low"))</f>
        <v>Low</v>
      </c>
      <c r="N1379" t="str">
        <f>TEXT(Table1[[#This Row],[Order_Date]],"YYYY")</f>
        <v>2024</v>
      </c>
    </row>
    <row r="1380" spans="1:14" x14ac:dyDescent="0.25">
      <c r="A1380" s="1">
        <v>45848</v>
      </c>
      <c r="B1380" t="s">
        <v>11</v>
      </c>
      <c r="C1380" t="s">
        <v>36</v>
      </c>
      <c r="D1380">
        <v>44122</v>
      </c>
      <c r="E1380">
        <v>32312</v>
      </c>
      <c r="F1380">
        <v>11810</v>
      </c>
      <c r="G1380" t="s">
        <v>38</v>
      </c>
      <c r="H1380" t="s">
        <v>60</v>
      </c>
      <c r="I1380" t="s">
        <v>15</v>
      </c>
      <c r="J1380" s="2">
        <f>Table1[[#This Row],[Profit]]/Table1[[#This Row],[Sales]]*100</f>
        <v>26.76669235302117</v>
      </c>
      <c r="K1380" t="str">
        <f>IF(Table1[[#This Row],[Sales]]&gt;=30000,"High", IF(Table1[[#This Row],[Sales]]&gt;=15000,"Medium","Low"))</f>
        <v>High</v>
      </c>
      <c r="L1380" t="str">
        <f>TEXT(Table1[[#This Row],[Order_Date]],"MMM")</f>
        <v>Jul</v>
      </c>
      <c r="M1380" t="str">
        <f>IF(Table1[[#This Row],[Profit]]&gt;=10000,"Excellent",IF(Table1[[#This Row],[Profit]]&gt;5000,"Good","Low"))</f>
        <v>Excellent</v>
      </c>
      <c r="N1380" t="str">
        <f>TEXT(Table1[[#This Row],[Order_Date]],"YYYY")</f>
        <v>2025</v>
      </c>
    </row>
    <row r="1381" spans="1:14" x14ac:dyDescent="0.25">
      <c r="A1381" s="1">
        <v>45143</v>
      </c>
      <c r="B1381" t="s">
        <v>44</v>
      </c>
      <c r="C1381" t="s">
        <v>18</v>
      </c>
      <c r="D1381">
        <v>8018</v>
      </c>
      <c r="E1381">
        <v>1053</v>
      </c>
      <c r="F1381">
        <v>6965</v>
      </c>
      <c r="G1381" t="s">
        <v>13</v>
      </c>
      <c r="H1381" t="s">
        <v>63</v>
      </c>
      <c r="I1381" t="s">
        <v>24</v>
      </c>
      <c r="J1381" s="2">
        <f>Table1[[#This Row],[Profit]]/Table1[[#This Row],[Sales]]*100</f>
        <v>86.867049139436276</v>
      </c>
      <c r="K1381" t="str">
        <f>IF(Table1[[#This Row],[Sales]]&gt;=30000,"High", IF(Table1[[#This Row],[Sales]]&gt;=15000,"Medium","Low"))</f>
        <v>Low</v>
      </c>
      <c r="L1381" t="str">
        <f>TEXT(Table1[[#This Row],[Order_Date]],"MMM")</f>
        <v>Aug</v>
      </c>
      <c r="M1381" t="str">
        <f>IF(Table1[[#This Row],[Profit]]&gt;=10000,"Excellent",IF(Table1[[#This Row],[Profit]]&gt;5000,"Good","Low"))</f>
        <v>Good</v>
      </c>
      <c r="N1381" t="str">
        <f>TEXT(Table1[[#This Row],[Order_Date]],"YYYY")</f>
        <v>2023</v>
      </c>
    </row>
    <row r="1382" spans="1:14" x14ac:dyDescent="0.25">
      <c r="A1382" s="1">
        <v>45772</v>
      </c>
      <c r="B1382" t="s">
        <v>26</v>
      </c>
      <c r="C1382" t="s">
        <v>12</v>
      </c>
      <c r="D1382">
        <v>30581</v>
      </c>
      <c r="E1382">
        <v>11783</v>
      </c>
      <c r="F1382">
        <v>18798</v>
      </c>
      <c r="G1382" t="s">
        <v>27</v>
      </c>
      <c r="H1382" t="s">
        <v>78</v>
      </c>
      <c r="I1382" t="s">
        <v>24</v>
      </c>
      <c r="J1382" s="2">
        <f>Table1[[#This Row],[Profit]]/Table1[[#This Row],[Sales]]*100</f>
        <v>61.469539910401885</v>
      </c>
      <c r="K1382" t="str">
        <f>IF(Table1[[#This Row],[Sales]]&gt;=30000,"High", IF(Table1[[#This Row],[Sales]]&gt;=15000,"Medium","Low"))</f>
        <v>High</v>
      </c>
      <c r="L1382" t="str">
        <f>TEXT(Table1[[#This Row],[Order_Date]],"MMM")</f>
        <v>Apr</v>
      </c>
      <c r="M1382" t="str">
        <f>IF(Table1[[#This Row],[Profit]]&gt;=10000,"Excellent",IF(Table1[[#This Row],[Profit]]&gt;5000,"Good","Low"))</f>
        <v>Excellent</v>
      </c>
      <c r="N1382" t="str">
        <f>TEXT(Table1[[#This Row],[Order_Date]],"YYYY")</f>
        <v>2025</v>
      </c>
    </row>
    <row r="1383" spans="1:14" x14ac:dyDescent="0.25">
      <c r="A1383" s="1">
        <v>45556</v>
      </c>
      <c r="B1383" t="s">
        <v>44</v>
      </c>
      <c r="C1383" t="s">
        <v>41</v>
      </c>
      <c r="D1383">
        <v>29933</v>
      </c>
      <c r="E1383">
        <v>25072</v>
      </c>
      <c r="F1383">
        <v>4861</v>
      </c>
      <c r="G1383" t="s">
        <v>13</v>
      </c>
      <c r="H1383" t="s">
        <v>63</v>
      </c>
      <c r="I1383" t="s">
        <v>29</v>
      </c>
      <c r="J1383" s="2">
        <f>Table1[[#This Row],[Profit]]/Table1[[#This Row],[Sales]]*100</f>
        <v>16.239601777302642</v>
      </c>
      <c r="K1383" t="str">
        <f>IF(Table1[[#This Row],[Sales]]&gt;=30000,"High", IF(Table1[[#This Row],[Sales]]&gt;=15000,"Medium","Low"))</f>
        <v>Medium</v>
      </c>
      <c r="L1383" t="str">
        <f>TEXT(Table1[[#This Row],[Order_Date]],"MMM")</f>
        <v>Sep</v>
      </c>
      <c r="M1383" t="str">
        <f>IF(Table1[[#This Row],[Profit]]&gt;=10000,"Excellent",IF(Table1[[#This Row],[Profit]]&gt;5000,"Good","Low"))</f>
        <v>Low</v>
      </c>
      <c r="N1383" t="str">
        <f>TEXT(Table1[[#This Row],[Order_Date]],"YYYY")</f>
        <v>2024</v>
      </c>
    </row>
    <row r="1384" spans="1:14" x14ac:dyDescent="0.25">
      <c r="A1384" s="1">
        <v>46188</v>
      </c>
      <c r="B1384" t="s">
        <v>44</v>
      </c>
      <c r="C1384" t="s">
        <v>36</v>
      </c>
      <c r="D1384">
        <v>9709</v>
      </c>
      <c r="E1384">
        <v>7543</v>
      </c>
      <c r="F1384">
        <v>2166</v>
      </c>
      <c r="G1384" t="s">
        <v>38</v>
      </c>
      <c r="H1384" t="s">
        <v>78</v>
      </c>
      <c r="I1384" t="s">
        <v>24</v>
      </c>
      <c r="J1384" s="2">
        <f>Table1[[#This Row],[Profit]]/Table1[[#This Row],[Sales]]*100</f>
        <v>22.309197651663403</v>
      </c>
      <c r="K1384" t="str">
        <f>IF(Table1[[#This Row],[Sales]]&gt;=30000,"High", IF(Table1[[#This Row],[Sales]]&gt;=15000,"Medium","Low"))</f>
        <v>Low</v>
      </c>
      <c r="L1384" t="str">
        <f>TEXT(Table1[[#This Row],[Order_Date]],"MMM")</f>
        <v>Jun</v>
      </c>
      <c r="M1384" t="str">
        <f>IF(Table1[[#This Row],[Profit]]&gt;=10000,"Excellent",IF(Table1[[#This Row],[Profit]]&gt;5000,"Good","Low"))</f>
        <v>Low</v>
      </c>
      <c r="N1384" t="str">
        <f>TEXT(Table1[[#This Row],[Order_Date]],"YYYY")</f>
        <v>2026</v>
      </c>
    </row>
    <row r="1385" spans="1:14" x14ac:dyDescent="0.25">
      <c r="A1385" s="1">
        <v>46043</v>
      </c>
      <c r="B1385" t="s">
        <v>17</v>
      </c>
      <c r="C1385" t="s">
        <v>41</v>
      </c>
      <c r="D1385">
        <v>15044</v>
      </c>
      <c r="E1385">
        <v>7276</v>
      </c>
      <c r="F1385">
        <v>7768</v>
      </c>
      <c r="G1385" t="s">
        <v>27</v>
      </c>
      <c r="H1385" t="s">
        <v>78</v>
      </c>
      <c r="I1385" t="s">
        <v>53</v>
      </c>
      <c r="J1385" s="2">
        <f>Table1[[#This Row],[Profit]]/Table1[[#This Row],[Sales]]*100</f>
        <v>51.635203403350175</v>
      </c>
      <c r="K1385" t="str">
        <f>IF(Table1[[#This Row],[Sales]]&gt;=30000,"High", IF(Table1[[#This Row],[Sales]]&gt;=15000,"Medium","Low"))</f>
        <v>Medium</v>
      </c>
      <c r="L1385" t="str">
        <f>TEXT(Table1[[#This Row],[Order_Date]],"MMM")</f>
        <v>Jan</v>
      </c>
      <c r="M1385" t="str">
        <f>IF(Table1[[#This Row],[Profit]]&gt;=10000,"Excellent",IF(Table1[[#This Row],[Profit]]&gt;5000,"Good","Low"))</f>
        <v>Good</v>
      </c>
      <c r="N1385" t="str">
        <f>TEXT(Table1[[#This Row],[Order_Date]],"YYYY")</f>
        <v>2026</v>
      </c>
    </row>
    <row r="1386" spans="1:14" x14ac:dyDescent="0.25">
      <c r="A1386" s="1">
        <v>46002</v>
      </c>
      <c r="B1386" t="s">
        <v>17</v>
      </c>
      <c r="C1386" t="s">
        <v>12</v>
      </c>
      <c r="D1386">
        <v>13492</v>
      </c>
      <c r="E1386">
        <v>2071</v>
      </c>
      <c r="F1386">
        <v>11421</v>
      </c>
      <c r="G1386" t="s">
        <v>27</v>
      </c>
      <c r="H1386" t="s">
        <v>60</v>
      </c>
      <c r="I1386" t="s">
        <v>53</v>
      </c>
      <c r="J1386" s="2">
        <f>Table1[[#This Row],[Profit]]/Table1[[#This Row],[Sales]]*100</f>
        <v>84.650163059590867</v>
      </c>
      <c r="K1386" t="str">
        <f>IF(Table1[[#This Row],[Sales]]&gt;=30000,"High", IF(Table1[[#This Row],[Sales]]&gt;=15000,"Medium","Low"))</f>
        <v>Low</v>
      </c>
      <c r="L1386" t="str">
        <f>TEXT(Table1[[#This Row],[Order_Date]],"MMM")</f>
        <v>Dec</v>
      </c>
      <c r="M1386" t="str">
        <f>IF(Table1[[#This Row],[Profit]]&gt;=10000,"Excellent",IF(Table1[[#This Row],[Profit]]&gt;5000,"Good","Low"))</f>
        <v>Excellent</v>
      </c>
      <c r="N1386" t="str">
        <f>TEXT(Table1[[#This Row],[Order_Date]],"YYYY")</f>
        <v>2025</v>
      </c>
    </row>
    <row r="1387" spans="1:14" x14ac:dyDescent="0.25">
      <c r="A1387" s="1">
        <v>45527</v>
      </c>
      <c r="B1387" t="s">
        <v>22</v>
      </c>
      <c r="C1387" t="s">
        <v>36</v>
      </c>
      <c r="D1387">
        <v>14104</v>
      </c>
      <c r="E1387">
        <v>12914</v>
      </c>
      <c r="F1387">
        <v>1190</v>
      </c>
      <c r="G1387" t="s">
        <v>19</v>
      </c>
      <c r="H1387" t="s">
        <v>45</v>
      </c>
      <c r="I1387" t="s">
        <v>53</v>
      </c>
      <c r="J1387" s="2">
        <f>Table1[[#This Row],[Profit]]/Table1[[#This Row],[Sales]]*100</f>
        <v>8.4373227453204755</v>
      </c>
      <c r="K1387" t="str">
        <f>IF(Table1[[#This Row],[Sales]]&gt;=30000,"High", IF(Table1[[#This Row],[Sales]]&gt;=15000,"Medium","Low"))</f>
        <v>Low</v>
      </c>
      <c r="L1387" t="str">
        <f>TEXT(Table1[[#This Row],[Order_Date]],"MMM")</f>
        <v>Aug</v>
      </c>
      <c r="M1387" t="str">
        <f>IF(Table1[[#This Row],[Profit]]&gt;=10000,"Excellent",IF(Table1[[#This Row],[Profit]]&gt;5000,"Good","Low"))</f>
        <v>Low</v>
      </c>
      <c r="N1387" t="str">
        <f>TEXT(Table1[[#This Row],[Order_Date]],"YYYY")</f>
        <v>2024</v>
      </c>
    </row>
    <row r="1388" spans="1:14" x14ac:dyDescent="0.25">
      <c r="A1388" s="1">
        <v>45703</v>
      </c>
      <c r="B1388" t="s">
        <v>26</v>
      </c>
      <c r="C1388" t="s">
        <v>41</v>
      </c>
      <c r="D1388">
        <v>48274</v>
      </c>
      <c r="E1388">
        <v>44791</v>
      </c>
      <c r="F1388">
        <v>3483</v>
      </c>
      <c r="G1388" t="s">
        <v>27</v>
      </c>
      <c r="H1388" t="s">
        <v>34</v>
      </c>
      <c r="I1388" t="s">
        <v>29</v>
      </c>
      <c r="J1388" s="2">
        <f>Table1[[#This Row],[Profit]]/Table1[[#This Row],[Sales]]*100</f>
        <v>7.2150640096117993</v>
      </c>
      <c r="K1388" t="str">
        <f>IF(Table1[[#This Row],[Sales]]&gt;=30000,"High", IF(Table1[[#This Row],[Sales]]&gt;=15000,"Medium","Low"))</f>
        <v>High</v>
      </c>
      <c r="L1388" t="str">
        <f>TEXT(Table1[[#This Row],[Order_Date]],"MMM")</f>
        <v>Feb</v>
      </c>
      <c r="M1388" t="str">
        <f>IF(Table1[[#This Row],[Profit]]&gt;=10000,"Excellent",IF(Table1[[#This Row],[Profit]]&gt;5000,"Good","Low"))</f>
        <v>Low</v>
      </c>
      <c r="N1388" t="str">
        <f>TEXT(Table1[[#This Row],[Order_Date]],"YYYY")</f>
        <v>2025</v>
      </c>
    </row>
    <row r="1389" spans="1:14" x14ac:dyDescent="0.25">
      <c r="A1389" s="1">
        <v>45198</v>
      </c>
      <c r="B1389" t="s">
        <v>17</v>
      </c>
      <c r="C1389" t="s">
        <v>12</v>
      </c>
      <c r="D1389">
        <v>29705</v>
      </c>
      <c r="E1389">
        <v>24287</v>
      </c>
      <c r="F1389">
        <v>5418</v>
      </c>
      <c r="G1389" t="s">
        <v>38</v>
      </c>
      <c r="H1389" t="s">
        <v>45</v>
      </c>
      <c r="I1389" t="s">
        <v>15</v>
      </c>
      <c r="J1389" s="2">
        <f>Table1[[#This Row],[Profit]]/Table1[[#This Row],[Sales]]*100</f>
        <v>18.23935364416765</v>
      </c>
      <c r="K1389" t="str">
        <f>IF(Table1[[#This Row],[Sales]]&gt;=30000,"High", IF(Table1[[#This Row],[Sales]]&gt;=15000,"Medium","Low"))</f>
        <v>Medium</v>
      </c>
      <c r="L1389" t="str">
        <f>TEXT(Table1[[#This Row],[Order_Date]],"MMM")</f>
        <v>Sep</v>
      </c>
      <c r="M1389" t="str">
        <f>IF(Table1[[#This Row],[Profit]]&gt;=10000,"Excellent",IF(Table1[[#This Row],[Profit]]&gt;5000,"Good","Low"))</f>
        <v>Good</v>
      </c>
      <c r="N1389" t="str">
        <f>TEXT(Table1[[#This Row],[Order_Date]],"YYYY")</f>
        <v>2023</v>
      </c>
    </row>
    <row r="1390" spans="1:14" x14ac:dyDescent="0.25">
      <c r="A1390" s="1">
        <v>45976</v>
      </c>
      <c r="B1390" t="s">
        <v>22</v>
      </c>
      <c r="C1390" t="s">
        <v>12</v>
      </c>
      <c r="D1390">
        <v>43099</v>
      </c>
      <c r="E1390">
        <v>25419</v>
      </c>
      <c r="F1390">
        <v>17680</v>
      </c>
      <c r="G1390" t="s">
        <v>38</v>
      </c>
      <c r="H1390" t="s">
        <v>45</v>
      </c>
      <c r="I1390" t="s">
        <v>24</v>
      </c>
      <c r="J1390" s="2">
        <f>Table1[[#This Row],[Profit]]/Table1[[#This Row],[Sales]]*100</f>
        <v>41.021833453212366</v>
      </c>
      <c r="K1390" t="str">
        <f>IF(Table1[[#This Row],[Sales]]&gt;=30000,"High", IF(Table1[[#This Row],[Sales]]&gt;=15000,"Medium","Low"))</f>
        <v>High</v>
      </c>
      <c r="L1390" t="str">
        <f>TEXT(Table1[[#This Row],[Order_Date]],"MMM")</f>
        <v>Nov</v>
      </c>
      <c r="M1390" t="str">
        <f>IF(Table1[[#This Row],[Profit]]&gt;=10000,"Excellent",IF(Table1[[#This Row],[Profit]]&gt;5000,"Good","Low"))</f>
        <v>Excellent</v>
      </c>
      <c r="N1390" t="str">
        <f>TEXT(Table1[[#This Row],[Order_Date]],"YYYY")</f>
        <v>2025</v>
      </c>
    </row>
    <row r="1391" spans="1:14" x14ac:dyDescent="0.25">
      <c r="A1391" s="1">
        <v>45547</v>
      </c>
      <c r="B1391" t="s">
        <v>11</v>
      </c>
      <c r="C1391" t="s">
        <v>41</v>
      </c>
      <c r="D1391">
        <v>39321</v>
      </c>
      <c r="E1391">
        <v>33242</v>
      </c>
      <c r="F1391">
        <v>6079</v>
      </c>
      <c r="G1391" t="s">
        <v>27</v>
      </c>
      <c r="H1391" t="s">
        <v>34</v>
      </c>
      <c r="I1391" t="s">
        <v>53</v>
      </c>
      <c r="J1391" s="2">
        <f>Table1[[#This Row],[Profit]]/Table1[[#This Row],[Sales]]*100</f>
        <v>15.459932351669591</v>
      </c>
      <c r="K1391" t="str">
        <f>IF(Table1[[#This Row],[Sales]]&gt;=30000,"High", IF(Table1[[#This Row],[Sales]]&gt;=15000,"Medium","Low"))</f>
        <v>High</v>
      </c>
      <c r="L1391" t="str">
        <f>TEXT(Table1[[#This Row],[Order_Date]],"MMM")</f>
        <v>Sep</v>
      </c>
      <c r="M1391" t="str">
        <f>IF(Table1[[#This Row],[Profit]]&gt;=10000,"Excellent",IF(Table1[[#This Row],[Profit]]&gt;5000,"Good","Low"))</f>
        <v>Good</v>
      </c>
      <c r="N1391" t="str">
        <f>TEXT(Table1[[#This Row],[Order_Date]],"YYYY")</f>
        <v>2024</v>
      </c>
    </row>
    <row r="1392" spans="1:14" x14ac:dyDescent="0.25">
      <c r="A1392" s="1">
        <v>45836</v>
      </c>
      <c r="B1392" t="s">
        <v>17</v>
      </c>
      <c r="C1392" t="s">
        <v>18</v>
      </c>
      <c r="D1392">
        <v>26383</v>
      </c>
      <c r="E1392">
        <v>23259</v>
      </c>
      <c r="F1392">
        <v>3124</v>
      </c>
      <c r="G1392" t="s">
        <v>19</v>
      </c>
      <c r="H1392" t="s">
        <v>78</v>
      </c>
      <c r="I1392" t="s">
        <v>24</v>
      </c>
      <c r="J1392" s="2">
        <f>Table1[[#This Row],[Profit]]/Table1[[#This Row],[Sales]]*100</f>
        <v>11.84095819277565</v>
      </c>
      <c r="K1392" t="str">
        <f>IF(Table1[[#This Row],[Sales]]&gt;=30000,"High", IF(Table1[[#This Row],[Sales]]&gt;=15000,"Medium","Low"))</f>
        <v>Medium</v>
      </c>
      <c r="L1392" t="str">
        <f>TEXT(Table1[[#This Row],[Order_Date]],"MMM")</f>
        <v>Jun</v>
      </c>
      <c r="M1392" t="str">
        <f>IF(Table1[[#This Row],[Profit]]&gt;=10000,"Excellent",IF(Table1[[#This Row],[Profit]]&gt;5000,"Good","Low"))</f>
        <v>Low</v>
      </c>
      <c r="N1392" t="str">
        <f>TEXT(Table1[[#This Row],[Order_Date]],"YYYY")</f>
        <v>2025</v>
      </c>
    </row>
    <row r="1393" spans="1:14" x14ac:dyDescent="0.25">
      <c r="A1393" s="1">
        <v>45222</v>
      </c>
      <c r="B1393" t="s">
        <v>44</v>
      </c>
      <c r="C1393" t="s">
        <v>12</v>
      </c>
      <c r="D1393">
        <v>31581</v>
      </c>
      <c r="E1393">
        <v>26217</v>
      </c>
      <c r="F1393">
        <v>5364</v>
      </c>
      <c r="G1393" t="s">
        <v>38</v>
      </c>
      <c r="H1393" t="s">
        <v>28</v>
      </c>
      <c r="I1393" t="s">
        <v>24</v>
      </c>
      <c r="J1393" s="2">
        <f>Table1[[#This Row],[Profit]]/Table1[[#This Row],[Sales]]*100</f>
        <v>16.984895981761188</v>
      </c>
      <c r="K1393" t="str">
        <f>IF(Table1[[#This Row],[Sales]]&gt;=30000,"High", IF(Table1[[#This Row],[Sales]]&gt;=15000,"Medium","Low"))</f>
        <v>High</v>
      </c>
      <c r="L1393" t="str">
        <f>TEXT(Table1[[#This Row],[Order_Date]],"MMM")</f>
        <v>Oct</v>
      </c>
      <c r="M1393" t="str">
        <f>IF(Table1[[#This Row],[Profit]]&gt;=10000,"Excellent",IF(Table1[[#This Row],[Profit]]&gt;5000,"Good","Low"))</f>
        <v>Good</v>
      </c>
      <c r="N1393" t="str">
        <f>TEXT(Table1[[#This Row],[Order_Date]],"YYYY")</f>
        <v>2023</v>
      </c>
    </row>
    <row r="1394" spans="1:14" x14ac:dyDescent="0.25">
      <c r="A1394" s="1">
        <v>45567</v>
      </c>
      <c r="B1394" t="s">
        <v>17</v>
      </c>
      <c r="C1394" t="s">
        <v>18</v>
      </c>
      <c r="D1394">
        <v>38991</v>
      </c>
      <c r="E1394">
        <v>35897</v>
      </c>
      <c r="F1394">
        <v>3094</v>
      </c>
      <c r="G1394" t="s">
        <v>19</v>
      </c>
      <c r="H1394" t="s">
        <v>78</v>
      </c>
      <c r="I1394" t="s">
        <v>29</v>
      </c>
      <c r="J1394" s="2">
        <f>Table1[[#This Row],[Profit]]/Table1[[#This Row],[Sales]]*100</f>
        <v>7.9351645251468286</v>
      </c>
      <c r="K1394" t="str">
        <f>IF(Table1[[#This Row],[Sales]]&gt;=30000,"High", IF(Table1[[#This Row],[Sales]]&gt;=15000,"Medium","Low"))</f>
        <v>High</v>
      </c>
      <c r="L1394" t="str">
        <f>TEXT(Table1[[#This Row],[Order_Date]],"MMM")</f>
        <v>Oct</v>
      </c>
      <c r="M1394" t="str">
        <f>IF(Table1[[#This Row],[Profit]]&gt;=10000,"Excellent",IF(Table1[[#This Row],[Profit]]&gt;5000,"Good","Low"))</f>
        <v>Low</v>
      </c>
      <c r="N1394" t="str">
        <f>TEXT(Table1[[#This Row],[Order_Date]],"YYYY")</f>
        <v>2024</v>
      </c>
    </row>
    <row r="1395" spans="1:14" x14ac:dyDescent="0.25">
      <c r="A1395" s="1">
        <v>45220</v>
      </c>
      <c r="B1395" t="s">
        <v>26</v>
      </c>
      <c r="C1395" t="s">
        <v>18</v>
      </c>
      <c r="D1395">
        <v>46885</v>
      </c>
      <c r="E1395">
        <v>38467</v>
      </c>
      <c r="F1395">
        <v>8418</v>
      </c>
      <c r="G1395" t="s">
        <v>27</v>
      </c>
      <c r="H1395" t="s">
        <v>20</v>
      </c>
      <c r="I1395" t="s">
        <v>15</v>
      </c>
      <c r="J1395" s="2">
        <f>Table1[[#This Row],[Profit]]/Table1[[#This Row],[Sales]]*100</f>
        <v>17.954569691799083</v>
      </c>
      <c r="K1395" t="str">
        <f>IF(Table1[[#This Row],[Sales]]&gt;=30000,"High", IF(Table1[[#This Row],[Sales]]&gt;=15000,"Medium","Low"))</f>
        <v>High</v>
      </c>
      <c r="L1395" t="str">
        <f>TEXT(Table1[[#This Row],[Order_Date]],"MMM")</f>
        <v>Oct</v>
      </c>
      <c r="M1395" t="str">
        <f>IF(Table1[[#This Row],[Profit]]&gt;=10000,"Excellent",IF(Table1[[#This Row],[Profit]]&gt;5000,"Good","Low"))</f>
        <v>Good</v>
      </c>
      <c r="N1395" t="str">
        <f>TEXT(Table1[[#This Row],[Order_Date]],"YYYY")</f>
        <v>2023</v>
      </c>
    </row>
    <row r="1396" spans="1:14" x14ac:dyDescent="0.25">
      <c r="A1396" s="1">
        <v>45363</v>
      </c>
      <c r="B1396" t="s">
        <v>11</v>
      </c>
      <c r="C1396" t="s">
        <v>18</v>
      </c>
      <c r="D1396">
        <v>32511</v>
      </c>
      <c r="E1396">
        <v>25689</v>
      </c>
      <c r="F1396">
        <v>6822</v>
      </c>
      <c r="G1396" t="s">
        <v>13</v>
      </c>
      <c r="H1396" t="s">
        <v>23</v>
      </c>
      <c r="I1396" t="s">
        <v>24</v>
      </c>
      <c r="J1396" s="2">
        <f>Table1[[#This Row],[Profit]]/Table1[[#This Row],[Sales]]*100</f>
        <v>20.983667066531329</v>
      </c>
      <c r="K1396" t="str">
        <f>IF(Table1[[#This Row],[Sales]]&gt;=30000,"High", IF(Table1[[#This Row],[Sales]]&gt;=15000,"Medium","Low"))</f>
        <v>High</v>
      </c>
      <c r="L1396" t="str">
        <f>TEXT(Table1[[#This Row],[Order_Date]],"MMM")</f>
        <v>Mar</v>
      </c>
      <c r="M1396" t="str">
        <f>IF(Table1[[#This Row],[Profit]]&gt;=10000,"Excellent",IF(Table1[[#This Row],[Profit]]&gt;5000,"Good","Low"))</f>
        <v>Good</v>
      </c>
      <c r="N1396" t="str">
        <f>TEXT(Table1[[#This Row],[Order_Date]],"YYYY")</f>
        <v>2024</v>
      </c>
    </row>
    <row r="1397" spans="1:14" x14ac:dyDescent="0.25">
      <c r="A1397" s="1">
        <v>45767</v>
      </c>
      <c r="B1397" t="s">
        <v>26</v>
      </c>
      <c r="C1397" t="s">
        <v>33</v>
      </c>
      <c r="D1397">
        <v>32928</v>
      </c>
      <c r="E1397">
        <v>26891</v>
      </c>
      <c r="F1397">
        <v>6037</v>
      </c>
      <c r="G1397" t="s">
        <v>38</v>
      </c>
      <c r="H1397" t="s">
        <v>23</v>
      </c>
      <c r="I1397" t="s">
        <v>15</v>
      </c>
      <c r="J1397" s="2">
        <f>Table1[[#This Row],[Profit]]/Table1[[#This Row],[Sales]]*100</f>
        <v>18.333940719144799</v>
      </c>
      <c r="K1397" t="str">
        <f>IF(Table1[[#This Row],[Sales]]&gt;=30000,"High", IF(Table1[[#This Row],[Sales]]&gt;=15000,"Medium","Low"))</f>
        <v>High</v>
      </c>
      <c r="L1397" t="str">
        <f>TEXT(Table1[[#This Row],[Order_Date]],"MMM")</f>
        <v>Apr</v>
      </c>
      <c r="M1397" t="str">
        <f>IF(Table1[[#This Row],[Profit]]&gt;=10000,"Excellent",IF(Table1[[#This Row],[Profit]]&gt;5000,"Good","Low"))</f>
        <v>Good</v>
      </c>
      <c r="N1397" t="str">
        <f>TEXT(Table1[[#This Row],[Order_Date]],"YYYY")</f>
        <v>2025</v>
      </c>
    </row>
    <row r="1398" spans="1:14" x14ac:dyDescent="0.25">
      <c r="A1398" s="1">
        <v>45570</v>
      </c>
      <c r="B1398" t="s">
        <v>26</v>
      </c>
      <c r="C1398" t="s">
        <v>12</v>
      </c>
      <c r="D1398">
        <v>25847</v>
      </c>
      <c r="E1398">
        <v>11631</v>
      </c>
      <c r="F1398">
        <v>14216</v>
      </c>
      <c r="G1398" t="s">
        <v>19</v>
      </c>
      <c r="H1398" t="s">
        <v>45</v>
      </c>
      <c r="I1398" t="s">
        <v>42</v>
      </c>
      <c r="J1398" s="2">
        <f>Table1[[#This Row],[Profit]]/Table1[[#This Row],[Sales]]*100</f>
        <v>55.000580338143692</v>
      </c>
      <c r="K1398" t="str">
        <f>IF(Table1[[#This Row],[Sales]]&gt;=30000,"High", IF(Table1[[#This Row],[Sales]]&gt;=15000,"Medium","Low"))</f>
        <v>Medium</v>
      </c>
      <c r="L1398" t="str">
        <f>TEXT(Table1[[#This Row],[Order_Date]],"MMM")</f>
        <v>Oct</v>
      </c>
      <c r="M1398" t="str">
        <f>IF(Table1[[#This Row],[Profit]]&gt;=10000,"Excellent",IF(Table1[[#This Row],[Profit]]&gt;5000,"Good","Low"))</f>
        <v>Excellent</v>
      </c>
      <c r="N1398" t="str">
        <f>TEXT(Table1[[#This Row],[Order_Date]],"YYYY")</f>
        <v>2024</v>
      </c>
    </row>
    <row r="1399" spans="1:14" x14ac:dyDescent="0.25">
      <c r="A1399" s="1">
        <v>45834</v>
      </c>
      <c r="B1399" t="s">
        <v>11</v>
      </c>
      <c r="C1399" t="s">
        <v>33</v>
      </c>
      <c r="D1399">
        <v>17871</v>
      </c>
      <c r="E1399">
        <v>422</v>
      </c>
      <c r="F1399">
        <v>17449</v>
      </c>
      <c r="G1399" t="s">
        <v>13</v>
      </c>
      <c r="H1399" t="s">
        <v>60</v>
      </c>
      <c r="I1399" t="s">
        <v>42</v>
      </c>
      <c r="J1399" s="2">
        <f>Table1[[#This Row],[Profit]]/Table1[[#This Row],[Sales]]*100</f>
        <v>97.638632421241113</v>
      </c>
      <c r="K1399" t="str">
        <f>IF(Table1[[#This Row],[Sales]]&gt;=30000,"High", IF(Table1[[#This Row],[Sales]]&gt;=15000,"Medium","Low"))</f>
        <v>Medium</v>
      </c>
      <c r="L1399" t="str">
        <f>TEXT(Table1[[#This Row],[Order_Date]],"MMM")</f>
        <v>Jun</v>
      </c>
      <c r="M1399" t="str">
        <f>IF(Table1[[#This Row],[Profit]]&gt;=10000,"Excellent",IF(Table1[[#This Row],[Profit]]&gt;5000,"Good","Low"))</f>
        <v>Excellent</v>
      </c>
      <c r="N1399" t="str">
        <f>TEXT(Table1[[#This Row],[Order_Date]],"YYYY")</f>
        <v>2025</v>
      </c>
    </row>
    <row r="1400" spans="1:14" x14ac:dyDescent="0.25">
      <c r="A1400" s="1">
        <v>46198</v>
      </c>
      <c r="B1400" t="s">
        <v>11</v>
      </c>
      <c r="C1400" t="s">
        <v>18</v>
      </c>
      <c r="D1400">
        <v>14351</v>
      </c>
      <c r="E1400">
        <v>3097</v>
      </c>
      <c r="F1400">
        <v>11254</v>
      </c>
      <c r="G1400" t="s">
        <v>19</v>
      </c>
      <c r="H1400" t="s">
        <v>60</v>
      </c>
      <c r="I1400" t="s">
        <v>29</v>
      </c>
      <c r="J1400" s="2">
        <f>Table1[[#This Row],[Profit]]/Table1[[#This Row],[Sales]]*100</f>
        <v>78.419622325970323</v>
      </c>
      <c r="K1400" t="str">
        <f>IF(Table1[[#This Row],[Sales]]&gt;=30000,"High", IF(Table1[[#This Row],[Sales]]&gt;=15000,"Medium","Low"))</f>
        <v>Low</v>
      </c>
      <c r="L1400" t="str">
        <f>TEXT(Table1[[#This Row],[Order_Date]],"MMM")</f>
        <v>Jun</v>
      </c>
      <c r="M1400" t="str">
        <f>IF(Table1[[#This Row],[Profit]]&gt;=10000,"Excellent",IF(Table1[[#This Row],[Profit]]&gt;5000,"Good","Low"))</f>
        <v>Excellent</v>
      </c>
      <c r="N1400" t="str">
        <f>TEXT(Table1[[#This Row],[Order_Date]],"YYYY")</f>
        <v>2026</v>
      </c>
    </row>
    <row r="1401" spans="1:14" x14ac:dyDescent="0.25">
      <c r="A1401" s="1">
        <v>45616</v>
      </c>
      <c r="B1401" t="s">
        <v>22</v>
      </c>
      <c r="C1401" t="s">
        <v>33</v>
      </c>
      <c r="D1401">
        <v>12166</v>
      </c>
      <c r="E1401">
        <v>1317</v>
      </c>
      <c r="F1401">
        <v>10849</v>
      </c>
      <c r="G1401" t="s">
        <v>38</v>
      </c>
      <c r="H1401" t="s">
        <v>28</v>
      </c>
      <c r="I1401" t="s">
        <v>29</v>
      </c>
      <c r="J1401" s="2">
        <f>Table1[[#This Row],[Profit]]/Table1[[#This Row],[Sales]]*100</f>
        <v>89.174749301331573</v>
      </c>
      <c r="K1401" t="str">
        <f>IF(Table1[[#This Row],[Sales]]&gt;=30000,"High", IF(Table1[[#This Row],[Sales]]&gt;=15000,"Medium","Low"))</f>
        <v>Low</v>
      </c>
      <c r="L1401" t="str">
        <f>TEXT(Table1[[#This Row],[Order_Date]],"MMM")</f>
        <v>Nov</v>
      </c>
      <c r="M1401" t="str">
        <f>IF(Table1[[#This Row],[Profit]]&gt;=10000,"Excellent",IF(Table1[[#This Row],[Profit]]&gt;5000,"Good","Low"))</f>
        <v>Excellent</v>
      </c>
      <c r="N1401" t="str">
        <f>TEXT(Table1[[#This Row],[Order_Date]],"YYYY")</f>
        <v>2024</v>
      </c>
    </row>
    <row r="1402" spans="1:14" x14ac:dyDescent="0.25">
      <c r="A1402" s="1">
        <v>45993</v>
      </c>
      <c r="B1402" t="s">
        <v>17</v>
      </c>
      <c r="C1402" t="s">
        <v>12</v>
      </c>
      <c r="D1402">
        <v>7887</v>
      </c>
      <c r="E1402">
        <v>850</v>
      </c>
      <c r="F1402">
        <v>7037</v>
      </c>
      <c r="G1402" t="s">
        <v>19</v>
      </c>
      <c r="H1402" t="s">
        <v>20</v>
      </c>
      <c r="I1402" t="s">
        <v>53</v>
      </c>
      <c r="J1402" s="2">
        <f>Table1[[#This Row],[Profit]]/Table1[[#This Row],[Sales]]*100</f>
        <v>89.222771649549898</v>
      </c>
      <c r="K1402" t="str">
        <f>IF(Table1[[#This Row],[Sales]]&gt;=30000,"High", IF(Table1[[#This Row],[Sales]]&gt;=15000,"Medium","Low"))</f>
        <v>Low</v>
      </c>
      <c r="L1402" t="str">
        <f>TEXT(Table1[[#This Row],[Order_Date]],"MMM")</f>
        <v>Dec</v>
      </c>
      <c r="M1402" t="str">
        <f>IF(Table1[[#This Row],[Profit]]&gt;=10000,"Excellent",IF(Table1[[#This Row],[Profit]]&gt;5000,"Good","Low"))</f>
        <v>Good</v>
      </c>
      <c r="N1402" t="str">
        <f>TEXT(Table1[[#This Row],[Order_Date]],"YYYY")</f>
        <v>2025</v>
      </c>
    </row>
    <row r="1403" spans="1:14" x14ac:dyDescent="0.25">
      <c r="A1403" s="1">
        <v>45810</v>
      </c>
      <c r="B1403" t="s">
        <v>44</v>
      </c>
      <c r="C1403" t="s">
        <v>18</v>
      </c>
      <c r="D1403">
        <v>5057</v>
      </c>
      <c r="E1403">
        <v>3939</v>
      </c>
      <c r="F1403">
        <v>1118</v>
      </c>
      <c r="G1403" t="s">
        <v>13</v>
      </c>
      <c r="H1403" t="s">
        <v>23</v>
      </c>
      <c r="I1403" t="s">
        <v>15</v>
      </c>
      <c r="J1403" s="2">
        <f>Table1[[#This Row],[Profit]]/Table1[[#This Row],[Sales]]*100</f>
        <v>22.10796915167095</v>
      </c>
      <c r="K1403" t="str">
        <f>IF(Table1[[#This Row],[Sales]]&gt;=30000,"High", IF(Table1[[#This Row],[Sales]]&gt;=15000,"Medium","Low"))</f>
        <v>Low</v>
      </c>
      <c r="L1403" t="str">
        <f>TEXT(Table1[[#This Row],[Order_Date]],"MMM")</f>
        <v>Jun</v>
      </c>
      <c r="M1403" t="str">
        <f>IF(Table1[[#This Row],[Profit]]&gt;=10000,"Excellent",IF(Table1[[#This Row],[Profit]]&gt;5000,"Good","Low"))</f>
        <v>Low</v>
      </c>
      <c r="N1403" t="str">
        <f>TEXT(Table1[[#This Row],[Order_Date]],"YYYY")</f>
        <v>2025</v>
      </c>
    </row>
    <row r="1404" spans="1:14" x14ac:dyDescent="0.25">
      <c r="A1404" s="1">
        <v>46028</v>
      </c>
      <c r="B1404" t="s">
        <v>17</v>
      </c>
      <c r="C1404" t="s">
        <v>33</v>
      </c>
      <c r="D1404">
        <v>43839</v>
      </c>
      <c r="E1404">
        <v>30241</v>
      </c>
      <c r="F1404">
        <v>13598</v>
      </c>
      <c r="G1404" t="s">
        <v>13</v>
      </c>
      <c r="H1404" t="s">
        <v>23</v>
      </c>
      <c r="I1404" t="s">
        <v>42</v>
      </c>
      <c r="J1404" s="2">
        <f>Table1[[#This Row],[Profit]]/Table1[[#This Row],[Sales]]*100</f>
        <v>31.018043294783183</v>
      </c>
      <c r="K1404" t="str">
        <f>IF(Table1[[#This Row],[Sales]]&gt;=30000,"High", IF(Table1[[#This Row],[Sales]]&gt;=15000,"Medium","Low"))</f>
        <v>High</v>
      </c>
      <c r="L1404" t="str">
        <f>TEXT(Table1[[#This Row],[Order_Date]],"MMM")</f>
        <v>Jan</v>
      </c>
      <c r="M1404" t="str">
        <f>IF(Table1[[#This Row],[Profit]]&gt;=10000,"Excellent",IF(Table1[[#This Row],[Profit]]&gt;5000,"Good","Low"))</f>
        <v>Excellent</v>
      </c>
      <c r="N1404" t="str">
        <f>TEXT(Table1[[#This Row],[Order_Date]],"YYYY")</f>
        <v>2026</v>
      </c>
    </row>
    <row r="1405" spans="1:14" x14ac:dyDescent="0.25">
      <c r="A1405" s="1">
        <v>45801</v>
      </c>
      <c r="B1405" t="s">
        <v>26</v>
      </c>
      <c r="C1405" t="s">
        <v>33</v>
      </c>
      <c r="D1405">
        <v>40992</v>
      </c>
      <c r="E1405">
        <v>26917</v>
      </c>
      <c r="F1405">
        <v>14075</v>
      </c>
      <c r="G1405" t="s">
        <v>13</v>
      </c>
      <c r="H1405" t="s">
        <v>45</v>
      </c>
      <c r="I1405" t="s">
        <v>24</v>
      </c>
      <c r="J1405" s="2">
        <f>Table1[[#This Row],[Profit]]/Table1[[#This Row],[Sales]]*100</f>
        <v>34.335967993754878</v>
      </c>
      <c r="K1405" t="str">
        <f>IF(Table1[[#This Row],[Sales]]&gt;=30000,"High", IF(Table1[[#This Row],[Sales]]&gt;=15000,"Medium","Low"))</f>
        <v>High</v>
      </c>
      <c r="L1405" t="str">
        <f>TEXT(Table1[[#This Row],[Order_Date]],"MMM")</f>
        <v>May</v>
      </c>
      <c r="M1405" t="str">
        <f>IF(Table1[[#This Row],[Profit]]&gt;=10000,"Excellent",IF(Table1[[#This Row],[Profit]]&gt;5000,"Good","Low"))</f>
        <v>Excellent</v>
      </c>
      <c r="N1405" t="str">
        <f>TEXT(Table1[[#This Row],[Order_Date]],"YYYY")</f>
        <v>2025</v>
      </c>
    </row>
    <row r="1406" spans="1:14" x14ac:dyDescent="0.25">
      <c r="A1406" s="1">
        <v>45681</v>
      </c>
      <c r="B1406" t="s">
        <v>44</v>
      </c>
      <c r="C1406" t="s">
        <v>41</v>
      </c>
      <c r="D1406">
        <v>13838</v>
      </c>
      <c r="E1406">
        <v>3300</v>
      </c>
      <c r="F1406">
        <v>10538</v>
      </c>
      <c r="G1406" t="s">
        <v>19</v>
      </c>
      <c r="H1406" t="s">
        <v>14</v>
      </c>
      <c r="I1406" t="s">
        <v>42</v>
      </c>
      <c r="J1406" s="2">
        <f>Table1[[#This Row],[Profit]]/Table1[[#This Row],[Sales]]*100</f>
        <v>76.152623211446752</v>
      </c>
      <c r="K1406" t="str">
        <f>IF(Table1[[#This Row],[Sales]]&gt;=30000,"High", IF(Table1[[#This Row],[Sales]]&gt;=15000,"Medium","Low"))</f>
        <v>Low</v>
      </c>
      <c r="L1406" t="str">
        <f>TEXT(Table1[[#This Row],[Order_Date]],"MMM")</f>
        <v>Jan</v>
      </c>
      <c r="M1406" t="str">
        <f>IF(Table1[[#This Row],[Profit]]&gt;=10000,"Excellent",IF(Table1[[#This Row],[Profit]]&gt;5000,"Good","Low"))</f>
        <v>Excellent</v>
      </c>
      <c r="N1406" t="str">
        <f>TEXT(Table1[[#This Row],[Order_Date]],"YYYY")</f>
        <v>2025</v>
      </c>
    </row>
    <row r="1407" spans="1:14" x14ac:dyDescent="0.25">
      <c r="A1407" s="1">
        <v>45562</v>
      </c>
      <c r="B1407" t="s">
        <v>11</v>
      </c>
      <c r="C1407" t="s">
        <v>12</v>
      </c>
      <c r="D1407">
        <v>42741</v>
      </c>
      <c r="E1407">
        <v>29887</v>
      </c>
      <c r="F1407">
        <v>12854</v>
      </c>
      <c r="G1407" t="s">
        <v>27</v>
      </c>
      <c r="H1407" t="s">
        <v>34</v>
      </c>
      <c r="I1407" t="s">
        <v>15</v>
      </c>
      <c r="J1407" s="2">
        <f>Table1[[#This Row],[Profit]]/Table1[[#This Row],[Sales]]*100</f>
        <v>30.074167661028049</v>
      </c>
      <c r="K1407" t="str">
        <f>IF(Table1[[#This Row],[Sales]]&gt;=30000,"High", IF(Table1[[#This Row],[Sales]]&gt;=15000,"Medium","Low"))</f>
        <v>High</v>
      </c>
      <c r="L1407" t="str">
        <f>TEXT(Table1[[#This Row],[Order_Date]],"MMM")</f>
        <v>Sep</v>
      </c>
      <c r="M1407" t="str">
        <f>IF(Table1[[#This Row],[Profit]]&gt;=10000,"Excellent",IF(Table1[[#This Row],[Profit]]&gt;5000,"Good","Low"))</f>
        <v>Excellent</v>
      </c>
      <c r="N1407" t="str">
        <f>TEXT(Table1[[#This Row],[Order_Date]],"YYYY")</f>
        <v>2024</v>
      </c>
    </row>
    <row r="1408" spans="1:14" x14ac:dyDescent="0.25">
      <c r="A1408" s="1">
        <v>45995</v>
      </c>
      <c r="B1408" t="s">
        <v>22</v>
      </c>
      <c r="C1408" t="s">
        <v>18</v>
      </c>
      <c r="D1408">
        <v>48642</v>
      </c>
      <c r="E1408">
        <v>39785</v>
      </c>
      <c r="F1408">
        <v>8857</v>
      </c>
      <c r="G1408" t="s">
        <v>38</v>
      </c>
      <c r="H1408" t="s">
        <v>23</v>
      </c>
      <c r="I1408" t="s">
        <v>42</v>
      </c>
      <c r="J1408" s="2">
        <f>Table1[[#This Row],[Profit]]/Table1[[#This Row],[Sales]]*100</f>
        <v>18.208544056576621</v>
      </c>
      <c r="K1408" t="str">
        <f>IF(Table1[[#This Row],[Sales]]&gt;=30000,"High", IF(Table1[[#This Row],[Sales]]&gt;=15000,"Medium","Low"))</f>
        <v>High</v>
      </c>
      <c r="L1408" t="str">
        <f>TEXT(Table1[[#This Row],[Order_Date]],"MMM")</f>
        <v>Dec</v>
      </c>
      <c r="M1408" t="str">
        <f>IF(Table1[[#This Row],[Profit]]&gt;=10000,"Excellent",IF(Table1[[#This Row],[Profit]]&gt;5000,"Good","Low"))</f>
        <v>Good</v>
      </c>
      <c r="N1408" t="str">
        <f>TEXT(Table1[[#This Row],[Order_Date]],"YYYY")</f>
        <v>2025</v>
      </c>
    </row>
    <row r="1409" spans="1:14" x14ac:dyDescent="0.25">
      <c r="A1409" s="1">
        <v>45378</v>
      </c>
      <c r="B1409" t="s">
        <v>22</v>
      </c>
      <c r="C1409" t="s">
        <v>18</v>
      </c>
      <c r="D1409">
        <v>25232</v>
      </c>
      <c r="E1409">
        <v>8380</v>
      </c>
      <c r="F1409">
        <v>16852</v>
      </c>
      <c r="G1409" t="s">
        <v>38</v>
      </c>
      <c r="H1409" t="s">
        <v>28</v>
      </c>
      <c r="I1409" t="s">
        <v>42</v>
      </c>
      <c r="J1409" s="2">
        <f>Table1[[#This Row],[Profit]]/Table1[[#This Row],[Sales]]*100</f>
        <v>66.788205453392507</v>
      </c>
      <c r="K1409" t="str">
        <f>IF(Table1[[#This Row],[Sales]]&gt;=30000,"High", IF(Table1[[#This Row],[Sales]]&gt;=15000,"Medium","Low"))</f>
        <v>Medium</v>
      </c>
      <c r="L1409" t="str">
        <f>TEXT(Table1[[#This Row],[Order_Date]],"MMM")</f>
        <v>Mar</v>
      </c>
      <c r="M1409" t="str">
        <f>IF(Table1[[#This Row],[Profit]]&gt;=10000,"Excellent",IF(Table1[[#This Row],[Profit]]&gt;5000,"Good","Low"))</f>
        <v>Excellent</v>
      </c>
      <c r="N1409" t="str">
        <f>TEXT(Table1[[#This Row],[Order_Date]],"YYYY")</f>
        <v>2024</v>
      </c>
    </row>
    <row r="1410" spans="1:14" x14ac:dyDescent="0.25">
      <c r="A1410" s="1">
        <v>45350</v>
      </c>
      <c r="B1410" t="s">
        <v>17</v>
      </c>
      <c r="C1410" t="s">
        <v>33</v>
      </c>
      <c r="D1410">
        <v>23041</v>
      </c>
      <c r="E1410">
        <v>21354</v>
      </c>
      <c r="F1410">
        <v>1687</v>
      </c>
      <c r="G1410" t="s">
        <v>38</v>
      </c>
      <c r="H1410" t="s">
        <v>23</v>
      </c>
      <c r="I1410" t="s">
        <v>24</v>
      </c>
      <c r="J1410" s="2">
        <f>Table1[[#This Row],[Profit]]/Table1[[#This Row],[Sales]]*100</f>
        <v>7.3217308276550499</v>
      </c>
      <c r="K1410" t="str">
        <f>IF(Table1[[#This Row],[Sales]]&gt;=30000,"High", IF(Table1[[#This Row],[Sales]]&gt;=15000,"Medium","Low"))</f>
        <v>Medium</v>
      </c>
      <c r="L1410" t="str">
        <f>TEXT(Table1[[#This Row],[Order_Date]],"MMM")</f>
        <v>Feb</v>
      </c>
      <c r="M1410" t="str">
        <f>IF(Table1[[#This Row],[Profit]]&gt;=10000,"Excellent",IF(Table1[[#This Row],[Profit]]&gt;5000,"Good","Low"))</f>
        <v>Low</v>
      </c>
      <c r="N1410" t="str">
        <f>TEXT(Table1[[#This Row],[Order_Date]],"YYYY")</f>
        <v>2024</v>
      </c>
    </row>
    <row r="1411" spans="1:14" x14ac:dyDescent="0.25">
      <c r="A1411" s="1">
        <v>45271</v>
      </c>
      <c r="B1411" t="s">
        <v>22</v>
      </c>
      <c r="C1411" t="s">
        <v>36</v>
      </c>
      <c r="D1411">
        <v>49444</v>
      </c>
      <c r="E1411">
        <v>29793</v>
      </c>
      <c r="F1411">
        <v>19651</v>
      </c>
      <c r="G1411" t="s">
        <v>13</v>
      </c>
      <c r="H1411" t="s">
        <v>60</v>
      </c>
      <c r="I1411" t="s">
        <v>24</v>
      </c>
      <c r="J1411" s="2">
        <f>Table1[[#This Row],[Profit]]/Table1[[#This Row],[Sales]]*100</f>
        <v>39.743952754631501</v>
      </c>
      <c r="K1411" t="str">
        <f>IF(Table1[[#This Row],[Sales]]&gt;=30000,"High", IF(Table1[[#This Row],[Sales]]&gt;=15000,"Medium","Low"))</f>
        <v>High</v>
      </c>
      <c r="L1411" t="str">
        <f>TEXT(Table1[[#This Row],[Order_Date]],"MMM")</f>
        <v>Dec</v>
      </c>
      <c r="M1411" t="str">
        <f>IF(Table1[[#This Row],[Profit]]&gt;=10000,"Excellent",IF(Table1[[#This Row],[Profit]]&gt;5000,"Good","Low"))</f>
        <v>Excellent</v>
      </c>
      <c r="N1411" t="str">
        <f>TEXT(Table1[[#This Row],[Order_Date]],"YYYY")</f>
        <v>2023</v>
      </c>
    </row>
    <row r="1412" spans="1:14" x14ac:dyDescent="0.25">
      <c r="A1412" s="1">
        <v>46202</v>
      </c>
      <c r="B1412" t="s">
        <v>44</v>
      </c>
      <c r="C1412" t="s">
        <v>18</v>
      </c>
      <c r="D1412">
        <v>40755</v>
      </c>
      <c r="E1412">
        <v>34053</v>
      </c>
      <c r="F1412">
        <v>6702</v>
      </c>
      <c r="G1412" t="s">
        <v>13</v>
      </c>
      <c r="H1412" t="s">
        <v>14</v>
      </c>
      <c r="I1412" t="s">
        <v>15</v>
      </c>
      <c r="J1412" s="2">
        <f>Table1[[#This Row],[Profit]]/Table1[[#This Row],[Sales]]*100</f>
        <v>16.444608023555393</v>
      </c>
      <c r="K1412" t="str">
        <f>IF(Table1[[#This Row],[Sales]]&gt;=30000,"High", IF(Table1[[#This Row],[Sales]]&gt;=15000,"Medium","Low"))</f>
        <v>High</v>
      </c>
      <c r="L1412" t="str">
        <f>TEXT(Table1[[#This Row],[Order_Date]],"MMM")</f>
        <v>Jun</v>
      </c>
      <c r="M1412" t="str">
        <f>IF(Table1[[#This Row],[Profit]]&gt;=10000,"Excellent",IF(Table1[[#This Row],[Profit]]&gt;5000,"Good","Low"))</f>
        <v>Good</v>
      </c>
      <c r="N1412" t="str">
        <f>TEXT(Table1[[#This Row],[Order_Date]],"YYYY")</f>
        <v>2026</v>
      </c>
    </row>
    <row r="1413" spans="1:14" x14ac:dyDescent="0.25">
      <c r="A1413" s="1">
        <v>45701</v>
      </c>
      <c r="B1413" t="s">
        <v>11</v>
      </c>
      <c r="C1413" t="s">
        <v>36</v>
      </c>
      <c r="D1413">
        <v>43468</v>
      </c>
      <c r="E1413">
        <v>38209</v>
      </c>
      <c r="F1413">
        <v>5259</v>
      </c>
      <c r="G1413" t="s">
        <v>13</v>
      </c>
      <c r="H1413" t="s">
        <v>31</v>
      </c>
      <c r="I1413" t="s">
        <v>53</v>
      </c>
      <c r="J1413" s="2">
        <f>Table1[[#This Row],[Profit]]/Table1[[#This Row],[Sales]]*100</f>
        <v>12.098555259041134</v>
      </c>
      <c r="K1413" t="str">
        <f>IF(Table1[[#This Row],[Sales]]&gt;=30000,"High", IF(Table1[[#This Row],[Sales]]&gt;=15000,"Medium","Low"))</f>
        <v>High</v>
      </c>
      <c r="L1413" t="str">
        <f>TEXT(Table1[[#This Row],[Order_Date]],"MMM")</f>
        <v>Feb</v>
      </c>
      <c r="M1413" t="str">
        <f>IF(Table1[[#This Row],[Profit]]&gt;=10000,"Excellent",IF(Table1[[#This Row],[Profit]]&gt;5000,"Good","Low"))</f>
        <v>Good</v>
      </c>
      <c r="N1413" t="str">
        <f>TEXT(Table1[[#This Row],[Order_Date]],"YYYY")</f>
        <v>2025</v>
      </c>
    </row>
    <row r="1414" spans="1:14" x14ac:dyDescent="0.25">
      <c r="A1414" s="1">
        <v>46127</v>
      </c>
      <c r="B1414" t="s">
        <v>44</v>
      </c>
      <c r="C1414" t="s">
        <v>36</v>
      </c>
      <c r="D1414">
        <v>20844</v>
      </c>
      <c r="E1414">
        <v>9935</v>
      </c>
      <c r="F1414">
        <v>10909</v>
      </c>
      <c r="G1414" t="s">
        <v>38</v>
      </c>
      <c r="H1414" t="s">
        <v>45</v>
      </c>
      <c r="I1414" t="s">
        <v>29</v>
      </c>
      <c r="J1414" s="2">
        <f>Table1[[#This Row],[Profit]]/Table1[[#This Row],[Sales]]*100</f>
        <v>52.336403761274234</v>
      </c>
      <c r="K1414" t="str">
        <f>IF(Table1[[#This Row],[Sales]]&gt;=30000,"High", IF(Table1[[#This Row],[Sales]]&gt;=15000,"Medium","Low"))</f>
        <v>Medium</v>
      </c>
      <c r="L1414" t="str">
        <f>TEXT(Table1[[#This Row],[Order_Date]],"MMM")</f>
        <v>Apr</v>
      </c>
      <c r="M1414" t="str">
        <f>IF(Table1[[#This Row],[Profit]]&gt;=10000,"Excellent",IF(Table1[[#This Row],[Profit]]&gt;5000,"Good","Low"))</f>
        <v>Excellent</v>
      </c>
      <c r="N1414" t="str">
        <f>TEXT(Table1[[#This Row],[Order_Date]],"YYYY")</f>
        <v>2026</v>
      </c>
    </row>
    <row r="1415" spans="1:14" x14ac:dyDescent="0.25">
      <c r="A1415" s="1">
        <v>45428</v>
      </c>
      <c r="B1415" t="s">
        <v>22</v>
      </c>
      <c r="C1415" t="s">
        <v>36</v>
      </c>
      <c r="D1415">
        <v>49789</v>
      </c>
      <c r="E1415">
        <v>31253</v>
      </c>
      <c r="F1415">
        <v>18536</v>
      </c>
      <c r="G1415" t="s">
        <v>27</v>
      </c>
      <c r="H1415" t="s">
        <v>34</v>
      </c>
      <c r="I1415" t="s">
        <v>53</v>
      </c>
      <c r="J1415" s="2">
        <f>Table1[[#This Row],[Profit]]/Table1[[#This Row],[Sales]]*100</f>
        <v>37.229106830826083</v>
      </c>
      <c r="K1415" t="str">
        <f>IF(Table1[[#This Row],[Sales]]&gt;=30000,"High", IF(Table1[[#This Row],[Sales]]&gt;=15000,"Medium","Low"))</f>
        <v>High</v>
      </c>
      <c r="L1415" t="str">
        <f>TEXT(Table1[[#This Row],[Order_Date]],"MMM")</f>
        <v>May</v>
      </c>
      <c r="M1415" t="str">
        <f>IF(Table1[[#This Row],[Profit]]&gt;=10000,"Excellent",IF(Table1[[#This Row],[Profit]]&gt;5000,"Good","Low"))</f>
        <v>Excellent</v>
      </c>
      <c r="N1415" t="str">
        <f>TEXT(Table1[[#This Row],[Order_Date]],"YYYY")</f>
        <v>2024</v>
      </c>
    </row>
    <row r="1416" spans="1:14" x14ac:dyDescent="0.25">
      <c r="A1416" s="1">
        <v>45906</v>
      </c>
      <c r="B1416" t="s">
        <v>11</v>
      </c>
      <c r="C1416" t="s">
        <v>33</v>
      </c>
      <c r="D1416">
        <v>27520</v>
      </c>
      <c r="E1416">
        <v>9657</v>
      </c>
      <c r="F1416">
        <v>17863</v>
      </c>
      <c r="G1416" t="s">
        <v>27</v>
      </c>
      <c r="H1416" t="s">
        <v>23</v>
      </c>
      <c r="I1416" t="s">
        <v>29</v>
      </c>
      <c r="J1416" s="2">
        <f>Table1[[#This Row],[Profit]]/Table1[[#This Row],[Sales]]*100</f>
        <v>64.909156976744185</v>
      </c>
      <c r="K1416" t="str">
        <f>IF(Table1[[#This Row],[Sales]]&gt;=30000,"High", IF(Table1[[#This Row],[Sales]]&gt;=15000,"Medium","Low"))</f>
        <v>Medium</v>
      </c>
      <c r="L1416" t="str">
        <f>TEXT(Table1[[#This Row],[Order_Date]],"MMM")</f>
        <v>Sep</v>
      </c>
      <c r="M1416" t="str">
        <f>IF(Table1[[#This Row],[Profit]]&gt;=10000,"Excellent",IF(Table1[[#This Row],[Profit]]&gt;5000,"Good","Low"))</f>
        <v>Excellent</v>
      </c>
      <c r="N1416" t="str">
        <f>TEXT(Table1[[#This Row],[Order_Date]],"YYYY")</f>
        <v>2025</v>
      </c>
    </row>
    <row r="1417" spans="1:14" x14ac:dyDescent="0.25">
      <c r="A1417" s="1">
        <v>45223</v>
      </c>
      <c r="B1417" t="s">
        <v>17</v>
      </c>
      <c r="C1417" t="s">
        <v>18</v>
      </c>
      <c r="D1417">
        <v>18742</v>
      </c>
      <c r="E1417">
        <v>16851</v>
      </c>
      <c r="F1417">
        <v>1891</v>
      </c>
      <c r="G1417" t="s">
        <v>38</v>
      </c>
      <c r="H1417" t="s">
        <v>14</v>
      </c>
      <c r="I1417" t="s">
        <v>53</v>
      </c>
      <c r="J1417" s="2">
        <f>Table1[[#This Row],[Profit]]/Table1[[#This Row],[Sales]]*100</f>
        <v>10.089638245651479</v>
      </c>
      <c r="K1417" t="str">
        <f>IF(Table1[[#This Row],[Sales]]&gt;=30000,"High", IF(Table1[[#This Row],[Sales]]&gt;=15000,"Medium","Low"))</f>
        <v>Medium</v>
      </c>
      <c r="L1417" t="str">
        <f>TEXT(Table1[[#This Row],[Order_Date]],"MMM")</f>
        <v>Oct</v>
      </c>
      <c r="M1417" t="str">
        <f>IF(Table1[[#This Row],[Profit]]&gt;=10000,"Excellent",IF(Table1[[#This Row],[Profit]]&gt;5000,"Good","Low"))</f>
        <v>Low</v>
      </c>
      <c r="N1417" t="str">
        <f>TEXT(Table1[[#This Row],[Order_Date]],"YYYY")</f>
        <v>2023</v>
      </c>
    </row>
    <row r="1418" spans="1:14" x14ac:dyDescent="0.25">
      <c r="A1418" s="1">
        <v>45487</v>
      </c>
      <c r="B1418" t="s">
        <v>11</v>
      </c>
      <c r="C1418" t="s">
        <v>41</v>
      </c>
      <c r="D1418">
        <v>12318</v>
      </c>
      <c r="E1418">
        <v>8117</v>
      </c>
      <c r="F1418">
        <v>4201</v>
      </c>
      <c r="G1418" t="s">
        <v>27</v>
      </c>
      <c r="H1418" t="s">
        <v>45</v>
      </c>
      <c r="I1418" t="s">
        <v>42</v>
      </c>
      <c r="J1418" s="2">
        <f>Table1[[#This Row],[Profit]]/Table1[[#This Row],[Sales]]*100</f>
        <v>34.104562428965743</v>
      </c>
      <c r="K1418" t="str">
        <f>IF(Table1[[#This Row],[Sales]]&gt;=30000,"High", IF(Table1[[#This Row],[Sales]]&gt;=15000,"Medium","Low"))</f>
        <v>Low</v>
      </c>
      <c r="L1418" t="str">
        <f>TEXT(Table1[[#This Row],[Order_Date]],"MMM")</f>
        <v>Jul</v>
      </c>
      <c r="M1418" t="str">
        <f>IF(Table1[[#This Row],[Profit]]&gt;=10000,"Excellent",IF(Table1[[#This Row],[Profit]]&gt;5000,"Good","Low"))</f>
        <v>Low</v>
      </c>
      <c r="N1418" t="str">
        <f>TEXT(Table1[[#This Row],[Order_Date]],"YYYY")</f>
        <v>2024</v>
      </c>
    </row>
    <row r="1419" spans="1:14" x14ac:dyDescent="0.25">
      <c r="A1419" s="1">
        <v>45816</v>
      </c>
      <c r="B1419" t="s">
        <v>17</v>
      </c>
      <c r="C1419" t="s">
        <v>18</v>
      </c>
      <c r="D1419">
        <v>33232</v>
      </c>
      <c r="E1419">
        <v>25126</v>
      </c>
      <c r="F1419">
        <v>8106</v>
      </c>
      <c r="G1419" t="s">
        <v>27</v>
      </c>
      <c r="H1419" t="s">
        <v>34</v>
      </c>
      <c r="I1419" t="s">
        <v>42</v>
      </c>
      <c r="J1419" s="2">
        <f>Table1[[#This Row],[Profit]]/Table1[[#This Row],[Sales]]*100</f>
        <v>24.39215214251324</v>
      </c>
      <c r="K1419" t="str">
        <f>IF(Table1[[#This Row],[Sales]]&gt;=30000,"High", IF(Table1[[#This Row],[Sales]]&gt;=15000,"Medium","Low"))</f>
        <v>High</v>
      </c>
      <c r="L1419" t="str">
        <f>TEXT(Table1[[#This Row],[Order_Date]],"MMM")</f>
        <v>Jun</v>
      </c>
      <c r="M1419" t="str">
        <f>IF(Table1[[#This Row],[Profit]]&gt;=10000,"Excellent",IF(Table1[[#This Row],[Profit]]&gt;5000,"Good","Low"))</f>
        <v>Good</v>
      </c>
      <c r="N1419" t="str">
        <f>TEXT(Table1[[#This Row],[Order_Date]],"YYYY")</f>
        <v>2025</v>
      </c>
    </row>
    <row r="1420" spans="1:14" x14ac:dyDescent="0.25">
      <c r="A1420" s="1">
        <v>46128</v>
      </c>
      <c r="B1420" t="s">
        <v>44</v>
      </c>
      <c r="C1420" t="s">
        <v>41</v>
      </c>
      <c r="D1420">
        <v>7779</v>
      </c>
      <c r="E1420">
        <v>3750</v>
      </c>
      <c r="F1420">
        <v>4029</v>
      </c>
      <c r="G1420" t="s">
        <v>19</v>
      </c>
      <c r="H1420" t="s">
        <v>34</v>
      </c>
      <c r="I1420" t="s">
        <v>15</v>
      </c>
      <c r="J1420" s="2">
        <f>Table1[[#This Row],[Profit]]/Table1[[#This Row],[Sales]]*100</f>
        <v>51.793289625915925</v>
      </c>
      <c r="K1420" t="str">
        <f>IF(Table1[[#This Row],[Sales]]&gt;=30000,"High", IF(Table1[[#This Row],[Sales]]&gt;=15000,"Medium","Low"))</f>
        <v>Low</v>
      </c>
      <c r="L1420" t="str">
        <f>TEXT(Table1[[#This Row],[Order_Date]],"MMM")</f>
        <v>Apr</v>
      </c>
      <c r="M1420" t="str">
        <f>IF(Table1[[#This Row],[Profit]]&gt;=10000,"Excellent",IF(Table1[[#This Row],[Profit]]&gt;5000,"Good","Low"))</f>
        <v>Low</v>
      </c>
      <c r="N1420" t="str">
        <f>TEXT(Table1[[#This Row],[Order_Date]],"YYYY")</f>
        <v>2026</v>
      </c>
    </row>
    <row r="1421" spans="1:14" x14ac:dyDescent="0.25">
      <c r="A1421" s="1">
        <v>45431</v>
      </c>
      <c r="B1421" t="s">
        <v>17</v>
      </c>
      <c r="C1421" t="s">
        <v>41</v>
      </c>
      <c r="D1421">
        <v>5496</v>
      </c>
      <c r="E1421">
        <v>1401</v>
      </c>
      <c r="F1421">
        <v>4095</v>
      </c>
      <c r="G1421" t="s">
        <v>27</v>
      </c>
      <c r="H1421" t="s">
        <v>23</v>
      </c>
      <c r="I1421" t="s">
        <v>42</v>
      </c>
      <c r="J1421" s="2">
        <f>Table1[[#This Row],[Profit]]/Table1[[#This Row],[Sales]]*100</f>
        <v>74.508733624454152</v>
      </c>
      <c r="K1421" t="str">
        <f>IF(Table1[[#This Row],[Sales]]&gt;=30000,"High", IF(Table1[[#This Row],[Sales]]&gt;=15000,"Medium","Low"))</f>
        <v>Low</v>
      </c>
      <c r="L1421" t="str">
        <f>TEXT(Table1[[#This Row],[Order_Date]],"MMM")</f>
        <v>May</v>
      </c>
      <c r="M1421" t="str">
        <f>IF(Table1[[#This Row],[Profit]]&gt;=10000,"Excellent",IF(Table1[[#This Row],[Profit]]&gt;5000,"Good","Low"))</f>
        <v>Low</v>
      </c>
      <c r="N1421" t="str">
        <f>TEXT(Table1[[#This Row],[Order_Date]],"YYYY")</f>
        <v>2024</v>
      </c>
    </row>
    <row r="1422" spans="1:14" x14ac:dyDescent="0.25">
      <c r="A1422" s="1">
        <v>45452</v>
      </c>
      <c r="B1422" t="s">
        <v>11</v>
      </c>
      <c r="C1422" t="s">
        <v>33</v>
      </c>
      <c r="D1422">
        <v>14095</v>
      </c>
      <c r="E1422">
        <v>9107</v>
      </c>
      <c r="F1422">
        <v>4988</v>
      </c>
      <c r="G1422" t="s">
        <v>13</v>
      </c>
      <c r="H1422" t="s">
        <v>20</v>
      </c>
      <c r="I1422" t="s">
        <v>15</v>
      </c>
      <c r="J1422" s="2">
        <f>Table1[[#This Row],[Profit]]/Table1[[#This Row],[Sales]]*100</f>
        <v>35.388435615466477</v>
      </c>
      <c r="K1422" t="str">
        <f>IF(Table1[[#This Row],[Sales]]&gt;=30000,"High", IF(Table1[[#This Row],[Sales]]&gt;=15000,"Medium","Low"))</f>
        <v>Low</v>
      </c>
      <c r="L1422" t="str">
        <f>TEXT(Table1[[#This Row],[Order_Date]],"MMM")</f>
        <v>Jun</v>
      </c>
      <c r="M1422" t="str">
        <f>IF(Table1[[#This Row],[Profit]]&gt;=10000,"Excellent",IF(Table1[[#This Row],[Profit]]&gt;5000,"Good","Low"))</f>
        <v>Low</v>
      </c>
      <c r="N1422" t="str">
        <f>TEXT(Table1[[#This Row],[Order_Date]],"YYYY")</f>
        <v>2024</v>
      </c>
    </row>
    <row r="1423" spans="1:14" x14ac:dyDescent="0.25">
      <c r="A1423" s="1">
        <v>45504</v>
      </c>
      <c r="B1423" t="s">
        <v>11</v>
      </c>
      <c r="C1423" t="s">
        <v>18</v>
      </c>
      <c r="D1423">
        <v>45936</v>
      </c>
      <c r="E1423">
        <v>33549</v>
      </c>
      <c r="F1423">
        <v>12387</v>
      </c>
      <c r="G1423" t="s">
        <v>27</v>
      </c>
      <c r="H1423" t="s">
        <v>45</v>
      </c>
      <c r="I1423" t="s">
        <v>42</v>
      </c>
      <c r="J1423" s="2">
        <f>Table1[[#This Row],[Profit]]/Table1[[#This Row],[Sales]]*100</f>
        <v>26.965778474399166</v>
      </c>
      <c r="K1423" t="str">
        <f>IF(Table1[[#This Row],[Sales]]&gt;=30000,"High", IF(Table1[[#This Row],[Sales]]&gt;=15000,"Medium","Low"))</f>
        <v>High</v>
      </c>
      <c r="L1423" t="str">
        <f>TEXT(Table1[[#This Row],[Order_Date]],"MMM")</f>
        <v>Jul</v>
      </c>
      <c r="M1423" t="str">
        <f>IF(Table1[[#This Row],[Profit]]&gt;=10000,"Excellent",IF(Table1[[#This Row],[Profit]]&gt;5000,"Good","Low"))</f>
        <v>Excellent</v>
      </c>
      <c r="N1423" t="str">
        <f>TEXT(Table1[[#This Row],[Order_Date]],"YYYY")</f>
        <v>2024</v>
      </c>
    </row>
    <row r="1424" spans="1:14" x14ac:dyDescent="0.25">
      <c r="A1424" s="1">
        <v>46118</v>
      </c>
      <c r="B1424" t="s">
        <v>17</v>
      </c>
      <c r="C1424" t="s">
        <v>41</v>
      </c>
      <c r="D1424">
        <v>9835</v>
      </c>
      <c r="E1424">
        <v>8356</v>
      </c>
      <c r="F1424">
        <v>1479</v>
      </c>
      <c r="G1424" t="s">
        <v>27</v>
      </c>
      <c r="H1424" t="s">
        <v>63</v>
      </c>
      <c r="I1424" t="s">
        <v>15</v>
      </c>
      <c r="J1424" s="2">
        <f>Table1[[#This Row],[Profit]]/Table1[[#This Row],[Sales]]*100</f>
        <v>15.038129130655822</v>
      </c>
      <c r="K1424" t="str">
        <f>IF(Table1[[#This Row],[Sales]]&gt;=30000,"High", IF(Table1[[#This Row],[Sales]]&gt;=15000,"Medium","Low"))</f>
        <v>Low</v>
      </c>
      <c r="L1424" t="str">
        <f>TEXT(Table1[[#This Row],[Order_Date]],"MMM")</f>
        <v>Apr</v>
      </c>
      <c r="M1424" t="str">
        <f>IF(Table1[[#This Row],[Profit]]&gt;=10000,"Excellent",IF(Table1[[#This Row],[Profit]]&gt;5000,"Good","Low"))</f>
        <v>Low</v>
      </c>
      <c r="N1424" t="str">
        <f>TEXT(Table1[[#This Row],[Order_Date]],"YYYY")</f>
        <v>2026</v>
      </c>
    </row>
    <row r="1425" spans="1:14" x14ac:dyDescent="0.25">
      <c r="A1425" s="1">
        <v>45402</v>
      </c>
      <c r="B1425" t="s">
        <v>26</v>
      </c>
      <c r="C1425" t="s">
        <v>12</v>
      </c>
      <c r="D1425">
        <v>17895</v>
      </c>
      <c r="E1425">
        <v>1010</v>
      </c>
      <c r="F1425">
        <v>16885</v>
      </c>
      <c r="G1425" t="s">
        <v>38</v>
      </c>
      <c r="H1425" t="s">
        <v>31</v>
      </c>
      <c r="I1425" t="s">
        <v>24</v>
      </c>
      <c r="J1425" s="2">
        <f>Table1[[#This Row],[Profit]]/Table1[[#This Row],[Sales]]*100</f>
        <v>94.355965353450685</v>
      </c>
      <c r="K1425" t="str">
        <f>IF(Table1[[#This Row],[Sales]]&gt;=30000,"High", IF(Table1[[#This Row],[Sales]]&gt;=15000,"Medium","Low"))</f>
        <v>Medium</v>
      </c>
      <c r="L1425" t="str">
        <f>TEXT(Table1[[#This Row],[Order_Date]],"MMM")</f>
        <v>Apr</v>
      </c>
      <c r="M1425" t="str">
        <f>IF(Table1[[#This Row],[Profit]]&gt;=10000,"Excellent",IF(Table1[[#This Row],[Profit]]&gt;5000,"Good","Low"))</f>
        <v>Excellent</v>
      </c>
      <c r="N1425" t="str">
        <f>TEXT(Table1[[#This Row],[Order_Date]],"YYYY")</f>
        <v>2024</v>
      </c>
    </row>
    <row r="1426" spans="1:14" x14ac:dyDescent="0.25">
      <c r="A1426" s="1">
        <v>46170</v>
      </c>
      <c r="B1426" t="s">
        <v>26</v>
      </c>
      <c r="C1426" t="s">
        <v>33</v>
      </c>
      <c r="D1426">
        <v>27864</v>
      </c>
      <c r="E1426">
        <v>23822</v>
      </c>
      <c r="F1426">
        <v>4042</v>
      </c>
      <c r="G1426" t="s">
        <v>38</v>
      </c>
      <c r="H1426" t="s">
        <v>34</v>
      </c>
      <c r="I1426" t="s">
        <v>29</v>
      </c>
      <c r="J1426" s="2">
        <f>Table1[[#This Row],[Profit]]/Table1[[#This Row],[Sales]]*100</f>
        <v>14.506172839506174</v>
      </c>
      <c r="K1426" t="str">
        <f>IF(Table1[[#This Row],[Sales]]&gt;=30000,"High", IF(Table1[[#This Row],[Sales]]&gt;=15000,"Medium","Low"))</f>
        <v>Medium</v>
      </c>
      <c r="L1426" t="str">
        <f>TEXT(Table1[[#This Row],[Order_Date]],"MMM")</f>
        <v>May</v>
      </c>
      <c r="M1426" t="str">
        <f>IF(Table1[[#This Row],[Profit]]&gt;=10000,"Excellent",IF(Table1[[#This Row],[Profit]]&gt;5000,"Good","Low"))</f>
        <v>Low</v>
      </c>
      <c r="N1426" t="str">
        <f>TEXT(Table1[[#This Row],[Order_Date]],"YYYY")</f>
        <v>2026</v>
      </c>
    </row>
    <row r="1427" spans="1:14" x14ac:dyDescent="0.25">
      <c r="A1427" s="1">
        <v>45424</v>
      </c>
      <c r="B1427" t="s">
        <v>11</v>
      </c>
      <c r="C1427" t="s">
        <v>33</v>
      </c>
      <c r="D1427">
        <v>12575</v>
      </c>
      <c r="E1427">
        <v>797</v>
      </c>
      <c r="F1427">
        <v>11778</v>
      </c>
      <c r="G1427" t="s">
        <v>19</v>
      </c>
      <c r="H1427" t="s">
        <v>20</v>
      </c>
      <c r="I1427" t="s">
        <v>24</v>
      </c>
      <c r="J1427" s="2">
        <f>Table1[[#This Row],[Profit]]/Table1[[#This Row],[Sales]]*100</f>
        <v>93.662027833001986</v>
      </c>
      <c r="K1427" t="str">
        <f>IF(Table1[[#This Row],[Sales]]&gt;=30000,"High", IF(Table1[[#This Row],[Sales]]&gt;=15000,"Medium","Low"))</f>
        <v>Low</v>
      </c>
      <c r="L1427" t="str">
        <f>TEXT(Table1[[#This Row],[Order_Date]],"MMM")</f>
        <v>May</v>
      </c>
      <c r="M1427" t="str">
        <f>IF(Table1[[#This Row],[Profit]]&gt;=10000,"Excellent",IF(Table1[[#This Row],[Profit]]&gt;5000,"Good","Low"))</f>
        <v>Excellent</v>
      </c>
      <c r="N1427" t="str">
        <f>TEXT(Table1[[#This Row],[Order_Date]],"YYYY")</f>
        <v>2024</v>
      </c>
    </row>
    <row r="1428" spans="1:14" x14ac:dyDescent="0.25">
      <c r="A1428" s="1">
        <v>45844</v>
      </c>
      <c r="B1428" t="s">
        <v>11</v>
      </c>
      <c r="C1428" t="s">
        <v>41</v>
      </c>
      <c r="D1428">
        <v>27429</v>
      </c>
      <c r="E1428">
        <v>8895</v>
      </c>
      <c r="F1428">
        <v>18534</v>
      </c>
      <c r="G1428" t="s">
        <v>13</v>
      </c>
      <c r="H1428" t="s">
        <v>31</v>
      </c>
      <c r="I1428" t="s">
        <v>29</v>
      </c>
      <c r="J1428" s="2">
        <f>Table1[[#This Row],[Profit]]/Table1[[#This Row],[Sales]]*100</f>
        <v>67.570819205949903</v>
      </c>
      <c r="K1428" t="str">
        <f>IF(Table1[[#This Row],[Sales]]&gt;=30000,"High", IF(Table1[[#This Row],[Sales]]&gt;=15000,"Medium","Low"))</f>
        <v>Medium</v>
      </c>
      <c r="L1428" t="str">
        <f>TEXT(Table1[[#This Row],[Order_Date]],"MMM")</f>
        <v>Jul</v>
      </c>
      <c r="M1428" t="str">
        <f>IF(Table1[[#This Row],[Profit]]&gt;=10000,"Excellent",IF(Table1[[#This Row],[Profit]]&gt;5000,"Good","Low"))</f>
        <v>Excellent</v>
      </c>
      <c r="N1428" t="str">
        <f>TEXT(Table1[[#This Row],[Order_Date]],"YYYY")</f>
        <v>2025</v>
      </c>
    </row>
    <row r="1429" spans="1:14" x14ac:dyDescent="0.25">
      <c r="A1429" s="1">
        <v>45798</v>
      </c>
      <c r="B1429" t="s">
        <v>17</v>
      </c>
      <c r="C1429" t="s">
        <v>18</v>
      </c>
      <c r="D1429">
        <v>7534</v>
      </c>
      <c r="E1429">
        <v>2757</v>
      </c>
      <c r="F1429">
        <v>4777</v>
      </c>
      <c r="G1429" t="s">
        <v>19</v>
      </c>
      <c r="H1429" t="s">
        <v>34</v>
      </c>
      <c r="I1429" t="s">
        <v>29</v>
      </c>
      <c r="J1429" s="2">
        <f>Table1[[#This Row],[Profit]]/Table1[[#This Row],[Sales]]*100</f>
        <v>63.405893283780202</v>
      </c>
      <c r="K1429" t="str">
        <f>IF(Table1[[#This Row],[Sales]]&gt;=30000,"High", IF(Table1[[#This Row],[Sales]]&gt;=15000,"Medium","Low"))</f>
        <v>Low</v>
      </c>
      <c r="L1429" t="str">
        <f>TEXT(Table1[[#This Row],[Order_Date]],"MMM")</f>
        <v>May</v>
      </c>
      <c r="M1429" t="str">
        <f>IF(Table1[[#This Row],[Profit]]&gt;=10000,"Excellent",IF(Table1[[#This Row],[Profit]]&gt;5000,"Good","Low"))</f>
        <v>Low</v>
      </c>
      <c r="N1429" t="str">
        <f>TEXT(Table1[[#This Row],[Order_Date]],"YYYY")</f>
        <v>2025</v>
      </c>
    </row>
    <row r="1430" spans="1:14" x14ac:dyDescent="0.25">
      <c r="A1430" s="1">
        <v>45573</v>
      </c>
      <c r="B1430" t="s">
        <v>44</v>
      </c>
      <c r="C1430" t="s">
        <v>12</v>
      </c>
      <c r="D1430">
        <v>41762</v>
      </c>
      <c r="E1430">
        <v>30876</v>
      </c>
      <c r="F1430">
        <v>10886</v>
      </c>
      <c r="G1430" t="s">
        <v>38</v>
      </c>
      <c r="H1430" t="s">
        <v>28</v>
      </c>
      <c r="I1430" t="s">
        <v>53</v>
      </c>
      <c r="J1430" s="2">
        <f>Table1[[#This Row],[Profit]]/Table1[[#This Row],[Sales]]*100</f>
        <v>26.066759254824962</v>
      </c>
      <c r="K1430" t="str">
        <f>IF(Table1[[#This Row],[Sales]]&gt;=30000,"High", IF(Table1[[#This Row],[Sales]]&gt;=15000,"Medium","Low"))</f>
        <v>High</v>
      </c>
      <c r="L1430" t="str">
        <f>TEXT(Table1[[#This Row],[Order_Date]],"MMM")</f>
        <v>Oct</v>
      </c>
      <c r="M1430" t="str">
        <f>IF(Table1[[#This Row],[Profit]]&gt;=10000,"Excellent",IF(Table1[[#This Row],[Profit]]&gt;5000,"Good","Low"))</f>
        <v>Excellent</v>
      </c>
      <c r="N1430" t="str">
        <f>TEXT(Table1[[#This Row],[Order_Date]],"YYYY")</f>
        <v>2024</v>
      </c>
    </row>
    <row r="1431" spans="1:14" x14ac:dyDescent="0.25">
      <c r="A1431" s="1">
        <v>45313</v>
      </c>
      <c r="B1431" t="s">
        <v>11</v>
      </c>
      <c r="C1431" t="s">
        <v>41</v>
      </c>
      <c r="D1431">
        <v>20493</v>
      </c>
      <c r="E1431">
        <v>10100</v>
      </c>
      <c r="F1431">
        <v>10393</v>
      </c>
      <c r="G1431" t="s">
        <v>27</v>
      </c>
      <c r="H1431" t="s">
        <v>34</v>
      </c>
      <c r="I1431" t="s">
        <v>15</v>
      </c>
      <c r="J1431" s="2">
        <f>Table1[[#This Row],[Profit]]/Table1[[#This Row],[Sales]]*100</f>
        <v>50.714878251110143</v>
      </c>
      <c r="K1431" t="str">
        <f>IF(Table1[[#This Row],[Sales]]&gt;=30000,"High", IF(Table1[[#This Row],[Sales]]&gt;=15000,"Medium","Low"))</f>
        <v>Medium</v>
      </c>
      <c r="L1431" t="str">
        <f>TEXT(Table1[[#This Row],[Order_Date]],"MMM")</f>
        <v>Jan</v>
      </c>
      <c r="M1431" t="str">
        <f>IF(Table1[[#This Row],[Profit]]&gt;=10000,"Excellent",IF(Table1[[#This Row],[Profit]]&gt;5000,"Good","Low"))</f>
        <v>Excellent</v>
      </c>
      <c r="N1431" t="str">
        <f>TEXT(Table1[[#This Row],[Order_Date]],"YYYY")</f>
        <v>2024</v>
      </c>
    </row>
    <row r="1432" spans="1:14" x14ac:dyDescent="0.25">
      <c r="A1432" s="1">
        <v>46146</v>
      </c>
      <c r="B1432" t="s">
        <v>22</v>
      </c>
      <c r="C1432" t="s">
        <v>12</v>
      </c>
      <c r="D1432">
        <v>9971</v>
      </c>
      <c r="E1432">
        <v>7843</v>
      </c>
      <c r="F1432">
        <v>2128</v>
      </c>
      <c r="G1432" t="s">
        <v>38</v>
      </c>
      <c r="H1432" t="s">
        <v>14</v>
      </c>
      <c r="I1432" t="s">
        <v>15</v>
      </c>
      <c r="J1432" s="2">
        <f>Table1[[#This Row],[Profit]]/Table1[[#This Row],[Sales]]*100</f>
        <v>21.341891485307389</v>
      </c>
      <c r="K1432" t="str">
        <f>IF(Table1[[#This Row],[Sales]]&gt;=30000,"High", IF(Table1[[#This Row],[Sales]]&gt;=15000,"Medium","Low"))</f>
        <v>Low</v>
      </c>
      <c r="L1432" t="str">
        <f>TEXT(Table1[[#This Row],[Order_Date]],"MMM")</f>
        <v>May</v>
      </c>
      <c r="M1432" t="str">
        <f>IF(Table1[[#This Row],[Profit]]&gt;=10000,"Excellent",IF(Table1[[#This Row],[Profit]]&gt;5000,"Good","Low"))</f>
        <v>Low</v>
      </c>
      <c r="N1432" t="str">
        <f>TEXT(Table1[[#This Row],[Order_Date]],"YYYY")</f>
        <v>2026</v>
      </c>
    </row>
    <row r="1433" spans="1:14" x14ac:dyDescent="0.25">
      <c r="A1433" s="1">
        <v>45641</v>
      </c>
      <c r="B1433" t="s">
        <v>17</v>
      </c>
      <c r="C1433" t="s">
        <v>36</v>
      </c>
      <c r="D1433">
        <v>28207</v>
      </c>
      <c r="E1433">
        <v>10177</v>
      </c>
      <c r="F1433">
        <v>18030</v>
      </c>
      <c r="G1433" t="s">
        <v>19</v>
      </c>
      <c r="H1433" t="s">
        <v>20</v>
      </c>
      <c r="I1433" t="s">
        <v>24</v>
      </c>
      <c r="J1433" s="2">
        <f>Table1[[#This Row],[Profit]]/Table1[[#This Row],[Sales]]*100</f>
        <v>63.920303470769667</v>
      </c>
      <c r="K1433" t="str">
        <f>IF(Table1[[#This Row],[Sales]]&gt;=30000,"High", IF(Table1[[#This Row],[Sales]]&gt;=15000,"Medium","Low"))</f>
        <v>Medium</v>
      </c>
      <c r="L1433" t="str">
        <f>TEXT(Table1[[#This Row],[Order_Date]],"MMM")</f>
        <v>Dec</v>
      </c>
      <c r="M1433" t="str">
        <f>IF(Table1[[#This Row],[Profit]]&gt;=10000,"Excellent",IF(Table1[[#This Row],[Profit]]&gt;5000,"Good","Low"))</f>
        <v>Excellent</v>
      </c>
      <c r="N1433" t="str">
        <f>TEXT(Table1[[#This Row],[Order_Date]],"YYYY")</f>
        <v>2024</v>
      </c>
    </row>
    <row r="1434" spans="1:14" x14ac:dyDescent="0.25">
      <c r="A1434" s="1">
        <v>45702</v>
      </c>
      <c r="B1434" t="s">
        <v>17</v>
      </c>
      <c r="C1434" t="s">
        <v>12</v>
      </c>
      <c r="D1434">
        <v>11630</v>
      </c>
      <c r="E1434">
        <v>11115</v>
      </c>
      <c r="F1434">
        <v>515</v>
      </c>
      <c r="G1434" t="s">
        <v>27</v>
      </c>
      <c r="H1434" t="s">
        <v>31</v>
      </c>
      <c r="I1434" t="s">
        <v>53</v>
      </c>
      <c r="J1434" s="2">
        <f>Table1[[#This Row],[Profit]]/Table1[[#This Row],[Sales]]*100</f>
        <v>4.4282029234737754</v>
      </c>
      <c r="K1434" t="str">
        <f>IF(Table1[[#This Row],[Sales]]&gt;=30000,"High", IF(Table1[[#This Row],[Sales]]&gt;=15000,"Medium","Low"))</f>
        <v>Low</v>
      </c>
      <c r="L1434" t="str">
        <f>TEXT(Table1[[#This Row],[Order_Date]],"MMM")</f>
        <v>Feb</v>
      </c>
      <c r="M1434" t="str">
        <f>IF(Table1[[#This Row],[Profit]]&gt;=10000,"Excellent",IF(Table1[[#This Row],[Profit]]&gt;5000,"Good","Low"))</f>
        <v>Low</v>
      </c>
      <c r="N1434" t="str">
        <f>TEXT(Table1[[#This Row],[Order_Date]],"YYYY")</f>
        <v>2025</v>
      </c>
    </row>
    <row r="1435" spans="1:14" x14ac:dyDescent="0.25">
      <c r="A1435" s="1">
        <v>45150</v>
      </c>
      <c r="B1435" t="s">
        <v>26</v>
      </c>
      <c r="C1435" t="s">
        <v>33</v>
      </c>
      <c r="D1435">
        <v>35439</v>
      </c>
      <c r="E1435">
        <v>24875</v>
      </c>
      <c r="F1435">
        <v>10564</v>
      </c>
      <c r="G1435" t="s">
        <v>27</v>
      </c>
      <c r="H1435" t="s">
        <v>45</v>
      </c>
      <c r="I1435" t="s">
        <v>42</v>
      </c>
      <c r="J1435" s="2">
        <f>Table1[[#This Row],[Profit]]/Table1[[#This Row],[Sales]]*100</f>
        <v>29.808967521656932</v>
      </c>
      <c r="K1435" t="str">
        <f>IF(Table1[[#This Row],[Sales]]&gt;=30000,"High", IF(Table1[[#This Row],[Sales]]&gt;=15000,"Medium","Low"))</f>
        <v>High</v>
      </c>
      <c r="L1435" t="str">
        <f>TEXT(Table1[[#This Row],[Order_Date]],"MMM")</f>
        <v>Aug</v>
      </c>
      <c r="M1435" t="str">
        <f>IF(Table1[[#This Row],[Profit]]&gt;=10000,"Excellent",IF(Table1[[#This Row],[Profit]]&gt;5000,"Good","Low"))</f>
        <v>Excellent</v>
      </c>
      <c r="N1435" t="str">
        <f>TEXT(Table1[[#This Row],[Order_Date]],"YYYY")</f>
        <v>2023</v>
      </c>
    </row>
    <row r="1436" spans="1:14" x14ac:dyDescent="0.25">
      <c r="A1436" s="1">
        <v>45184</v>
      </c>
      <c r="B1436" t="s">
        <v>11</v>
      </c>
      <c r="C1436" t="s">
        <v>41</v>
      </c>
      <c r="D1436">
        <v>35260</v>
      </c>
      <c r="E1436">
        <v>28996</v>
      </c>
      <c r="F1436">
        <v>6264</v>
      </c>
      <c r="G1436" t="s">
        <v>27</v>
      </c>
      <c r="H1436" t="s">
        <v>31</v>
      </c>
      <c r="I1436" t="s">
        <v>29</v>
      </c>
      <c r="J1436" s="2">
        <f>Table1[[#This Row],[Profit]]/Table1[[#This Row],[Sales]]*100</f>
        <v>17.765173000567213</v>
      </c>
      <c r="K1436" t="str">
        <f>IF(Table1[[#This Row],[Sales]]&gt;=30000,"High", IF(Table1[[#This Row],[Sales]]&gt;=15000,"Medium","Low"))</f>
        <v>High</v>
      </c>
      <c r="L1436" t="str">
        <f>TEXT(Table1[[#This Row],[Order_Date]],"MMM")</f>
        <v>Sep</v>
      </c>
      <c r="M1436" t="str">
        <f>IF(Table1[[#This Row],[Profit]]&gt;=10000,"Excellent",IF(Table1[[#This Row],[Profit]]&gt;5000,"Good","Low"))</f>
        <v>Good</v>
      </c>
      <c r="N1436" t="str">
        <f>TEXT(Table1[[#This Row],[Order_Date]],"YYYY")</f>
        <v>2023</v>
      </c>
    </row>
    <row r="1437" spans="1:14" x14ac:dyDescent="0.25">
      <c r="A1437" s="1">
        <v>46111</v>
      </c>
      <c r="B1437" t="s">
        <v>11</v>
      </c>
      <c r="C1437" t="s">
        <v>12</v>
      </c>
      <c r="D1437">
        <v>15174</v>
      </c>
      <c r="E1437">
        <v>753</v>
      </c>
      <c r="F1437">
        <v>14421</v>
      </c>
      <c r="G1437" t="s">
        <v>19</v>
      </c>
      <c r="H1437" t="s">
        <v>28</v>
      </c>
      <c r="I1437" t="s">
        <v>42</v>
      </c>
      <c r="J1437" s="2">
        <f>Table1[[#This Row],[Profit]]/Table1[[#This Row],[Sales]]*100</f>
        <v>95.037564254646099</v>
      </c>
      <c r="K1437" t="str">
        <f>IF(Table1[[#This Row],[Sales]]&gt;=30000,"High", IF(Table1[[#This Row],[Sales]]&gt;=15000,"Medium","Low"))</f>
        <v>Medium</v>
      </c>
      <c r="L1437" t="str">
        <f>TEXT(Table1[[#This Row],[Order_Date]],"MMM")</f>
        <v>Mar</v>
      </c>
      <c r="M1437" t="str">
        <f>IF(Table1[[#This Row],[Profit]]&gt;=10000,"Excellent",IF(Table1[[#This Row],[Profit]]&gt;5000,"Good","Low"))</f>
        <v>Excellent</v>
      </c>
      <c r="N1437" t="str">
        <f>TEXT(Table1[[#This Row],[Order_Date]],"YYYY")</f>
        <v>2026</v>
      </c>
    </row>
    <row r="1438" spans="1:14" x14ac:dyDescent="0.25">
      <c r="A1438" s="1">
        <v>46054</v>
      </c>
      <c r="B1438" t="s">
        <v>17</v>
      </c>
      <c r="C1438" t="s">
        <v>18</v>
      </c>
      <c r="D1438">
        <v>38541</v>
      </c>
      <c r="E1438">
        <v>36623</v>
      </c>
      <c r="F1438">
        <v>1918</v>
      </c>
      <c r="G1438" t="s">
        <v>19</v>
      </c>
      <c r="H1438" t="s">
        <v>63</v>
      </c>
      <c r="I1438" t="s">
        <v>15</v>
      </c>
      <c r="J1438" s="2">
        <f>Table1[[#This Row],[Profit]]/Table1[[#This Row],[Sales]]*100</f>
        <v>4.9765185127526523</v>
      </c>
      <c r="K1438" t="str">
        <f>IF(Table1[[#This Row],[Sales]]&gt;=30000,"High", IF(Table1[[#This Row],[Sales]]&gt;=15000,"Medium","Low"))</f>
        <v>High</v>
      </c>
      <c r="L1438" t="str">
        <f>TEXT(Table1[[#This Row],[Order_Date]],"MMM")</f>
        <v>Feb</v>
      </c>
      <c r="M1438" t="str">
        <f>IF(Table1[[#This Row],[Profit]]&gt;=10000,"Excellent",IF(Table1[[#This Row],[Profit]]&gt;5000,"Good","Low"))</f>
        <v>Low</v>
      </c>
      <c r="N1438" t="str">
        <f>TEXT(Table1[[#This Row],[Order_Date]],"YYYY")</f>
        <v>2026</v>
      </c>
    </row>
    <row r="1439" spans="1:14" x14ac:dyDescent="0.25">
      <c r="A1439" s="1">
        <v>45670</v>
      </c>
      <c r="B1439" t="s">
        <v>26</v>
      </c>
      <c r="C1439" t="s">
        <v>12</v>
      </c>
      <c r="D1439">
        <v>45731</v>
      </c>
      <c r="E1439">
        <v>29370</v>
      </c>
      <c r="F1439">
        <v>16361</v>
      </c>
      <c r="G1439" t="s">
        <v>38</v>
      </c>
      <c r="H1439" t="s">
        <v>28</v>
      </c>
      <c r="I1439" t="s">
        <v>24</v>
      </c>
      <c r="J1439" s="2">
        <f>Table1[[#This Row],[Profit]]/Table1[[#This Row],[Sales]]*100</f>
        <v>35.776606678183285</v>
      </c>
      <c r="K1439" t="str">
        <f>IF(Table1[[#This Row],[Sales]]&gt;=30000,"High", IF(Table1[[#This Row],[Sales]]&gt;=15000,"Medium","Low"))</f>
        <v>High</v>
      </c>
      <c r="L1439" t="str">
        <f>TEXT(Table1[[#This Row],[Order_Date]],"MMM")</f>
        <v>Jan</v>
      </c>
      <c r="M1439" t="str">
        <f>IF(Table1[[#This Row],[Profit]]&gt;=10000,"Excellent",IF(Table1[[#This Row],[Profit]]&gt;5000,"Good","Low"))</f>
        <v>Excellent</v>
      </c>
      <c r="N1439" t="str">
        <f>TEXT(Table1[[#This Row],[Order_Date]],"YYYY")</f>
        <v>2025</v>
      </c>
    </row>
    <row r="1440" spans="1:14" x14ac:dyDescent="0.25">
      <c r="A1440" s="1">
        <v>45248</v>
      </c>
      <c r="B1440" t="s">
        <v>17</v>
      </c>
      <c r="C1440" t="s">
        <v>41</v>
      </c>
      <c r="D1440">
        <v>30864</v>
      </c>
      <c r="E1440">
        <v>20871</v>
      </c>
      <c r="F1440">
        <v>9993</v>
      </c>
      <c r="G1440" t="s">
        <v>38</v>
      </c>
      <c r="H1440" t="s">
        <v>63</v>
      </c>
      <c r="I1440" t="s">
        <v>29</v>
      </c>
      <c r="J1440" s="2">
        <f>Table1[[#This Row],[Profit]]/Table1[[#This Row],[Sales]]*100</f>
        <v>32.377527216174187</v>
      </c>
      <c r="K1440" t="str">
        <f>IF(Table1[[#This Row],[Sales]]&gt;=30000,"High", IF(Table1[[#This Row],[Sales]]&gt;=15000,"Medium","Low"))</f>
        <v>High</v>
      </c>
      <c r="L1440" t="str">
        <f>TEXT(Table1[[#This Row],[Order_Date]],"MMM")</f>
        <v>Nov</v>
      </c>
      <c r="M1440" t="str">
        <f>IF(Table1[[#This Row],[Profit]]&gt;=10000,"Excellent",IF(Table1[[#This Row],[Profit]]&gt;5000,"Good","Low"))</f>
        <v>Good</v>
      </c>
      <c r="N1440" t="str">
        <f>TEXT(Table1[[#This Row],[Order_Date]],"YYYY")</f>
        <v>2023</v>
      </c>
    </row>
    <row r="1441" spans="1:14" x14ac:dyDescent="0.25">
      <c r="A1441" s="1">
        <v>45851</v>
      </c>
      <c r="B1441" t="s">
        <v>11</v>
      </c>
      <c r="C1441" t="s">
        <v>41</v>
      </c>
      <c r="D1441">
        <v>33972</v>
      </c>
      <c r="E1441">
        <v>15686</v>
      </c>
      <c r="F1441">
        <v>18286</v>
      </c>
      <c r="G1441" t="s">
        <v>19</v>
      </c>
      <c r="H1441" t="s">
        <v>23</v>
      </c>
      <c r="I1441" t="s">
        <v>24</v>
      </c>
      <c r="J1441" s="2">
        <f>Table1[[#This Row],[Profit]]/Table1[[#This Row],[Sales]]*100</f>
        <v>53.826680795949613</v>
      </c>
      <c r="K1441" t="str">
        <f>IF(Table1[[#This Row],[Sales]]&gt;=30000,"High", IF(Table1[[#This Row],[Sales]]&gt;=15000,"Medium","Low"))</f>
        <v>High</v>
      </c>
      <c r="L1441" t="str">
        <f>TEXT(Table1[[#This Row],[Order_Date]],"MMM")</f>
        <v>Jul</v>
      </c>
      <c r="M1441" t="str">
        <f>IF(Table1[[#This Row],[Profit]]&gt;=10000,"Excellent",IF(Table1[[#This Row],[Profit]]&gt;5000,"Good","Low"))</f>
        <v>Excellent</v>
      </c>
      <c r="N1441" t="str">
        <f>TEXT(Table1[[#This Row],[Order_Date]],"YYYY")</f>
        <v>2025</v>
      </c>
    </row>
    <row r="1442" spans="1:14" x14ac:dyDescent="0.25">
      <c r="A1442" s="1">
        <v>45401</v>
      </c>
      <c r="B1442" t="s">
        <v>11</v>
      </c>
      <c r="C1442" t="s">
        <v>12</v>
      </c>
      <c r="D1442">
        <v>47178</v>
      </c>
      <c r="E1442">
        <v>40547</v>
      </c>
      <c r="F1442">
        <v>6631</v>
      </c>
      <c r="G1442" t="s">
        <v>19</v>
      </c>
      <c r="H1442" t="s">
        <v>60</v>
      </c>
      <c r="I1442" t="s">
        <v>15</v>
      </c>
      <c r="J1442" s="2">
        <f>Table1[[#This Row],[Profit]]/Table1[[#This Row],[Sales]]*100</f>
        <v>14.05528000339141</v>
      </c>
      <c r="K1442" t="str">
        <f>IF(Table1[[#This Row],[Sales]]&gt;=30000,"High", IF(Table1[[#This Row],[Sales]]&gt;=15000,"Medium","Low"))</f>
        <v>High</v>
      </c>
      <c r="L1442" t="str">
        <f>TEXT(Table1[[#This Row],[Order_Date]],"MMM")</f>
        <v>Apr</v>
      </c>
      <c r="M1442" t="str">
        <f>IF(Table1[[#This Row],[Profit]]&gt;=10000,"Excellent",IF(Table1[[#This Row],[Profit]]&gt;5000,"Good","Low"))</f>
        <v>Good</v>
      </c>
      <c r="N1442" t="str">
        <f>TEXT(Table1[[#This Row],[Order_Date]],"YYYY")</f>
        <v>2024</v>
      </c>
    </row>
    <row r="1443" spans="1:14" x14ac:dyDescent="0.25">
      <c r="A1443" s="1">
        <v>45805</v>
      </c>
      <c r="B1443" t="s">
        <v>17</v>
      </c>
      <c r="C1443" t="s">
        <v>36</v>
      </c>
      <c r="D1443">
        <v>47138</v>
      </c>
      <c r="E1443">
        <v>44337</v>
      </c>
      <c r="F1443">
        <v>2801</v>
      </c>
      <c r="G1443" t="s">
        <v>27</v>
      </c>
      <c r="H1443" t="s">
        <v>63</v>
      </c>
      <c r="I1443" t="s">
        <v>29</v>
      </c>
      <c r="J1443" s="2">
        <f>Table1[[#This Row],[Profit]]/Table1[[#This Row],[Sales]]*100</f>
        <v>5.9421273706987989</v>
      </c>
      <c r="K1443" t="str">
        <f>IF(Table1[[#This Row],[Sales]]&gt;=30000,"High", IF(Table1[[#This Row],[Sales]]&gt;=15000,"Medium","Low"))</f>
        <v>High</v>
      </c>
      <c r="L1443" t="str">
        <f>TEXT(Table1[[#This Row],[Order_Date]],"MMM")</f>
        <v>May</v>
      </c>
      <c r="M1443" t="str">
        <f>IF(Table1[[#This Row],[Profit]]&gt;=10000,"Excellent",IF(Table1[[#This Row],[Profit]]&gt;5000,"Good","Low"))</f>
        <v>Low</v>
      </c>
      <c r="N1443" t="str">
        <f>TEXT(Table1[[#This Row],[Order_Date]],"YYYY")</f>
        <v>2025</v>
      </c>
    </row>
    <row r="1444" spans="1:14" x14ac:dyDescent="0.25">
      <c r="A1444" s="1">
        <v>45875</v>
      </c>
      <c r="B1444" t="s">
        <v>26</v>
      </c>
      <c r="C1444" t="s">
        <v>33</v>
      </c>
      <c r="D1444">
        <v>36674</v>
      </c>
      <c r="E1444">
        <v>33377</v>
      </c>
      <c r="F1444">
        <v>3297</v>
      </c>
      <c r="G1444" t="s">
        <v>19</v>
      </c>
      <c r="H1444" t="s">
        <v>31</v>
      </c>
      <c r="I1444" t="s">
        <v>15</v>
      </c>
      <c r="J1444" s="2">
        <f>Table1[[#This Row],[Profit]]/Table1[[#This Row],[Sales]]*100</f>
        <v>8.9900201777826254</v>
      </c>
      <c r="K1444" t="str">
        <f>IF(Table1[[#This Row],[Sales]]&gt;=30000,"High", IF(Table1[[#This Row],[Sales]]&gt;=15000,"Medium","Low"))</f>
        <v>High</v>
      </c>
      <c r="L1444" t="str">
        <f>TEXT(Table1[[#This Row],[Order_Date]],"MMM")</f>
        <v>Aug</v>
      </c>
      <c r="M1444" t="str">
        <f>IF(Table1[[#This Row],[Profit]]&gt;=10000,"Excellent",IF(Table1[[#This Row],[Profit]]&gt;5000,"Good","Low"))</f>
        <v>Low</v>
      </c>
      <c r="N1444" t="str">
        <f>TEXT(Table1[[#This Row],[Order_Date]],"YYYY")</f>
        <v>2025</v>
      </c>
    </row>
    <row r="1445" spans="1:14" x14ac:dyDescent="0.25">
      <c r="A1445" s="1">
        <v>45653</v>
      </c>
      <c r="B1445" t="s">
        <v>26</v>
      </c>
      <c r="C1445" t="s">
        <v>12</v>
      </c>
      <c r="D1445">
        <v>16561</v>
      </c>
      <c r="E1445">
        <v>6578</v>
      </c>
      <c r="F1445">
        <v>9983</v>
      </c>
      <c r="G1445" t="s">
        <v>19</v>
      </c>
      <c r="H1445" t="s">
        <v>60</v>
      </c>
      <c r="I1445" t="s">
        <v>15</v>
      </c>
      <c r="J1445" s="2">
        <f>Table1[[#This Row],[Profit]]/Table1[[#This Row],[Sales]]*100</f>
        <v>60.280176317855208</v>
      </c>
      <c r="K1445" t="str">
        <f>IF(Table1[[#This Row],[Sales]]&gt;=30000,"High", IF(Table1[[#This Row],[Sales]]&gt;=15000,"Medium","Low"))</f>
        <v>Medium</v>
      </c>
      <c r="L1445" t="str">
        <f>TEXT(Table1[[#This Row],[Order_Date]],"MMM")</f>
        <v>Dec</v>
      </c>
      <c r="M1445" t="str">
        <f>IF(Table1[[#This Row],[Profit]]&gt;=10000,"Excellent",IF(Table1[[#This Row],[Profit]]&gt;5000,"Good","Low"))</f>
        <v>Good</v>
      </c>
      <c r="N1445" t="str">
        <f>TEXT(Table1[[#This Row],[Order_Date]],"YYYY")</f>
        <v>2024</v>
      </c>
    </row>
    <row r="1446" spans="1:14" x14ac:dyDescent="0.25">
      <c r="A1446" s="1">
        <v>46065</v>
      </c>
      <c r="B1446" t="s">
        <v>26</v>
      </c>
      <c r="C1446" t="s">
        <v>18</v>
      </c>
      <c r="D1446">
        <v>10801</v>
      </c>
      <c r="E1446">
        <v>4872</v>
      </c>
      <c r="F1446">
        <v>5929</v>
      </c>
      <c r="G1446" t="s">
        <v>13</v>
      </c>
      <c r="H1446" t="s">
        <v>20</v>
      </c>
      <c r="I1446" t="s">
        <v>15</v>
      </c>
      <c r="J1446" s="2">
        <f>Table1[[#This Row],[Profit]]/Table1[[#This Row],[Sales]]*100</f>
        <v>54.893065456902136</v>
      </c>
      <c r="K1446" t="str">
        <f>IF(Table1[[#This Row],[Sales]]&gt;=30000,"High", IF(Table1[[#This Row],[Sales]]&gt;=15000,"Medium","Low"))</f>
        <v>Low</v>
      </c>
      <c r="L1446" t="str">
        <f>TEXT(Table1[[#This Row],[Order_Date]],"MMM")</f>
        <v>Feb</v>
      </c>
      <c r="M1446" t="str">
        <f>IF(Table1[[#This Row],[Profit]]&gt;=10000,"Excellent",IF(Table1[[#This Row],[Profit]]&gt;5000,"Good","Low"))</f>
        <v>Good</v>
      </c>
      <c r="N1446" t="str">
        <f>TEXT(Table1[[#This Row],[Order_Date]],"YYYY")</f>
        <v>2026</v>
      </c>
    </row>
    <row r="1447" spans="1:14" x14ac:dyDescent="0.25">
      <c r="A1447" s="1">
        <v>46003</v>
      </c>
      <c r="B1447" t="s">
        <v>17</v>
      </c>
      <c r="C1447" t="s">
        <v>41</v>
      </c>
      <c r="D1447">
        <v>49786</v>
      </c>
      <c r="E1447">
        <v>38144</v>
      </c>
      <c r="F1447">
        <v>11642</v>
      </c>
      <c r="G1447" t="s">
        <v>38</v>
      </c>
      <c r="H1447" t="s">
        <v>63</v>
      </c>
      <c r="I1447" t="s">
        <v>24</v>
      </c>
      <c r="J1447" s="2">
        <f>Table1[[#This Row],[Profit]]/Table1[[#This Row],[Sales]]*100</f>
        <v>23.38408387900213</v>
      </c>
      <c r="K1447" t="str">
        <f>IF(Table1[[#This Row],[Sales]]&gt;=30000,"High", IF(Table1[[#This Row],[Sales]]&gt;=15000,"Medium","Low"))</f>
        <v>High</v>
      </c>
      <c r="L1447" t="str">
        <f>TEXT(Table1[[#This Row],[Order_Date]],"MMM")</f>
        <v>Dec</v>
      </c>
      <c r="M1447" t="str">
        <f>IF(Table1[[#This Row],[Profit]]&gt;=10000,"Excellent",IF(Table1[[#This Row],[Profit]]&gt;5000,"Good","Low"))</f>
        <v>Excellent</v>
      </c>
      <c r="N1447" t="str">
        <f>TEXT(Table1[[#This Row],[Order_Date]],"YYYY")</f>
        <v>2025</v>
      </c>
    </row>
    <row r="1448" spans="1:14" x14ac:dyDescent="0.25">
      <c r="A1448" s="1">
        <v>45290</v>
      </c>
      <c r="B1448" t="s">
        <v>11</v>
      </c>
      <c r="C1448" t="s">
        <v>41</v>
      </c>
      <c r="D1448">
        <v>7498</v>
      </c>
      <c r="E1448">
        <v>2756</v>
      </c>
      <c r="F1448">
        <v>4742</v>
      </c>
      <c r="G1448" t="s">
        <v>27</v>
      </c>
      <c r="H1448" t="s">
        <v>45</v>
      </c>
      <c r="I1448" t="s">
        <v>15</v>
      </c>
      <c r="J1448" s="2">
        <f>Table1[[#This Row],[Profit]]/Table1[[#This Row],[Sales]]*100</f>
        <v>63.243531608428917</v>
      </c>
      <c r="K1448" t="str">
        <f>IF(Table1[[#This Row],[Sales]]&gt;=30000,"High", IF(Table1[[#This Row],[Sales]]&gt;=15000,"Medium","Low"))</f>
        <v>Low</v>
      </c>
      <c r="L1448" t="str">
        <f>TEXT(Table1[[#This Row],[Order_Date]],"MMM")</f>
        <v>Dec</v>
      </c>
      <c r="M1448" t="str">
        <f>IF(Table1[[#This Row],[Profit]]&gt;=10000,"Excellent",IF(Table1[[#This Row],[Profit]]&gt;5000,"Good","Low"))</f>
        <v>Low</v>
      </c>
      <c r="N1448" t="str">
        <f>TEXT(Table1[[#This Row],[Order_Date]],"YYYY")</f>
        <v>2023</v>
      </c>
    </row>
    <row r="1449" spans="1:14" x14ac:dyDescent="0.25">
      <c r="A1449" s="1">
        <v>46198</v>
      </c>
      <c r="B1449" t="s">
        <v>11</v>
      </c>
      <c r="C1449" t="s">
        <v>36</v>
      </c>
      <c r="D1449">
        <v>48991</v>
      </c>
      <c r="E1449">
        <v>38572</v>
      </c>
      <c r="F1449">
        <v>10419</v>
      </c>
      <c r="G1449" t="s">
        <v>27</v>
      </c>
      <c r="H1449" t="s">
        <v>34</v>
      </c>
      <c r="I1449" t="s">
        <v>24</v>
      </c>
      <c r="J1449" s="2">
        <f>Table1[[#This Row],[Profit]]/Table1[[#This Row],[Sales]]*100</f>
        <v>21.267171521299829</v>
      </c>
      <c r="K1449" t="str">
        <f>IF(Table1[[#This Row],[Sales]]&gt;=30000,"High", IF(Table1[[#This Row],[Sales]]&gt;=15000,"Medium","Low"))</f>
        <v>High</v>
      </c>
      <c r="L1449" t="str">
        <f>TEXT(Table1[[#This Row],[Order_Date]],"MMM")</f>
        <v>Jun</v>
      </c>
      <c r="M1449" t="str">
        <f>IF(Table1[[#This Row],[Profit]]&gt;=10000,"Excellent",IF(Table1[[#This Row],[Profit]]&gt;5000,"Good","Low"))</f>
        <v>Excellent</v>
      </c>
      <c r="N1449" t="str">
        <f>TEXT(Table1[[#This Row],[Order_Date]],"YYYY")</f>
        <v>2026</v>
      </c>
    </row>
    <row r="1450" spans="1:14" x14ac:dyDescent="0.25">
      <c r="A1450" s="1">
        <v>45563</v>
      </c>
      <c r="B1450" t="s">
        <v>44</v>
      </c>
      <c r="C1450" t="s">
        <v>41</v>
      </c>
      <c r="D1450">
        <v>35000</v>
      </c>
      <c r="E1450">
        <v>30298</v>
      </c>
      <c r="F1450">
        <v>4702</v>
      </c>
      <c r="G1450" t="s">
        <v>13</v>
      </c>
      <c r="H1450" t="s">
        <v>63</v>
      </c>
      <c r="I1450" t="s">
        <v>24</v>
      </c>
      <c r="J1450" s="2">
        <f>Table1[[#This Row],[Profit]]/Table1[[#This Row],[Sales]]*100</f>
        <v>13.434285714285716</v>
      </c>
      <c r="K1450" t="str">
        <f>IF(Table1[[#This Row],[Sales]]&gt;=30000,"High", IF(Table1[[#This Row],[Sales]]&gt;=15000,"Medium","Low"))</f>
        <v>High</v>
      </c>
      <c r="L1450" t="str">
        <f>TEXT(Table1[[#This Row],[Order_Date]],"MMM")</f>
        <v>Sep</v>
      </c>
      <c r="M1450" t="str">
        <f>IF(Table1[[#This Row],[Profit]]&gt;=10000,"Excellent",IF(Table1[[#This Row],[Profit]]&gt;5000,"Good","Low"))</f>
        <v>Low</v>
      </c>
      <c r="N1450" t="str">
        <f>TEXT(Table1[[#This Row],[Order_Date]],"YYYY")</f>
        <v>2024</v>
      </c>
    </row>
    <row r="1451" spans="1:14" x14ac:dyDescent="0.25">
      <c r="A1451" s="1">
        <v>45967</v>
      </c>
      <c r="B1451" t="s">
        <v>17</v>
      </c>
      <c r="C1451" t="s">
        <v>36</v>
      </c>
      <c r="D1451">
        <v>46235</v>
      </c>
      <c r="E1451">
        <v>42408</v>
      </c>
      <c r="F1451">
        <v>3827</v>
      </c>
      <c r="G1451" t="s">
        <v>13</v>
      </c>
      <c r="H1451" t="s">
        <v>45</v>
      </c>
      <c r="I1451" t="s">
        <v>15</v>
      </c>
      <c r="J1451" s="2">
        <f>Table1[[#This Row],[Profit]]/Table1[[#This Row],[Sales]]*100</f>
        <v>8.2772791175516378</v>
      </c>
      <c r="K1451" t="str">
        <f>IF(Table1[[#This Row],[Sales]]&gt;=30000,"High", IF(Table1[[#This Row],[Sales]]&gt;=15000,"Medium","Low"))</f>
        <v>High</v>
      </c>
      <c r="L1451" t="str">
        <f>TEXT(Table1[[#This Row],[Order_Date]],"MMM")</f>
        <v>Nov</v>
      </c>
      <c r="M1451" t="str">
        <f>IF(Table1[[#This Row],[Profit]]&gt;=10000,"Excellent",IF(Table1[[#This Row],[Profit]]&gt;5000,"Good","Low"))</f>
        <v>Low</v>
      </c>
      <c r="N1451" t="str">
        <f>TEXT(Table1[[#This Row],[Order_Date]],"YYYY")</f>
        <v>2025</v>
      </c>
    </row>
    <row r="1452" spans="1:14" x14ac:dyDescent="0.25">
      <c r="A1452" s="1">
        <v>45666</v>
      </c>
      <c r="B1452" t="s">
        <v>44</v>
      </c>
      <c r="C1452" t="s">
        <v>36</v>
      </c>
      <c r="D1452">
        <v>41960</v>
      </c>
      <c r="E1452">
        <v>24747</v>
      </c>
      <c r="F1452">
        <v>17213</v>
      </c>
      <c r="G1452" t="s">
        <v>13</v>
      </c>
      <c r="H1452" t="s">
        <v>20</v>
      </c>
      <c r="I1452" t="s">
        <v>53</v>
      </c>
      <c r="J1452" s="2">
        <f>Table1[[#This Row],[Profit]]/Table1[[#This Row],[Sales]]*100</f>
        <v>41.022402287893236</v>
      </c>
      <c r="K1452" t="str">
        <f>IF(Table1[[#This Row],[Sales]]&gt;=30000,"High", IF(Table1[[#This Row],[Sales]]&gt;=15000,"Medium","Low"))</f>
        <v>High</v>
      </c>
      <c r="L1452" t="str">
        <f>TEXT(Table1[[#This Row],[Order_Date]],"MMM")</f>
        <v>Jan</v>
      </c>
      <c r="M1452" t="str">
        <f>IF(Table1[[#This Row],[Profit]]&gt;=10000,"Excellent",IF(Table1[[#This Row],[Profit]]&gt;5000,"Good","Low"))</f>
        <v>Excellent</v>
      </c>
      <c r="N1452" t="str">
        <f>TEXT(Table1[[#This Row],[Order_Date]],"YYYY")</f>
        <v>2025</v>
      </c>
    </row>
    <row r="1453" spans="1:14" x14ac:dyDescent="0.25">
      <c r="A1453" s="1">
        <v>45312</v>
      </c>
      <c r="B1453" t="s">
        <v>22</v>
      </c>
      <c r="C1453" t="s">
        <v>18</v>
      </c>
      <c r="D1453">
        <v>49910</v>
      </c>
      <c r="E1453">
        <v>44940</v>
      </c>
      <c r="F1453">
        <v>4970</v>
      </c>
      <c r="G1453" t="s">
        <v>13</v>
      </c>
      <c r="H1453" t="s">
        <v>63</v>
      </c>
      <c r="I1453" t="s">
        <v>29</v>
      </c>
      <c r="J1453" s="2">
        <f>Table1[[#This Row],[Profit]]/Table1[[#This Row],[Sales]]*100</f>
        <v>9.9579242636746148</v>
      </c>
      <c r="K1453" t="str">
        <f>IF(Table1[[#This Row],[Sales]]&gt;=30000,"High", IF(Table1[[#This Row],[Sales]]&gt;=15000,"Medium","Low"))</f>
        <v>High</v>
      </c>
      <c r="L1453" t="str">
        <f>TEXT(Table1[[#This Row],[Order_Date]],"MMM")</f>
        <v>Jan</v>
      </c>
      <c r="M1453" t="str">
        <f>IF(Table1[[#This Row],[Profit]]&gt;=10000,"Excellent",IF(Table1[[#This Row],[Profit]]&gt;5000,"Good","Low"))</f>
        <v>Low</v>
      </c>
      <c r="N1453" t="str">
        <f>TEXT(Table1[[#This Row],[Order_Date]],"YYYY")</f>
        <v>2024</v>
      </c>
    </row>
    <row r="1454" spans="1:14" x14ac:dyDescent="0.25">
      <c r="A1454" s="1">
        <v>45287</v>
      </c>
      <c r="B1454" t="s">
        <v>26</v>
      </c>
      <c r="C1454" t="s">
        <v>12</v>
      </c>
      <c r="D1454">
        <v>19044</v>
      </c>
      <c r="E1454">
        <v>2969</v>
      </c>
      <c r="F1454">
        <v>16075</v>
      </c>
      <c r="G1454" t="s">
        <v>38</v>
      </c>
      <c r="H1454" t="s">
        <v>20</v>
      </c>
      <c r="I1454" t="s">
        <v>24</v>
      </c>
      <c r="J1454" s="2">
        <f>Table1[[#This Row],[Profit]]/Table1[[#This Row],[Sales]]*100</f>
        <v>84.409787859693338</v>
      </c>
      <c r="K1454" t="str">
        <f>IF(Table1[[#This Row],[Sales]]&gt;=30000,"High", IF(Table1[[#This Row],[Sales]]&gt;=15000,"Medium","Low"))</f>
        <v>Medium</v>
      </c>
      <c r="L1454" t="str">
        <f>TEXT(Table1[[#This Row],[Order_Date]],"MMM")</f>
        <v>Dec</v>
      </c>
      <c r="M1454" t="str">
        <f>IF(Table1[[#This Row],[Profit]]&gt;=10000,"Excellent",IF(Table1[[#This Row],[Profit]]&gt;5000,"Good","Low"))</f>
        <v>Excellent</v>
      </c>
      <c r="N1454" t="str">
        <f>TEXT(Table1[[#This Row],[Order_Date]],"YYYY")</f>
        <v>2023</v>
      </c>
    </row>
    <row r="1455" spans="1:14" x14ac:dyDescent="0.25">
      <c r="A1455" s="1">
        <v>45721</v>
      </c>
      <c r="B1455" t="s">
        <v>22</v>
      </c>
      <c r="C1455" t="s">
        <v>36</v>
      </c>
      <c r="D1455">
        <v>5691</v>
      </c>
      <c r="E1455">
        <v>3823</v>
      </c>
      <c r="F1455">
        <v>1868</v>
      </c>
      <c r="G1455" t="s">
        <v>19</v>
      </c>
      <c r="H1455" t="s">
        <v>60</v>
      </c>
      <c r="I1455" t="s">
        <v>29</v>
      </c>
      <c r="J1455" s="2">
        <f>Table1[[#This Row],[Profit]]/Table1[[#This Row],[Sales]]*100</f>
        <v>32.823756808996663</v>
      </c>
      <c r="K1455" t="str">
        <f>IF(Table1[[#This Row],[Sales]]&gt;=30000,"High", IF(Table1[[#This Row],[Sales]]&gt;=15000,"Medium","Low"))</f>
        <v>Low</v>
      </c>
      <c r="L1455" t="str">
        <f>TEXT(Table1[[#This Row],[Order_Date]],"MMM")</f>
        <v>Mar</v>
      </c>
      <c r="M1455" t="str">
        <f>IF(Table1[[#This Row],[Profit]]&gt;=10000,"Excellent",IF(Table1[[#This Row],[Profit]]&gt;5000,"Good","Low"))</f>
        <v>Low</v>
      </c>
      <c r="N1455" t="str">
        <f>TEXT(Table1[[#This Row],[Order_Date]],"YYYY")</f>
        <v>2025</v>
      </c>
    </row>
    <row r="1456" spans="1:14" x14ac:dyDescent="0.25">
      <c r="A1456" s="1">
        <v>45257</v>
      </c>
      <c r="B1456" t="s">
        <v>11</v>
      </c>
      <c r="C1456" t="s">
        <v>33</v>
      </c>
      <c r="D1456">
        <v>32443</v>
      </c>
      <c r="E1456">
        <v>24397</v>
      </c>
      <c r="F1456">
        <v>8046</v>
      </c>
      <c r="G1456" t="s">
        <v>38</v>
      </c>
      <c r="H1456" t="s">
        <v>14</v>
      </c>
      <c r="I1456" t="s">
        <v>53</v>
      </c>
      <c r="J1456" s="2">
        <f>Table1[[#This Row],[Profit]]/Table1[[#This Row],[Sales]]*100</f>
        <v>24.800419196745061</v>
      </c>
      <c r="K1456" t="str">
        <f>IF(Table1[[#This Row],[Sales]]&gt;=30000,"High", IF(Table1[[#This Row],[Sales]]&gt;=15000,"Medium","Low"))</f>
        <v>High</v>
      </c>
      <c r="L1456" t="str">
        <f>TEXT(Table1[[#This Row],[Order_Date]],"MMM")</f>
        <v>Nov</v>
      </c>
      <c r="M1456" t="str">
        <f>IF(Table1[[#This Row],[Profit]]&gt;=10000,"Excellent",IF(Table1[[#This Row],[Profit]]&gt;5000,"Good","Low"))</f>
        <v>Good</v>
      </c>
      <c r="N1456" t="str">
        <f>TEXT(Table1[[#This Row],[Order_Date]],"YYYY")</f>
        <v>2023</v>
      </c>
    </row>
    <row r="1457" spans="1:14" x14ac:dyDescent="0.25">
      <c r="A1457" s="1">
        <v>46140</v>
      </c>
      <c r="B1457" t="s">
        <v>22</v>
      </c>
      <c r="C1457" t="s">
        <v>36</v>
      </c>
      <c r="D1457">
        <v>39449</v>
      </c>
      <c r="E1457">
        <v>27239</v>
      </c>
      <c r="F1457">
        <v>12210</v>
      </c>
      <c r="G1457" t="s">
        <v>13</v>
      </c>
      <c r="H1457" t="s">
        <v>14</v>
      </c>
      <c r="I1457" t="s">
        <v>53</v>
      </c>
      <c r="J1457" s="2">
        <f>Table1[[#This Row],[Profit]]/Table1[[#This Row],[Sales]]*100</f>
        <v>30.951354913939515</v>
      </c>
      <c r="K1457" t="str">
        <f>IF(Table1[[#This Row],[Sales]]&gt;=30000,"High", IF(Table1[[#This Row],[Sales]]&gt;=15000,"Medium","Low"))</f>
        <v>High</v>
      </c>
      <c r="L1457" t="str">
        <f>TEXT(Table1[[#This Row],[Order_Date]],"MMM")</f>
        <v>Apr</v>
      </c>
      <c r="M1457" t="str">
        <f>IF(Table1[[#This Row],[Profit]]&gt;=10000,"Excellent",IF(Table1[[#This Row],[Profit]]&gt;5000,"Good","Low"))</f>
        <v>Excellent</v>
      </c>
      <c r="N1457" t="str">
        <f>TEXT(Table1[[#This Row],[Order_Date]],"YYYY")</f>
        <v>2026</v>
      </c>
    </row>
    <row r="1458" spans="1:14" x14ac:dyDescent="0.25">
      <c r="A1458" s="1">
        <v>45745</v>
      </c>
      <c r="B1458" t="s">
        <v>17</v>
      </c>
      <c r="C1458" t="s">
        <v>36</v>
      </c>
      <c r="D1458">
        <v>29015</v>
      </c>
      <c r="E1458">
        <v>13520</v>
      </c>
      <c r="F1458">
        <v>15495</v>
      </c>
      <c r="G1458" t="s">
        <v>27</v>
      </c>
      <c r="H1458" t="s">
        <v>45</v>
      </c>
      <c r="I1458" t="s">
        <v>24</v>
      </c>
      <c r="J1458" s="2">
        <f>Table1[[#This Row],[Profit]]/Table1[[#This Row],[Sales]]*100</f>
        <v>53.403412028261243</v>
      </c>
      <c r="K1458" t="str">
        <f>IF(Table1[[#This Row],[Sales]]&gt;=30000,"High", IF(Table1[[#This Row],[Sales]]&gt;=15000,"Medium","Low"))</f>
        <v>Medium</v>
      </c>
      <c r="L1458" t="str">
        <f>TEXT(Table1[[#This Row],[Order_Date]],"MMM")</f>
        <v>Mar</v>
      </c>
      <c r="M1458" t="str">
        <f>IF(Table1[[#This Row],[Profit]]&gt;=10000,"Excellent",IF(Table1[[#This Row],[Profit]]&gt;5000,"Good","Low"))</f>
        <v>Excellent</v>
      </c>
      <c r="N1458" t="str">
        <f>TEXT(Table1[[#This Row],[Order_Date]],"YYYY")</f>
        <v>2025</v>
      </c>
    </row>
    <row r="1459" spans="1:14" x14ac:dyDescent="0.25">
      <c r="A1459" s="1">
        <v>45705</v>
      </c>
      <c r="B1459" t="s">
        <v>44</v>
      </c>
      <c r="C1459" t="s">
        <v>18</v>
      </c>
      <c r="D1459">
        <v>6129</v>
      </c>
      <c r="E1459">
        <v>4417</v>
      </c>
      <c r="F1459">
        <v>1712</v>
      </c>
      <c r="G1459" t="s">
        <v>38</v>
      </c>
      <c r="H1459" t="s">
        <v>60</v>
      </c>
      <c r="I1459" t="s">
        <v>53</v>
      </c>
      <c r="J1459" s="2">
        <f>Table1[[#This Row],[Profit]]/Table1[[#This Row],[Sales]]*100</f>
        <v>27.932778593571545</v>
      </c>
      <c r="K1459" t="str">
        <f>IF(Table1[[#This Row],[Sales]]&gt;=30000,"High", IF(Table1[[#This Row],[Sales]]&gt;=15000,"Medium","Low"))</f>
        <v>Low</v>
      </c>
      <c r="L1459" t="str">
        <f>TEXT(Table1[[#This Row],[Order_Date]],"MMM")</f>
        <v>Feb</v>
      </c>
      <c r="M1459" t="str">
        <f>IF(Table1[[#This Row],[Profit]]&gt;=10000,"Excellent",IF(Table1[[#This Row],[Profit]]&gt;5000,"Good","Low"))</f>
        <v>Low</v>
      </c>
      <c r="N1459" t="str">
        <f>TEXT(Table1[[#This Row],[Order_Date]],"YYYY")</f>
        <v>2025</v>
      </c>
    </row>
    <row r="1460" spans="1:14" x14ac:dyDescent="0.25">
      <c r="A1460" s="1">
        <v>45202</v>
      </c>
      <c r="B1460" t="s">
        <v>22</v>
      </c>
      <c r="C1460" t="s">
        <v>18</v>
      </c>
      <c r="D1460">
        <v>45950</v>
      </c>
      <c r="E1460">
        <v>27685</v>
      </c>
      <c r="F1460">
        <v>18265</v>
      </c>
      <c r="G1460" t="s">
        <v>27</v>
      </c>
      <c r="H1460" t="s">
        <v>60</v>
      </c>
      <c r="I1460" t="s">
        <v>29</v>
      </c>
      <c r="J1460" s="2">
        <f>Table1[[#This Row],[Profit]]/Table1[[#This Row],[Sales]]*100</f>
        <v>39.749727965179545</v>
      </c>
      <c r="K1460" t="str">
        <f>IF(Table1[[#This Row],[Sales]]&gt;=30000,"High", IF(Table1[[#This Row],[Sales]]&gt;=15000,"Medium","Low"))</f>
        <v>High</v>
      </c>
      <c r="L1460" t="str">
        <f>TEXT(Table1[[#This Row],[Order_Date]],"MMM")</f>
        <v>Oct</v>
      </c>
      <c r="M1460" t="str">
        <f>IF(Table1[[#This Row],[Profit]]&gt;=10000,"Excellent",IF(Table1[[#This Row],[Profit]]&gt;5000,"Good","Low"))</f>
        <v>Excellent</v>
      </c>
      <c r="N1460" t="str">
        <f>TEXT(Table1[[#This Row],[Order_Date]],"YYYY")</f>
        <v>2023</v>
      </c>
    </row>
    <row r="1461" spans="1:14" x14ac:dyDescent="0.25">
      <c r="A1461" s="1">
        <v>45750</v>
      </c>
      <c r="B1461" t="s">
        <v>22</v>
      </c>
      <c r="C1461" t="s">
        <v>12</v>
      </c>
      <c r="D1461">
        <v>21031</v>
      </c>
      <c r="E1461">
        <v>13154</v>
      </c>
      <c r="F1461">
        <v>7877</v>
      </c>
      <c r="G1461" t="s">
        <v>19</v>
      </c>
      <c r="H1461" t="s">
        <v>45</v>
      </c>
      <c r="I1461" t="s">
        <v>24</v>
      </c>
      <c r="J1461" s="2">
        <f>Table1[[#This Row],[Profit]]/Table1[[#This Row],[Sales]]*100</f>
        <v>37.454234225666873</v>
      </c>
      <c r="K1461" t="str">
        <f>IF(Table1[[#This Row],[Sales]]&gt;=30000,"High", IF(Table1[[#This Row],[Sales]]&gt;=15000,"Medium","Low"))</f>
        <v>Medium</v>
      </c>
      <c r="L1461" t="str">
        <f>TEXT(Table1[[#This Row],[Order_Date]],"MMM")</f>
        <v>Apr</v>
      </c>
      <c r="M1461" t="str">
        <f>IF(Table1[[#This Row],[Profit]]&gt;=10000,"Excellent",IF(Table1[[#This Row],[Profit]]&gt;5000,"Good","Low"))</f>
        <v>Good</v>
      </c>
      <c r="N1461" t="str">
        <f>TEXT(Table1[[#This Row],[Order_Date]],"YYYY")</f>
        <v>2025</v>
      </c>
    </row>
    <row r="1462" spans="1:14" x14ac:dyDescent="0.25">
      <c r="A1462" s="1">
        <v>46091</v>
      </c>
      <c r="B1462" t="s">
        <v>44</v>
      </c>
      <c r="C1462" t="s">
        <v>41</v>
      </c>
      <c r="D1462">
        <v>6352</v>
      </c>
      <c r="E1462">
        <v>5379</v>
      </c>
      <c r="F1462">
        <v>973</v>
      </c>
      <c r="G1462" t="s">
        <v>38</v>
      </c>
      <c r="H1462" t="s">
        <v>60</v>
      </c>
      <c r="I1462" t="s">
        <v>42</v>
      </c>
      <c r="J1462" s="2">
        <f>Table1[[#This Row],[Profit]]/Table1[[#This Row],[Sales]]*100</f>
        <v>15.318010075566752</v>
      </c>
      <c r="K1462" t="str">
        <f>IF(Table1[[#This Row],[Sales]]&gt;=30000,"High", IF(Table1[[#This Row],[Sales]]&gt;=15000,"Medium","Low"))</f>
        <v>Low</v>
      </c>
      <c r="L1462" t="str">
        <f>TEXT(Table1[[#This Row],[Order_Date]],"MMM")</f>
        <v>Mar</v>
      </c>
      <c r="M1462" t="str">
        <f>IF(Table1[[#This Row],[Profit]]&gt;=10000,"Excellent",IF(Table1[[#This Row],[Profit]]&gt;5000,"Good","Low"))</f>
        <v>Low</v>
      </c>
      <c r="N1462" t="str">
        <f>TEXT(Table1[[#This Row],[Order_Date]],"YYYY")</f>
        <v>2026</v>
      </c>
    </row>
    <row r="1463" spans="1:14" x14ac:dyDescent="0.25">
      <c r="A1463" s="1">
        <v>45307</v>
      </c>
      <c r="B1463" t="s">
        <v>26</v>
      </c>
      <c r="C1463" t="s">
        <v>36</v>
      </c>
      <c r="D1463">
        <v>32715</v>
      </c>
      <c r="E1463">
        <v>22711</v>
      </c>
      <c r="F1463">
        <v>10004</v>
      </c>
      <c r="G1463" t="s">
        <v>13</v>
      </c>
      <c r="H1463" t="s">
        <v>23</v>
      </c>
      <c r="I1463" t="s">
        <v>24</v>
      </c>
      <c r="J1463" s="2">
        <f>Table1[[#This Row],[Profit]]/Table1[[#This Row],[Sales]]*100</f>
        <v>30.579244994650772</v>
      </c>
      <c r="K1463" t="str">
        <f>IF(Table1[[#This Row],[Sales]]&gt;=30000,"High", IF(Table1[[#This Row],[Sales]]&gt;=15000,"Medium","Low"))</f>
        <v>High</v>
      </c>
      <c r="L1463" t="str">
        <f>TEXT(Table1[[#This Row],[Order_Date]],"MMM")</f>
        <v>Jan</v>
      </c>
      <c r="M1463" t="str">
        <f>IF(Table1[[#This Row],[Profit]]&gt;=10000,"Excellent",IF(Table1[[#This Row],[Profit]]&gt;5000,"Good","Low"))</f>
        <v>Excellent</v>
      </c>
      <c r="N1463" t="str">
        <f>TEXT(Table1[[#This Row],[Order_Date]],"YYYY")</f>
        <v>2024</v>
      </c>
    </row>
    <row r="1464" spans="1:14" x14ac:dyDescent="0.25">
      <c r="A1464" s="1">
        <v>45763</v>
      </c>
      <c r="B1464" t="s">
        <v>26</v>
      </c>
      <c r="C1464" t="s">
        <v>41</v>
      </c>
      <c r="D1464">
        <v>36475</v>
      </c>
      <c r="E1464">
        <v>31941</v>
      </c>
      <c r="F1464">
        <v>4534</v>
      </c>
      <c r="G1464" t="s">
        <v>38</v>
      </c>
      <c r="H1464" t="s">
        <v>34</v>
      </c>
      <c r="I1464" t="s">
        <v>29</v>
      </c>
      <c r="J1464" s="2">
        <f>Table1[[#This Row],[Profit]]/Table1[[#This Row],[Sales]]*100</f>
        <v>12.430431802604524</v>
      </c>
      <c r="K1464" t="str">
        <f>IF(Table1[[#This Row],[Sales]]&gt;=30000,"High", IF(Table1[[#This Row],[Sales]]&gt;=15000,"Medium","Low"))</f>
        <v>High</v>
      </c>
      <c r="L1464" t="str">
        <f>TEXT(Table1[[#This Row],[Order_Date]],"MMM")</f>
        <v>Apr</v>
      </c>
      <c r="M1464" t="str">
        <f>IF(Table1[[#This Row],[Profit]]&gt;=10000,"Excellent",IF(Table1[[#This Row],[Profit]]&gt;5000,"Good","Low"))</f>
        <v>Low</v>
      </c>
      <c r="N1464" t="str">
        <f>TEXT(Table1[[#This Row],[Order_Date]],"YYYY")</f>
        <v>2025</v>
      </c>
    </row>
    <row r="1465" spans="1:14" x14ac:dyDescent="0.25">
      <c r="A1465" s="1">
        <v>45341</v>
      </c>
      <c r="B1465" t="s">
        <v>44</v>
      </c>
      <c r="C1465" t="s">
        <v>12</v>
      </c>
      <c r="D1465">
        <v>35509</v>
      </c>
      <c r="E1465">
        <v>22150</v>
      </c>
      <c r="F1465">
        <v>13359</v>
      </c>
      <c r="G1465" t="s">
        <v>13</v>
      </c>
      <c r="H1465" t="s">
        <v>78</v>
      </c>
      <c r="I1465" t="s">
        <v>24</v>
      </c>
      <c r="J1465" s="2">
        <f>Table1[[#This Row],[Profit]]/Table1[[#This Row],[Sales]]*100</f>
        <v>37.62144808358444</v>
      </c>
      <c r="K1465" t="str">
        <f>IF(Table1[[#This Row],[Sales]]&gt;=30000,"High", IF(Table1[[#This Row],[Sales]]&gt;=15000,"Medium","Low"))</f>
        <v>High</v>
      </c>
      <c r="L1465" t="str">
        <f>TEXT(Table1[[#This Row],[Order_Date]],"MMM")</f>
        <v>Feb</v>
      </c>
      <c r="M1465" t="str">
        <f>IF(Table1[[#This Row],[Profit]]&gt;=10000,"Excellent",IF(Table1[[#This Row],[Profit]]&gt;5000,"Good","Low"))</f>
        <v>Excellent</v>
      </c>
      <c r="N1465" t="str">
        <f>TEXT(Table1[[#This Row],[Order_Date]],"YYYY")</f>
        <v>2024</v>
      </c>
    </row>
    <row r="1466" spans="1:14" x14ac:dyDescent="0.25">
      <c r="A1466" s="1">
        <v>45864</v>
      </c>
      <c r="B1466" t="s">
        <v>11</v>
      </c>
      <c r="C1466" t="s">
        <v>41</v>
      </c>
      <c r="D1466">
        <v>30905</v>
      </c>
      <c r="E1466">
        <v>23041</v>
      </c>
      <c r="F1466">
        <v>7864</v>
      </c>
      <c r="G1466" t="s">
        <v>27</v>
      </c>
      <c r="H1466" t="s">
        <v>45</v>
      </c>
      <c r="I1466" t="s">
        <v>24</v>
      </c>
      <c r="J1466" s="2">
        <f>Table1[[#This Row],[Profit]]/Table1[[#This Row],[Sales]]*100</f>
        <v>25.445720757159034</v>
      </c>
      <c r="K1466" t="str">
        <f>IF(Table1[[#This Row],[Sales]]&gt;=30000,"High", IF(Table1[[#This Row],[Sales]]&gt;=15000,"Medium","Low"))</f>
        <v>High</v>
      </c>
      <c r="L1466" t="str">
        <f>TEXT(Table1[[#This Row],[Order_Date]],"MMM")</f>
        <v>Jul</v>
      </c>
      <c r="M1466" t="str">
        <f>IF(Table1[[#This Row],[Profit]]&gt;=10000,"Excellent",IF(Table1[[#This Row],[Profit]]&gt;5000,"Good","Low"))</f>
        <v>Good</v>
      </c>
      <c r="N1466" t="str">
        <f>TEXT(Table1[[#This Row],[Order_Date]],"YYYY")</f>
        <v>2025</v>
      </c>
    </row>
    <row r="1467" spans="1:14" x14ac:dyDescent="0.25">
      <c r="A1467" s="1">
        <v>45121</v>
      </c>
      <c r="B1467" t="s">
        <v>11</v>
      </c>
      <c r="C1467" t="s">
        <v>33</v>
      </c>
      <c r="D1467">
        <v>21307</v>
      </c>
      <c r="E1467">
        <v>9518</v>
      </c>
      <c r="F1467">
        <v>11789</v>
      </c>
      <c r="G1467" t="s">
        <v>38</v>
      </c>
      <c r="H1467" t="s">
        <v>34</v>
      </c>
      <c r="I1467" t="s">
        <v>15</v>
      </c>
      <c r="J1467" s="2">
        <f>Table1[[#This Row],[Profit]]/Table1[[#This Row],[Sales]]*100</f>
        <v>55.329234523865402</v>
      </c>
      <c r="K1467" t="str">
        <f>IF(Table1[[#This Row],[Sales]]&gt;=30000,"High", IF(Table1[[#This Row],[Sales]]&gt;=15000,"Medium","Low"))</f>
        <v>Medium</v>
      </c>
      <c r="L1467" t="str">
        <f>TEXT(Table1[[#This Row],[Order_Date]],"MMM")</f>
        <v>Jul</v>
      </c>
      <c r="M1467" t="str">
        <f>IF(Table1[[#This Row],[Profit]]&gt;=10000,"Excellent",IF(Table1[[#This Row],[Profit]]&gt;5000,"Good","Low"))</f>
        <v>Excellent</v>
      </c>
      <c r="N1467" t="str">
        <f>TEXT(Table1[[#This Row],[Order_Date]],"YYYY")</f>
        <v>2023</v>
      </c>
    </row>
    <row r="1468" spans="1:14" x14ac:dyDescent="0.25">
      <c r="A1468" s="1">
        <v>45955</v>
      </c>
      <c r="B1468" t="s">
        <v>26</v>
      </c>
      <c r="C1468" t="s">
        <v>36</v>
      </c>
      <c r="D1468">
        <v>29445</v>
      </c>
      <c r="E1468">
        <v>22430</v>
      </c>
      <c r="F1468">
        <v>7015</v>
      </c>
      <c r="G1468" t="s">
        <v>19</v>
      </c>
      <c r="H1468" t="s">
        <v>28</v>
      </c>
      <c r="I1468" t="s">
        <v>42</v>
      </c>
      <c r="J1468" s="2">
        <f>Table1[[#This Row],[Profit]]/Table1[[#This Row],[Sales]]*100</f>
        <v>23.824078790966208</v>
      </c>
      <c r="K1468" t="str">
        <f>IF(Table1[[#This Row],[Sales]]&gt;=30000,"High", IF(Table1[[#This Row],[Sales]]&gt;=15000,"Medium","Low"))</f>
        <v>Medium</v>
      </c>
      <c r="L1468" t="str">
        <f>TEXT(Table1[[#This Row],[Order_Date]],"MMM")</f>
        <v>Oct</v>
      </c>
      <c r="M1468" t="str">
        <f>IF(Table1[[#This Row],[Profit]]&gt;=10000,"Excellent",IF(Table1[[#This Row],[Profit]]&gt;5000,"Good","Low"))</f>
        <v>Good</v>
      </c>
      <c r="N1468" t="str">
        <f>TEXT(Table1[[#This Row],[Order_Date]],"YYYY")</f>
        <v>2025</v>
      </c>
    </row>
    <row r="1469" spans="1:14" x14ac:dyDescent="0.25">
      <c r="A1469" s="1">
        <v>45121</v>
      </c>
      <c r="B1469" t="s">
        <v>26</v>
      </c>
      <c r="C1469" t="s">
        <v>12</v>
      </c>
      <c r="D1469">
        <v>48155</v>
      </c>
      <c r="E1469">
        <v>34747</v>
      </c>
      <c r="F1469">
        <v>13408</v>
      </c>
      <c r="G1469" t="s">
        <v>19</v>
      </c>
      <c r="H1469" t="s">
        <v>60</v>
      </c>
      <c r="I1469" t="s">
        <v>53</v>
      </c>
      <c r="J1469" s="2">
        <f>Table1[[#This Row],[Profit]]/Table1[[#This Row],[Sales]]*100</f>
        <v>27.843422282213687</v>
      </c>
      <c r="K1469" t="str">
        <f>IF(Table1[[#This Row],[Sales]]&gt;=30000,"High", IF(Table1[[#This Row],[Sales]]&gt;=15000,"Medium","Low"))</f>
        <v>High</v>
      </c>
      <c r="L1469" t="str">
        <f>TEXT(Table1[[#This Row],[Order_Date]],"MMM")</f>
        <v>Jul</v>
      </c>
      <c r="M1469" t="str">
        <f>IF(Table1[[#This Row],[Profit]]&gt;=10000,"Excellent",IF(Table1[[#This Row],[Profit]]&gt;5000,"Good","Low"))</f>
        <v>Excellent</v>
      </c>
      <c r="N1469" t="str">
        <f>TEXT(Table1[[#This Row],[Order_Date]],"YYYY")</f>
        <v>2023</v>
      </c>
    </row>
    <row r="1470" spans="1:14" x14ac:dyDescent="0.25">
      <c r="A1470" s="1">
        <v>45581</v>
      </c>
      <c r="B1470" t="s">
        <v>44</v>
      </c>
      <c r="C1470" t="s">
        <v>36</v>
      </c>
      <c r="D1470">
        <v>21657</v>
      </c>
      <c r="E1470">
        <v>12165</v>
      </c>
      <c r="F1470">
        <v>9492</v>
      </c>
      <c r="G1470" t="s">
        <v>27</v>
      </c>
      <c r="H1470" t="s">
        <v>45</v>
      </c>
      <c r="I1470" t="s">
        <v>29</v>
      </c>
      <c r="J1470" s="2">
        <f>Table1[[#This Row],[Profit]]/Table1[[#This Row],[Sales]]*100</f>
        <v>43.828785150297826</v>
      </c>
      <c r="K1470" t="str">
        <f>IF(Table1[[#This Row],[Sales]]&gt;=30000,"High", IF(Table1[[#This Row],[Sales]]&gt;=15000,"Medium","Low"))</f>
        <v>Medium</v>
      </c>
      <c r="L1470" t="str">
        <f>TEXT(Table1[[#This Row],[Order_Date]],"MMM")</f>
        <v>Oct</v>
      </c>
      <c r="M1470" t="str">
        <f>IF(Table1[[#This Row],[Profit]]&gt;=10000,"Excellent",IF(Table1[[#This Row],[Profit]]&gt;5000,"Good","Low"))</f>
        <v>Good</v>
      </c>
      <c r="N1470" t="str">
        <f>TEXT(Table1[[#This Row],[Order_Date]],"YYYY")</f>
        <v>2024</v>
      </c>
    </row>
    <row r="1471" spans="1:14" x14ac:dyDescent="0.25">
      <c r="A1471" s="1">
        <v>45826</v>
      </c>
      <c r="B1471" t="s">
        <v>17</v>
      </c>
      <c r="C1471" t="s">
        <v>12</v>
      </c>
      <c r="D1471">
        <v>20674</v>
      </c>
      <c r="E1471">
        <v>776</v>
      </c>
      <c r="F1471">
        <v>19898</v>
      </c>
      <c r="G1471" t="s">
        <v>27</v>
      </c>
      <c r="H1471" t="s">
        <v>23</v>
      </c>
      <c r="I1471" t="s">
        <v>53</v>
      </c>
      <c r="J1471" s="2">
        <f>Table1[[#This Row],[Profit]]/Table1[[#This Row],[Sales]]*100</f>
        <v>96.246493179839405</v>
      </c>
      <c r="K1471" t="str">
        <f>IF(Table1[[#This Row],[Sales]]&gt;=30000,"High", IF(Table1[[#This Row],[Sales]]&gt;=15000,"Medium","Low"))</f>
        <v>Medium</v>
      </c>
      <c r="L1471" t="str">
        <f>TEXT(Table1[[#This Row],[Order_Date]],"MMM")</f>
        <v>Jun</v>
      </c>
      <c r="M1471" t="str">
        <f>IF(Table1[[#This Row],[Profit]]&gt;=10000,"Excellent",IF(Table1[[#This Row],[Profit]]&gt;5000,"Good","Low"))</f>
        <v>Excellent</v>
      </c>
      <c r="N1471" t="str">
        <f>TEXT(Table1[[#This Row],[Order_Date]],"YYYY")</f>
        <v>2025</v>
      </c>
    </row>
    <row r="1472" spans="1:14" x14ac:dyDescent="0.25">
      <c r="A1472" s="1">
        <v>45857</v>
      </c>
      <c r="B1472" t="s">
        <v>44</v>
      </c>
      <c r="C1472" t="s">
        <v>12</v>
      </c>
      <c r="D1472">
        <v>38862</v>
      </c>
      <c r="E1472">
        <v>34383</v>
      </c>
      <c r="F1472">
        <v>4479</v>
      </c>
      <c r="G1472" t="s">
        <v>13</v>
      </c>
      <c r="H1472" t="s">
        <v>34</v>
      </c>
      <c r="I1472" t="s">
        <v>29</v>
      </c>
      <c r="J1472" s="2">
        <f>Table1[[#This Row],[Profit]]/Table1[[#This Row],[Sales]]*100</f>
        <v>11.525397560599043</v>
      </c>
      <c r="K1472" t="str">
        <f>IF(Table1[[#This Row],[Sales]]&gt;=30000,"High", IF(Table1[[#This Row],[Sales]]&gt;=15000,"Medium","Low"))</f>
        <v>High</v>
      </c>
      <c r="L1472" t="str">
        <f>TEXT(Table1[[#This Row],[Order_Date]],"MMM")</f>
        <v>Jul</v>
      </c>
      <c r="M1472" t="str">
        <f>IF(Table1[[#This Row],[Profit]]&gt;=10000,"Excellent",IF(Table1[[#This Row],[Profit]]&gt;5000,"Good","Low"))</f>
        <v>Low</v>
      </c>
      <c r="N1472" t="str">
        <f>TEXT(Table1[[#This Row],[Order_Date]],"YYYY")</f>
        <v>2025</v>
      </c>
    </row>
    <row r="1473" spans="1:14" x14ac:dyDescent="0.25">
      <c r="A1473" s="1">
        <v>45153</v>
      </c>
      <c r="B1473" t="s">
        <v>22</v>
      </c>
      <c r="C1473" t="s">
        <v>33</v>
      </c>
      <c r="D1473">
        <v>32430</v>
      </c>
      <c r="E1473">
        <v>16188</v>
      </c>
      <c r="F1473">
        <v>16242</v>
      </c>
      <c r="G1473" t="s">
        <v>27</v>
      </c>
      <c r="H1473" t="s">
        <v>31</v>
      </c>
      <c r="I1473" t="s">
        <v>15</v>
      </c>
      <c r="J1473" s="2">
        <f>Table1[[#This Row],[Profit]]/Table1[[#This Row],[Sales]]*100</f>
        <v>50.083256244218319</v>
      </c>
      <c r="K1473" t="str">
        <f>IF(Table1[[#This Row],[Sales]]&gt;=30000,"High", IF(Table1[[#This Row],[Sales]]&gt;=15000,"Medium","Low"))</f>
        <v>High</v>
      </c>
      <c r="L1473" t="str">
        <f>TEXT(Table1[[#This Row],[Order_Date]],"MMM")</f>
        <v>Aug</v>
      </c>
      <c r="M1473" t="str">
        <f>IF(Table1[[#This Row],[Profit]]&gt;=10000,"Excellent",IF(Table1[[#This Row],[Profit]]&gt;5000,"Good","Low"))</f>
        <v>Excellent</v>
      </c>
      <c r="N1473" t="str">
        <f>TEXT(Table1[[#This Row],[Order_Date]],"YYYY")</f>
        <v>2023</v>
      </c>
    </row>
    <row r="1474" spans="1:14" x14ac:dyDescent="0.25">
      <c r="A1474" s="1">
        <v>46005</v>
      </c>
      <c r="B1474" t="s">
        <v>11</v>
      </c>
      <c r="C1474" t="s">
        <v>36</v>
      </c>
      <c r="D1474">
        <v>27289</v>
      </c>
      <c r="E1474">
        <v>10687</v>
      </c>
      <c r="F1474">
        <v>16602</v>
      </c>
      <c r="G1474" t="s">
        <v>19</v>
      </c>
      <c r="H1474" t="s">
        <v>63</v>
      </c>
      <c r="I1474" t="s">
        <v>15</v>
      </c>
      <c r="J1474" s="2">
        <f>Table1[[#This Row],[Profit]]/Table1[[#This Row],[Sales]]*100</f>
        <v>60.837700172230569</v>
      </c>
      <c r="K1474" t="str">
        <f>IF(Table1[[#This Row],[Sales]]&gt;=30000,"High", IF(Table1[[#This Row],[Sales]]&gt;=15000,"Medium","Low"))</f>
        <v>Medium</v>
      </c>
      <c r="L1474" t="str">
        <f>TEXT(Table1[[#This Row],[Order_Date]],"MMM")</f>
        <v>Dec</v>
      </c>
      <c r="M1474" t="str">
        <f>IF(Table1[[#This Row],[Profit]]&gt;=10000,"Excellent",IF(Table1[[#This Row],[Profit]]&gt;5000,"Good","Low"))</f>
        <v>Excellent</v>
      </c>
      <c r="N1474" t="str">
        <f>TEXT(Table1[[#This Row],[Order_Date]],"YYYY")</f>
        <v>2025</v>
      </c>
    </row>
    <row r="1475" spans="1:14" x14ac:dyDescent="0.25">
      <c r="A1475" s="1">
        <v>45942</v>
      </c>
      <c r="B1475" t="s">
        <v>17</v>
      </c>
      <c r="C1475" t="s">
        <v>33</v>
      </c>
      <c r="D1475">
        <v>23519</v>
      </c>
      <c r="E1475">
        <v>15075</v>
      </c>
      <c r="F1475">
        <v>8444</v>
      </c>
      <c r="G1475" t="s">
        <v>27</v>
      </c>
      <c r="H1475" t="s">
        <v>20</v>
      </c>
      <c r="I1475" t="s">
        <v>24</v>
      </c>
      <c r="J1475" s="2">
        <f>Table1[[#This Row],[Profit]]/Table1[[#This Row],[Sales]]*100</f>
        <v>35.902887027509671</v>
      </c>
      <c r="K1475" t="str">
        <f>IF(Table1[[#This Row],[Sales]]&gt;=30000,"High", IF(Table1[[#This Row],[Sales]]&gt;=15000,"Medium","Low"))</f>
        <v>Medium</v>
      </c>
      <c r="L1475" t="str">
        <f>TEXT(Table1[[#This Row],[Order_Date]],"MMM")</f>
        <v>Oct</v>
      </c>
      <c r="M1475" t="str">
        <f>IF(Table1[[#This Row],[Profit]]&gt;=10000,"Excellent",IF(Table1[[#This Row],[Profit]]&gt;5000,"Good","Low"))</f>
        <v>Good</v>
      </c>
      <c r="N1475" t="str">
        <f>TEXT(Table1[[#This Row],[Order_Date]],"YYYY")</f>
        <v>2025</v>
      </c>
    </row>
    <row r="1476" spans="1:14" x14ac:dyDescent="0.25">
      <c r="A1476" s="1">
        <v>45693</v>
      </c>
      <c r="B1476" t="s">
        <v>26</v>
      </c>
      <c r="C1476" t="s">
        <v>12</v>
      </c>
      <c r="D1476">
        <v>16409</v>
      </c>
      <c r="E1476">
        <v>8756</v>
      </c>
      <c r="F1476">
        <v>7653</v>
      </c>
      <c r="G1476" t="s">
        <v>19</v>
      </c>
      <c r="H1476" t="s">
        <v>63</v>
      </c>
      <c r="I1476" t="s">
        <v>15</v>
      </c>
      <c r="J1476" s="2">
        <f>Table1[[#This Row],[Profit]]/Table1[[#This Row],[Sales]]*100</f>
        <v>46.639039551465657</v>
      </c>
      <c r="K1476" t="str">
        <f>IF(Table1[[#This Row],[Sales]]&gt;=30000,"High", IF(Table1[[#This Row],[Sales]]&gt;=15000,"Medium","Low"))</f>
        <v>Medium</v>
      </c>
      <c r="L1476" t="str">
        <f>TEXT(Table1[[#This Row],[Order_Date]],"MMM")</f>
        <v>Feb</v>
      </c>
      <c r="M1476" t="str">
        <f>IF(Table1[[#This Row],[Profit]]&gt;=10000,"Excellent",IF(Table1[[#This Row],[Profit]]&gt;5000,"Good","Low"))</f>
        <v>Good</v>
      </c>
      <c r="N1476" t="str">
        <f>TEXT(Table1[[#This Row],[Order_Date]],"YYYY")</f>
        <v>2025</v>
      </c>
    </row>
    <row r="1477" spans="1:14" x14ac:dyDescent="0.25">
      <c r="A1477" s="1">
        <v>45545</v>
      </c>
      <c r="B1477" t="s">
        <v>44</v>
      </c>
      <c r="C1477" t="s">
        <v>18</v>
      </c>
      <c r="D1477">
        <v>21095</v>
      </c>
      <c r="E1477">
        <v>10419</v>
      </c>
      <c r="F1477">
        <v>10676</v>
      </c>
      <c r="G1477" t="s">
        <v>13</v>
      </c>
      <c r="H1477" t="s">
        <v>14</v>
      </c>
      <c r="I1477" t="s">
        <v>24</v>
      </c>
      <c r="J1477" s="2">
        <f>Table1[[#This Row],[Profit]]/Table1[[#This Row],[Sales]]*100</f>
        <v>50.609149087461482</v>
      </c>
      <c r="K1477" t="str">
        <f>IF(Table1[[#This Row],[Sales]]&gt;=30000,"High", IF(Table1[[#This Row],[Sales]]&gt;=15000,"Medium","Low"))</f>
        <v>Medium</v>
      </c>
      <c r="L1477" t="str">
        <f>TEXT(Table1[[#This Row],[Order_Date]],"MMM")</f>
        <v>Sep</v>
      </c>
      <c r="M1477" t="str">
        <f>IF(Table1[[#This Row],[Profit]]&gt;=10000,"Excellent",IF(Table1[[#This Row],[Profit]]&gt;5000,"Good","Low"))</f>
        <v>Excellent</v>
      </c>
      <c r="N1477" t="str">
        <f>TEXT(Table1[[#This Row],[Order_Date]],"YYYY")</f>
        <v>2024</v>
      </c>
    </row>
    <row r="1478" spans="1:14" x14ac:dyDescent="0.25">
      <c r="A1478" s="1">
        <v>45521</v>
      </c>
      <c r="B1478" t="s">
        <v>17</v>
      </c>
      <c r="C1478" t="s">
        <v>41</v>
      </c>
      <c r="D1478">
        <v>8834</v>
      </c>
      <c r="E1478">
        <v>3163</v>
      </c>
      <c r="F1478">
        <v>5671</v>
      </c>
      <c r="G1478" t="s">
        <v>38</v>
      </c>
      <c r="H1478" t="s">
        <v>14</v>
      </c>
      <c r="I1478" t="s">
        <v>53</v>
      </c>
      <c r="J1478" s="2">
        <f>Table1[[#This Row],[Profit]]/Table1[[#This Row],[Sales]]*100</f>
        <v>64.195155082635267</v>
      </c>
      <c r="K1478" t="str">
        <f>IF(Table1[[#This Row],[Sales]]&gt;=30000,"High", IF(Table1[[#This Row],[Sales]]&gt;=15000,"Medium","Low"))</f>
        <v>Low</v>
      </c>
      <c r="L1478" t="str">
        <f>TEXT(Table1[[#This Row],[Order_Date]],"MMM")</f>
        <v>Aug</v>
      </c>
      <c r="M1478" t="str">
        <f>IF(Table1[[#This Row],[Profit]]&gt;=10000,"Excellent",IF(Table1[[#This Row],[Profit]]&gt;5000,"Good","Low"))</f>
        <v>Good</v>
      </c>
      <c r="N1478" t="str">
        <f>TEXT(Table1[[#This Row],[Order_Date]],"YYYY")</f>
        <v>2024</v>
      </c>
    </row>
    <row r="1479" spans="1:14" x14ac:dyDescent="0.25">
      <c r="A1479" s="1">
        <v>45612</v>
      </c>
      <c r="B1479" t="s">
        <v>26</v>
      </c>
      <c r="C1479" t="s">
        <v>41</v>
      </c>
      <c r="D1479">
        <v>6093</v>
      </c>
      <c r="E1479">
        <v>898</v>
      </c>
      <c r="F1479">
        <v>5195</v>
      </c>
      <c r="G1479" t="s">
        <v>27</v>
      </c>
      <c r="H1479" t="s">
        <v>31</v>
      </c>
      <c r="I1479" t="s">
        <v>29</v>
      </c>
      <c r="J1479" s="2">
        <f>Table1[[#This Row],[Profit]]/Table1[[#This Row],[Sales]]*100</f>
        <v>85.261775808304606</v>
      </c>
      <c r="K1479" t="str">
        <f>IF(Table1[[#This Row],[Sales]]&gt;=30000,"High", IF(Table1[[#This Row],[Sales]]&gt;=15000,"Medium","Low"))</f>
        <v>Low</v>
      </c>
      <c r="L1479" t="str">
        <f>TEXT(Table1[[#This Row],[Order_Date]],"MMM")</f>
        <v>Nov</v>
      </c>
      <c r="M1479" t="str">
        <f>IF(Table1[[#This Row],[Profit]]&gt;=10000,"Excellent",IF(Table1[[#This Row],[Profit]]&gt;5000,"Good","Low"))</f>
        <v>Good</v>
      </c>
      <c r="N1479" t="str">
        <f>TEXT(Table1[[#This Row],[Order_Date]],"YYYY")</f>
        <v>2024</v>
      </c>
    </row>
    <row r="1480" spans="1:14" x14ac:dyDescent="0.25">
      <c r="A1480" s="1">
        <v>45562</v>
      </c>
      <c r="B1480" t="s">
        <v>44</v>
      </c>
      <c r="C1480" t="s">
        <v>36</v>
      </c>
      <c r="D1480">
        <v>34366</v>
      </c>
      <c r="E1480">
        <v>27552</v>
      </c>
      <c r="F1480">
        <v>6814</v>
      </c>
      <c r="G1480" t="s">
        <v>27</v>
      </c>
      <c r="H1480" t="s">
        <v>63</v>
      </c>
      <c r="I1480" t="s">
        <v>42</v>
      </c>
      <c r="J1480" s="2">
        <f>Table1[[#This Row],[Profit]]/Table1[[#This Row],[Sales]]*100</f>
        <v>19.827736716522143</v>
      </c>
      <c r="K1480" t="str">
        <f>IF(Table1[[#This Row],[Sales]]&gt;=30000,"High", IF(Table1[[#This Row],[Sales]]&gt;=15000,"Medium","Low"))</f>
        <v>High</v>
      </c>
      <c r="L1480" t="str">
        <f>TEXT(Table1[[#This Row],[Order_Date]],"MMM")</f>
        <v>Sep</v>
      </c>
      <c r="M1480" t="str">
        <f>IF(Table1[[#This Row],[Profit]]&gt;=10000,"Excellent",IF(Table1[[#This Row],[Profit]]&gt;5000,"Good","Low"))</f>
        <v>Good</v>
      </c>
      <c r="N1480" t="str">
        <f>TEXT(Table1[[#This Row],[Order_Date]],"YYYY")</f>
        <v>2024</v>
      </c>
    </row>
    <row r="1481" spans="1:14" x14ac:dyDescent="0.25">
      <c r="A1481" s="1">
        <v>46076</v>
      </c>
      <c r="B1481" t="s">
        <v>17</v>
      </c>
      <c r="C1481" t="s">
        <v>12</v>
      </c>
      <c r="D1481">
        <v>36176</v>
      </c>
      <c r="E1481">
        <v>22729</v>
      </c>
      <c r="F1481">
        <v>13447</v>
      </c>
      <c r="G1481" t="s">
        <v>38</v>
      </c>
      <c r="H1481" t="s">
        <v>60</v>
      </c>
      <c r="I1481" t="s">
        <v>29</v>
      </c>
      <c r="J1481" s="2">
        <f>Table1[[#This Row],[Profit]]/Table1[[#This Row],[Sales]]*100</f>
        <v>37.171052631578952</v>
      </c>
      <c r="K1481" t="str">
        <f>IF(Table1[[#This Row],[Sales]]&gt;=30000,"High", IF(Table1[[#This Row],[Sales]]&gt;=15000,"Medium","Low"))</f>
        <v>High</v>
      </c>
      <c r="L1481" t="str">
        <f>TEXT(Table1[[#This Row],[Order_Date]],"MMM")</f>
        <v>Feb</v>
      </c>
      <c r="M1481" t="str">
        <f>IF(Table1[[#This Row],[Profit]]&gt;=10000,"Excellent",IF(Table1[[#This Row],[Profit]]&gt;5000,"Good","Low"))</f>
        <v>Excellent</v>
      </c>
      <c r="N1481" t="str">
        <f>TEXT(Table1[[#This Row],[Order_Date]],"YYYY")</f>
        <v>2026</v>
      </c>
    </row>
    <row r="1482" spans="1:14" x14ac:dyDescent="0.25">
      <c r="A1482" s="1">
        <v>45789</v>
      </c>
      <c r="B1482" t="s">
        <v>17</v>
      </c>
      <c r="C1482" t="s">
        <v>36</v>
      </c>
      <c r="D1482">
        <v>29275</v>
      </c>
      <c r="E1482">
        <v>12287</v>
      </c>
      <c r="F1482">
        <v>16988</v>
      </c>
      <c r="G1482" t="s">
        <v>27</v>
      </c>
      <c r="H1482" t="s">
        <v>28</v>
      </c>
      <c r="I1482" t="s">
        <v>24</v>
      </c>
      <c r="J1482" s="2">
        <f>Table1[[#This Row],[Profit]]/Table1[[#This Row],[Sales]]*100</f>
        <v>58.029035012809558</v>
      </c>
      <c r="K1482" t="str">
        <f>IF(Table1[[#This Row],[Sales]]&gt;=30000,"High", IF(Table1[[#This Row],[Sales]]&gt;=15000,"Medium","Low"))</f>
        <v>Medium</v>
      </c>
      <c r="L1482" t="str">
        <f>TEXT(Table1[[#This Row],[Order_Date]],"MMM")</f>
        <v>May</v>
      </c>
      <c r="M1482" t="str">
        <f>IF(Table1[[#This Row],[Profit]]&gt;=10000,"Excellent",IF(Table1[[#This Row],[Profit]]&gt;5000,"Good","Low"))</f>
        <v>Excellent</v>
      </c>
      <c r="N1482" t="str">
        <f>TEXT(Table1[[#This Row],[Order_Date]],"YYYY")</f>
        <v>2025</v>
      </c>
    </row>
    <row r="1483" spans="1:14" x14ac:dyDescent="0.25">
      <c r="A1483" s="1">
        <v>45265</v>
      </c>
      <c r="B1483" t="s">
        <v>11</v>
      </c>
      <c r="C1483" t="s">
        <v>36</v>
      </c>
      <c r="D1483">
        <v>34126</v>
      </c>
      <c r="E1483">
        <v>22870</v>
      </c>
      <c r="F1483">
        <v>11256</v>
      </c>
      <c r="G1483" t="s">
        <v>13</v>
      </c>
      <c r="H1483" t="s">
        <v>23</v>
      </c>
      <c r="I1483" t="s">
        <v>24</v>
      </c>
      <c r="J1483" s="2">
        <f>Table1[[#This Row],[Profit]]/Table1[[#This Row],[Sales]]*100</f>
        <v>32.983648830803489</v>
      </c>
      <c r="K1483" t="str">
        <f>IF(Table1[[#This Row],[Sales]]&gt;=30000,"High", IF(Table1[[#This Row],[Sales]]&gt;=15000,"Medium","Low"))</f>
        <v>High</v>
      </c>
      <c r="L1483" t="str">
        <f>TEXT(Table1[[#This Row],[Order_Date]],"MMM")</f>
        <v>Dec</v>
      </c>
      <c r="M1483" t="str">
        <f>IF(Table1[[#This Row],[Profit]]&gt;=10000,"Excellent",IF(Table1[[#This Row],[Profit]]&gt;5000,"Good","Low"))</f>
        <v>Excellent</v>
      </c>
      <c r="N1483" t="str">
        <f>TEXT(Table1[[#This Row],[Order_Date]],"YYYY")</f>
        <v>2023</v>
      </c>
    </row>
    <row r="1484" spans="1:14" x14ac:dyDescent="0.25">
      <c r="A1484" s="1">
        <v>45179</v>
      </c>
      <c r="B1484" t="s">
        <v>22</v>
      </c>
      <c r="C1484" t="s">
        <v>41</v>
      </c>
      <c r="D1484">
        <v>23461</v>
      </c>
      <c r="E1484">
        <v>14226</v>
      </c>
      <c r="F1484">
        <v>9235</v>
      </c>
      <c r="G1484" t="s">
        <v>13</v>
      </c>
      <c r="H1484" t="s">
        <v>14</v>
      </c>
      <c r="I1484" t="s">
        <v>53</v>
      </c>
      <c r="J1484" s="2">
        <f>Table1[[#This Row],[Profit]]/Table1[[#This Row],[Sales]]*100</f>
        <v>39.363198499637697</v>
      </c>
      <c r="K1484" t="str">
        <f>IF(Table1[[#This Row],[Sales]]&gt;=30000,"High", IF(Table1[[#This Row],[Sales]]&gt;=15000,"Medium","Low"))</f>
        <v>Medium</v>
      </c>
      <c r="L1484" t="str">
        <f>TEXT(Table1[[#This Row],[Order_Date]],"MMM")</f>
        <v>Sep</v>
      </c>
      <c r="M1484" t="str">
        <f>IF(Table1[[#This Row],[Profit]]&gt;=10000,"Excellent",IF(Table1[[#This Row],[Profit]]&gt;5000,"Good","Low"))</f>
        <v>Good</v>
      </c>
      <c r="N1484" t="str">
        <f>TEXT(Table1[[#This Row],[Order_Date]],"YYYY")</f>
        <v>2023</v>
      </c>
    </row>
    <row r="1485" spans="1:14" x14ac:dyDescent="0.25">
      <c r="A1485" s="1">
        <v>46121</v>
      </c>
      <c r="B1485" t="s">
        <v>17</v>
      </c>
      <c r="C1485" t="s">
        <v>36</v>
      </c>
      <c r="D1485">
        <v>45329</v>
      </c>
      <c r="E1485">
        <v>35484</v>
      </c>
      <c r="F1485">
        <v>9845</v>
      </c>
      <c r="G1485" t="s">
        <v>19</v>
      </c>
      <c r="H1485" t="s">
        <v>78</v>
      </c>
      <c r="I1485" t="s">
        <v>15</v>
      </c>
      <c r="J1485" s="2">
        <f>Table1[[#This Row],[Profit]]/Table1[[#This Row],[Sales]]*100</f>
        <v>21.718987844426305</v>
      </c>
      <c r="K1485" t="str">
        <f>IF(Table1[[#This Row],[Sales]]&gt;=30000,"High", IF(Table1[[#This Row],[Sales]]&gt;=15000,"Medium","Low"))</f>
        <v>High</v>
      </c>
      <c r="L1485" t="str">
        <f>TEXT(Table1[[#This Row],[Order_Date]],"MMM")</f>
        <v>Apr</v>
      </c>
      <c r="M1485" t="str">
        <f>IF(Table1[[#This Row],[Profit]]&gt;=10000,"Excellent",IF(Table1[[#This Row],[Profit]]&gt;5000,"Good","Low"))</f>
        <v>Good</v>
      </c>
      <c r="N1485" t="str">
        <f>TEXT(Table1[[#This Row],[Order_Date]],"YYYY")</f>
        <v>2026</v>
      </c>
    </row>
    <row r="1486" spans="1:14" x14ac:dyDescent="0.25">
      <c r="A1486" s="1">
        <v>45772</v>
      </c>
      <c r="B1486" t="s">
        <v>11</v>
      </c>
      <c r="C1486" t="s">
        <v>41</v>
      </c>
      <c r="D1486">
        <v>41209</v>
      </c>
      <c r="E1486">
        <v>31794</v>
      </c>
      <c r="F1486">
        <v>9415</v>
      </c>
      <c r="G1486" t="s">
        <v>13</v>
      </c>
      <c r="H1486" t="s">
        <v>78</v>
      </c>
      <c r="I1486" t="s">
        <v>15</v>
      </c>
      <c r="J1486" s="2">
        <f>Table1[[#This Row],[Profit]]/Table1[[#This Row],[Sales]]*100</f>
        <v>22.846950908782063</v>
      </c>
      <c r="K1486" t="str">
        <f>IF(Table1[[#This Row],[Sales]]&gt;=30000,"High", IF(Table1[[#This Row],[Sales]]&gt;=15000,"Medium","Low"))</f>
        <v>High</v>
      </c>
      <c r="L1486" t="str">
        <f>TEXT(Table1[[#This Row],[Order_Date]],"MMM")</f>
        <v>Apr</v>
      </c>
      <c r="M1486" t="str">
        <f>IF(Table1[[#This Row],[Profit]]&gt;=10000,"Excellent",IF(Table1[[#This Row],[Profit]]&gt;5000,"Good","Low"))</f>
        <v>Good</v>
      </c>
      <c r="N1486" t="str">
        <f>TEXT(Table1[[#This Row],[Order_Date]],"YYYY")</f>
        <v>2025</v>
      </c>
    </row>
    <row r="1487" spans="1:14" x14ac:dyDescent="0.25">
      <c r="A1487" s="1">
        <v>45618</v>
      </c>
      <c r="B1487" t="s">
        <v>44</v>
      </c>
      <c r="C1487" t="s">
        <v>36</v>
      </c>
      <c r="D1487">
        <v>42673</v>
      </c>
      <c r="E1487">
        <v>25142</v>
      </c>
      <c r="F1487">
        <v>17531</v>
      </c>
      <c r="G1487" t="s">
        <v>38</v>
      </c>
      <c r="H1487" t="s">
        <v>14</v>
      </c>
      <c r="I1487" t="s">
        <v>15</v>
      </c>
      <c r="J1487" s="2">
        <f>Table1[[#This Row],[Profit]]/Table1[[#This Row],[Sales]]*100</f>
        <v>41.082183113444096</v>
      </c>
      <c r="K1487" t="str">
        <f>IF(Table1[[#This Row],[Sales]]&gt;=30000,"High", IF(Table1[[#This Row],[Sales]]&gt;=15000,"Medium","Low"))</f>
        <v>High</v>
      </c>
      <c r="L1487" t="str">
        <f>TEXT(Table1[[#This Row],[Order_Date]],"MMM")</f>
        <v>Nov</v>
      </c>
      <c r="M1487" t="str">
        <f>IF(Table1[[#This Row],[Profit]]&gt;=10000,"Excellent",IF(Table1[[#This Row],[Profit]]&gt;5000,"Good","Low"))</f>
        <v>Excellent</v>
      </c>
      <c r="N1487" t="str">
        <f>TEXT(Table1[[#This Row],[Order_Date]],"YYYY")</f>
        <v>2024</v>
      </c>
    </row>
    <row r="1488" spans="1:14" x14ac:dyDescent="0.25">
      <c r="A1488" s="1">
        <v>45317</v>
      </c>
      <c r="B1488" t="s">
        <v>17</v>
      </c>
      <c r="C1488" t="s">
        <v>41</v>
      </c>
      <c r="D1488">
        <v>12696</v>
      </c>
      <c r="E1488">
        <v>9322</v>
      </c>
      <c r="F1488">
        <v>3374</v>
      </c>
      <c r="G1488" t="s">
        <v>13</v>
      </c>
      <c r="H1488" t="s">
        <v>14</v>
      </c>
      <c r="I1488" t="s">
        <v>15</v>
      </c>
      <c r="J1488" s="2">
        <f>Table1[[#This Row],[Profit]]/Table1[[#This Row],[Sales]]*100</f>
        <v>26.575299306868306</v>
      </c>
      <c r="K1488" t="str">
        <f>IF(Table1[[#This Row],[Sales]]&gt;=30000,"High", IF(Table1[[#This Row],[Sales]]&gt;=15000,"Medium","Low"))</f>
        <v>Low</v>
      </c>
      <c r="L1488" t="str">
        <f>TEXT(Table1[[#This Row],[Order_Date]],"MMM")</f>
        <v>Jan</v>
      </c>
      <c r="M1488" t="str">
        <f>IF(Table1[[#This Row],[Profit]]&gt;=10000,"Excellent",IF(Table1[[#This Row],[Profit]]&gt;5000,"Good","Low"))</f>
        <v>Low</v>
      </c>
      <c r="N1488" t="str">
        <f>TEXT(Table1[[#This Row],[Order_Date]],"YYYY")</f>
        <v>2024</v>
      </c>
    </row>
    <row r="1489" spans="1:14" x14ac:dyDescent="0.25">
      <c r="A1489" s="1">
        <v>45269</v>
      </c>
      <c r="B1489" t="s">
        <v>17</v>
      </c>
      <c r="C1489" t="s">
        <v>36</v>
      </c>
      <c r="D1489">
        <v>34964</v>
      </c>
      <c r="E1489">
        <v>16967</v>
      </c>
      <c r="F1489">
        <v>17997</v>
      </c>
      <c r="G1489" t="s">
        <v>13</v>
      </c>
      <c r="H1489" t="s">
        <v>28</v>
      </c>
      <c r="I1489" t="s">
        <v>24</v>
      </c>
      <c r="J1489" s="2">
        <f>Table1[[#This Row],[Profit]]/Table1[[#This Row],[Sales]]*100</f>
        <v>51.472943599130538</v>
      </c>
      <c r="K1489" t="str">
        <f>IF(Table1[[#This Row],[Sales]]&gt;=30000,"High", IF(Table1[[#This Row],[Sales]]&gt;=15000,"Medium","Low"))</f>
        <v>High</v>
      </c>
      <c r="L1489" t="str">
        <f>TEXT(Table1[[#This Row],[Order_Date]],"MMM")</f>
        <v>Dec</v>
      </c>
      <c r="M1489" t="str">
        <f>IF(Table1[[#This Row],[Profit]]&gt;=10000,"Excellent",IF(Table1[[#This Row],[Profit]]&gt;5000,"Good","Low"))</f>
        <v>Excellent</v>
      </c>
      <c r="N1489" t="str">
        <f>TEXT(Table1[[#This Row],[Order_Date]],"YYYY")</f>
        <v>2023</v>
      </c>
    </row>
    <row r="1490" spans="1:14" x14ac:dyDescent="0.25">
      <c r="A1490" s="1">
        <v>45873</v>
      </c>
      <c r="B1490" t="s">
        <v>26</v>
      </c>
      <c r="C1490" t="s">
        <v>12</v>
      </c>
      <c r="D1490">
        <v>43058</v>
      </c>
      <c r="E1490">
        <v>33125</v>
      </c>
      <c r="F1490">
        <v>9933</v>
      </c>
      <c r="G1490" t="s">
        <v>27</v>
      </c>
      <c r="H1490" t="s">
        <v>20</v>
      </c>
      <c r="I1490" t="s">
        <v>29</v>
      </c>
      <c r="J1490" s="2">
        <f>Table1[[#This Row],[Profit]]/Table1[[#This Row],[Sales]]*100</f>
        <v>23.068883831111524</v>
      </c>
      <c r="K1490" t="str">
        <f>IF(Table1[[#This Row],[Sales]]&gt;=30000,"High", IF(Table1[[#This Row],[Sales]]&gt;=15000,"Medium","Low"))</f>
        <v>High</v>
      </c>
      <c r="L1490" t="str">
        <f>TEXT(Table1[[#This Row],[Order_Date]],"MMM")</f>
        <v>Aug</v>
      </c>
      <c r="M1490" t="str">
        <f>IF(Table1[[#This Row],[Profit]]&gt;=10000,"Excellent",IF(Table1[[#This Row],[Profit]]&gt;5000,"Good","Low"))</f>
        <v>Good</v>
      </c>
      <c r="N1490" t="str">
        <f>TEXT(Table1[[#This Row],[Order_Date]],"YYYY")</f>
        <v>2025</v>
      </c>
    </row>
    <row r="1491" spans="1:14" x14ac:dyDescent="0.25">
      <c r="A1491" s="1">
        <v>45411</v>
      </c>
      <c r="B1491" t="s">
        <v>26</v>
      </c>
      <c r="C1491" t="s">
        <v>18</v>
      </c>
      <c r="D1491">
        <v>18526</v>
      </c>
      <c r="E1491">
        <v>12366</v>
      </c>
      <c r="F1491">
        <v>6160</v>
      </c>
      <c r="G1491" t="s">
        <v>38</v>
      </c>
      <c r="H1491" t="s">
        <v>45</v>
      </c>
      <c r="I1491" t="s">
        <v>42</v>
      </c>
      <c r="J1491" s="2">
        <f>Table1[[#This Row],[Profit]]/Table1[[#This Row],[Sales]]*100</f>
        <v>33.250566771024502</v>
      </c>
      <c r="K1491" t="str">
        <f>IF(Table1[[#This Row],[Sales]]&gt;=30000,"High", IF(Table1[[#This Row],[Sales]]&gt;=15000,"Medium","Low"))</f>
        <v>Medium</v>
      </c>
      <c r="L1491" t="str">
        <f>TEXT(Table1[[#This Row],[Order_Date]],"MMM")</f>
        <v>Apr</v>
      </c>
      <c r="M1491" t="str">
        <f>IF(Table1[[#This Row],[Profit]]&gt;=10000,"Excellent",IF(Table1[[#This Row],[Profit]]&gt;5000,"Good","Low"))</f>
        <v>Good</v>
      </c>
      <c r="N1491" t="str">
        <f>TEXT(Table1[[#This Row],[Order_Date]],"YYYY")</f>
        <v>2024</v>
      </c>
    </row>
    <row r="1492" spans="1:14" x14ac:dyDescent="0.25">
      <c r="A1492" s="1">
        <v>45211</v>
      </c>
      <c r="B1492" t="s">
        <v>17</v>
      </c>
      <c r="C1492" t="s">
        <v>18</v>
      </c>
      <c r="D1492">
        <v>28557</v>
      </c>
      <c r="E1492">
        <v>27734</v>
      </c>
      <c r="F1492">
        <v>823</v>
      </c>
      <c r="G1492" t="s">
        <v>13</v>
      </c>
      <c r="H1492" t="s">
        <v>60</v>
      </c>
      <c r="I1492" t="s">
        <v>42</v>
      </c>
      <c r="J1492" s="2">
        <f>Table1[[#This Row],[Profit]]/Table1[[#This Row],[Sales]]*100</f>
        <v>2.8819553874706729</v>
      </c>
      <c r="K1492" t="str">
        <f>IF(Table1[[#This Row],[Sales]]&gt;=30000,"High", IF(Table1[[#This Row],[Sales]]&gt;=15000,"Medium","Low"))</f>
        <v>Medium</v>
      </c>
      <c r="L1492" t="str">
        <f>TEXT(Table1[[#This Row],[Order_Date]],"MMM")</f>
        <v>Oct</v>
      </c>
      <c r="M1492" t="str">
        <f>IF(Table1[[#This Row],[Profit]]&gt;=10000,"Excellent",IF(Table1[[#This Row],[Profit]]&gt;5000,"Good","Low"))</f>
        <v>Low</v>
      </c>
      <c r="N1492" t="str">
        <f>TEXT(Table1[[#This Row],[Order_Date]],"YYYY")</f>
        <v>2023</v>
      </c>
    </row>
    <row r="1493" spans="1:14" x14ac:dyDescent="0.25">
      <c r="A1493" s="1">
        <v>45645</v>
      </c>
      <c r="B1493" t="s">
        <v>22</v>
      </c>
      <c r="C1493" t="s">
        <v>33</v>
      </c>
      <c r="D1493">
        <v>16595</v>
      </c>
      <c r="E1493">
        <v>3825</v>
      </c>
      <c r="F1493">
        <v>12770</v>
      </c>
      <c r="G1493" t="s">
        <v>27</v>
      </c>
      <c r="H1493" t="s">
        <v>34</v>
      </c>
      <c r="I1493" t="s">
        <v>24</v>
      </c>
      <c r="J1493" s="2">
        <f>Table1[[#This Row],[Profit]]/Table1[[#This Row],[Sales]]*100</f>
        <v>76.950888821934313</v>
      </c>
      <c r="K1493" t="str">
        <f>IF(Table1[[#This Row],[Sales]]&gt;=30000,"High", IF(Table1[[#This Row],[Sales]]&gt;=15000,"Medium","Low"))</f>
        <v>Medium</v>
      </c>
      <c r="L1493" t="str">
        <f>TEXT(Table1[[#This Row],[Order_Date]],"MMM")</f>
        <v>Dec</v>
      </c>
      <c r="M1493" t="str">
        <f>IF(Table1[[#This Row],[Profit]]&gt;=10000,"Excellent",IF(Table1[[#This Row],[Profit]]&gt;5000,"Good","Low"))</f>
        <v>Excellent</v>
      </c>
      <c r="N1493" t="str">
        <f>TEXT(Table1[[#This Row],[Order_Date]],"YYYY")</f>
        <v>2024</v>
      </c>
    </row>
    <row r="1494" spans="1:14" x14ac:dyDescent="0.25">
      <c r="A1494" s="1">
        <v>45781</v>
      </c>
      <c r="B1494" t="s">
        <v>22</v>
      </c>
      <c r="C1494" t="s">
        <v>33</v>
      </c>
      <c r="D1494">
        <v>13242</v>
      </c>
      <c r="E1494">
        <v>3315</v>
      </c>
      <c r="F1494">
        <v>9927</v>
      </c>
      <c r="G1494" t="s">
        <v>27</v>
      </c>
      <c r="H1494" t="s">
        <v>20</v>
      </c>
      <c r="I1494" t="s">
        <v>15</v>
      </c>
      <c r="J1494" s="2">
        <f>Table1[[#This Row],[Profit]]/Table1[[#This Row],[Sales]]*100</f>
        <v>74.966017217942905</v>
      </c>
      <c r="K1494" t="str">
        <f>IF(Table1[[#This Row],[Sales]]&gt;=30000,"High", IF(Table1[[#This Row],[Sales]]&gt;=15000,"Medium","Low"))</f>
        <v>Low</v>
      </c>
      <c r="L1494" t="str">
        <f>TEXT(Table1[[#This Row],[Order_Date]],"MMM")</f>
        <v>May</v>
      </c>
      <c r="M1494" t="str">
        <f>IF(Table1[[#This Row],[Profit]]&gt;=10000,"Excellent",IF(Table1[[#This Row],[Profit]]&gt;5000,"Good","Low"))</f>
        <v>Good</v>
      </c>
      <c r="N1494" t="str">
        <f>TEXT(Table1[[#This Row],[Order_Date]],"YYYY")</f>
        <v>2025</v>
      </c>
    </row>
    <row r="1495" spans="1:14" x14ac:dyDescent="0.25">
      <c r="A1495" s="1">
        <v>45269</v>
      </c>
      <c r="B1495" t="s">
        <v>22</v>
      </c>
      <c r="C1495" t="s">
        <v>12</v>
      </c>
      <c r="D1495">
        <v>11244</v>
      </c>
      <c r="E1495">
        <v>2839</v>
      </c>
      <c r="F1495">
        <v>8405</v>
      </c>
      <c r="G1495" t="s">
        <v>38</v>
      </c>
      <c r="H1495" t="s">
        <v>34</v>
      </c>
      <c r="I1495" t="s">
        <v>24</v>
      </c>
      <c r="J1495" s="2">
        <f>Table1[[#This Row],[Profit]]/Table1[[#This Row],[Sales]]*100</f>
        <v>74.750978299537536</v>
      </c>
      <c r="K1495" t="str">
        <f>IF(Table1[[#This Row],[Sales]]&gt;=30000,"High", IF(Table1[[#This Row],[Sales]]&gt;=15000,"Medium","Low"))</f>
        <v>Low</v>
      </c>
      <c r="L1495" t="str">
        <f>TEXT(Table1[[#This Row],[Order_Date]],"MMM")</f>
        <v>Dec</v>
      </c>
      <c r="M1495" t="str">
        <f>IF(Table1[[#This Row],[Profit]]&gt;=10000,"Excellent",IF(Table1[[#This Row],[Profit]]&gt;5000,"Good","Low"))</f>
        <v>Good</v>
      </c>
      <c r="N1495" t="str">
        <f>TEXT(Table1[[#This Row],[Order_Date]],"YYYY")</f>
        <v>2023</v>
      </c>
    </row>
    <row r="1496" spans="1:14" x14ac:dyDescent="0.25">
      <c r="A1496" s="1">
        <v>45398</v>
      </c>
      <c r="B1496" t="s">
        <v>11</v>
      </c>
      <c r="C1496" t="s">
        <v>12</v>
      </c>
      <c r="D1496">
        <v>34259</v>
      </c>
      <c r="E1496">
        <v>32370</v>
      </c>
      <c r="F1496">
        <v>1889</v>
      </c>
      <c r="G1496" t="s">
        <v>38</v>
      </c>
      <c r="H1496" t="s">
        <v>63</v>
      </c>
      <c r="I1496" t="s">
        <v>42</v>
      </c>
      <c r="J1496" s="2">
        <f>Table1[[#This Row],[Profit]]/Table1[[#This Row],[Sales]]*100</f>
        <v>5.513879564494002</v>
      </c>
      <c r="K1496" t="str">
        <f>IF(Table1[[#This Row],[Sales]]&gt;=30000,"High", IF(Table1[[#This Row],[Sales]]&gt;=15000,"Medium","Low"))</f>
        <v>High</v>
      </c>
      <c r="L1496" t="str">
        <f>TEXT(Table1[[#This Row],[Order_Date]],"MMM")</f>
        <v>Apr</v>
      </c>
      <c r="M1496" t="str">
        <f>IF(Table1[[#This Row],[Profit]]&gt;=10000,"Excellent",IF(Table1[[#This Row],[Profit]]&gt;5000,"Good","Low"))</f>
        <v>Low</v>
      </c>
      <c r="N1496" t="str">
        <f>TEXT(Table1[[#This Row],[Order_Date]],"YYYY")</f>
        <v>2024</v>
      </c>
    </row>
    <row r="1497" spans="1:14" x14ac:dyDescent="0.25">
      <c r="A1497" s="1">
        <v>45240</v>
      </c>
      <c r="B1497" t="s">
        <v>22</v>
      </c>
      <c r="C1497" t="s">
        <v>33</v>
      </c>
      <c r="D1497">
        <v>42638</v>
      </c>
      <c r="E1497">
        <v>30331</v>
      </c>
      <c r="F1497">
        <v>12307</v>
      </c>
      <c r="G1497" t="s">
        <v>27</v>
      </c>
      <c r="H1497" t="s">
        <v>45</v>
      </c>
      <c r="I1497" t="s">
        <v>53</v>
      </c>
      <c r="J1497" s="2">
        <f>Table1[[#This Row],[Profit]]/Table1[[#This Row],[Sales]]*100</f>
        <v>28.863924199071249</v>
      </c>
      <c r="K1497" t="str">
        <f>IF(Table1[[#This Row],[Sales]]&gt;=30000,"High", IF(Table1[[#This Row],[Sales]]&gt;=15000,"Medium","Low"))</f>
        <v>High</v>
      </c>
      <c r="L1497" t="str">
        <f>TEXT(Table1[[#This Row],[Order_Date]],"MMM")</f>
        <v>Nov</v>
      </c>
      <c r="M1497" t="str">
        <f>IF(Table1[[#This Row],[Profit]]&gt;=10000,"Excellent",IF(Table1[[#This Row],[Profit]]&gt;5000,"Good","Low"))</f>
        <v>Excellent</v>
      </c>
      <c r="N1497" t="str">
        <f>TEXT(Table1[[#This Row],[Order_Date]],"YYYY")</f>
        <v>2023</v>
      </c>
    </row>
    <row r="1498" spans="1:14" x14ac:dyDescent="0.25">
      <c r="A1498" s="1">
        <v>45759</v>
      </c>
      <c r="B1498" t="s">
        <v>17</v>
      </c>
      <c r="C1498" t="s">
        <v>18</v>
      </c>
      <c r="D1498">
        <v>41279</v>
      </c>
      <c r="E1498">
        <v>24323</v>
      </c>
      <c r="F1498">
        <v>16956</v>
      </c>
      <c r="G1498" t="s">
        <v>19</v>
      </c>
      <c r="H1498" t="s">
        <v>63</v>
      </c>
      <c r="I1498" t="s">
        <v>42</v>
      </c>
      <c r="J1498" s="2">
        <f>Table1[[#This Row],[Profit]]/Table1[[#This Row],[Sales]]*100</f>
        <v>41.076576467453187</v>
      </c>
      <c r="K1498" t="str">
        <f>IF(Table1[[#This Row],[Sales]]&gt;=30000,"High", IF(Table1[[#This Row],[Sales]]&gt;=15000,"Medium","Low"))</f>
        <v>High</v>
      </c>
      <c r="L1498" t="str">
        <f>TEXT(Table1[[#This Row],[Order_Date]],"MMM")</f>
        <v>Apr</v>
      </c>
      <c r="M1498" t="str">
        <f>IF(Table1[[#This Row],[Profit]]&gt;=10000,"Excellent",IF(Table1[[#This Row],[Profit]]&gt;5000,"Good","Low"))</f>
        <v>Excellent</v>
      </c>
      <c r="N1498" t="str">
        <f>TEXT(Table1[[#This Row],[Order_Date]],"YYYY")</f>
        <v>2025</v>
      </c>
    </row>
    <row r="1499" spans="1:14" x14ac:dyDescent="0.25">
      <c r="A1499" s="1">
        <v>45707</v>
      </c>
      <c r="B1499" t="s">
        <v>26</v>
      </c>
      <c r="C1499" t="s">
        <v>41</v>
      </c>
      <c r="D1499">
        <v>42770</v>
      </c>
      <c r="E1499">
        <v>23648</v>
      </c>
      <c r="F1499">
        <v>19122</v>
      </c>
      <c r="G1499" t="s">
        <v>19</v>
      </c>
      <c r="H1499" t="s">
        <v>34</v>
      </c>
      <c r="I1499" t="s">
        <v>24</v>
      </c>
      <c r="J1499" s="2">
        <f>Table1[[#This Row],[Profit]]/Table1[[#This Row],[Sales]]*100</f>
        <v>44.708908113163432</v>
      </c>
      <c r="K1499" t="str">
        <f>IF(Table1[[#This Row],[Sales]]&gt;=30000,"High", IF(Table1[[#This Row],[Sales]]&gt;=15000,"Medium","Low"))</f>
        <v>High</v>
      </c>
      <c r="L1499" t="str">
        <f>TEXT(Table1[[#This Row],[Order_Date]],"MMM")</f>
        <v>Feb</v>
      </c>
      <c r="M1499" t="str">
        <f>IF(Table1[[#This Row],[Profit]]&gt;=10000,"Excellent",IF(Table1[[#This Row],[Profit]]&gt;5000,"Good","Low"))</f>
        <v>Excellent</v>
      </c>
      <c r="N1499" t="str">
        <f>TEXT(Table1[[#This Row],[Order_Date]],"YYYY")</f>
        <v>2025</v>
      </c>
    </row>
    <row r="1500" spans="1:14" x14ac:dyDescent="0.25">
      <c r="A1500" s="1">
        <v>45771</v>
      </c>
      <c r="B1500" t="s">
        <v>11</v>
      </c>
      <c r="C1500" t="s">
        <v>33</v>
      </c>
      <c r="D1500">
        <v>11912</v>
      </c>
      <c r="E1500">
        <v>6406</v>
      </c>
      <c r="F1500">
        <v>5506</v>
      </c>
      <c r="G1500" t="s">
        <v>13</v>
      </c>
      <c r="H1500" t="s">
        <v>14</v>
      </c>
      <c r="I1500" t="s">
        <v>15</v>
      </c>
      <c r="J1500" s="2">
        <f>Table1[[#This Row],[Profit]]/Table1[[#This Row],[Sales]]*100</f>
        <v>46.222296843519139</v>
      </c>
      <c r="K1500" t="str">
        <f>IF(Table1[[#This Row],[Sales]]&gt;=30000,"High", IF(Table1[[#This Row],[Sales]]&gt;=15000,"Medium","Low"))</f>
        <v>Low</v>
      </c>
      <c r="L1500" t="str">
        <f>TEXT(Table1[[#This Row],[Order_Date]],"MMM")</f>
        <v>Apr</v>
      </c>
      <c r="M1500" t="str">
        <f>IF(Table1[[#This Row],[Profit]]&gt;=10000,"Excellent",IF(Table1[[#This Row],[Profit]]&gt;5000,"Good","Low"))</f>
        <v>Good</v>
      </c>
      <c r="N1500" t="str">
        <f>TEXT(Table1[[#This Row],[Order_Date]],"YYYY")</f>
        <v>2025</v>
      </c>
    </row>
    <row r="1501" spans="1:14" x14ac:dyDescent="0.25">
      <c r="A1501" s="1">
        <v>45712</v>
      </c>
      <c r="B1501" t="s">
        <v>22</v>
      </c>
      <c r="C1501" t="s">
        <v>12</v>
      </c>
      <c r="D1501">
        <v>17529</v>
      </c>
      <c r="E1501">
        <v>16540</v>
      </c>
      <c r="F1501">
        <v>989</v>
      </c>
      <c r="G1501" t="s">
        <v>38</v>
      </c>
      <c r="H1501" t="s">
        <v>63</v>
      </c>
      <c r="I1501" t="s">
        <v>53</v>
      </c>
      <c r="J1501" s="2">
        <f>Table1[[#This Row],[Profit]]/Table1[[#This Row],[Sales]]*100</f>
        <v>5.6420788407781393</v>
      </c>
      <c r="K1501" t="str">
        <f>IF(Table1[[#This Row],[Sales]]&gt;=30000,"High", IF(Table1[[#This Row],[Sales]]&gt;=15000,"Medium","Low"))</f>
        <v>Medium</v>
      </c>
      <c r="L1501" t="str">
        <f>TEXT(Table1[[#This Row],[Order_Date]],"MMM")</f>
        <v>Feb</v>
      </c>
      <c r="M1501" t="str">
        <f>IF(Table1[[#This Row],[Profit]]&gt;=10000,"Excellent",IF(Table1[[#This Row],[Profit]]&gt;5000,"Good","Low"))</f>
        <v>Low</v>
      </c>
      <c r="N1501" t="str">
        <f>TEXT(Table1[[#This Row],[Order_Date]],"YYYY")</f>
        <v>2025</v>
      </c>
    </row>
    <row r="1502" spans="1:14" x14ac:dyDescent="0.25">
      <c r="A1502" s="1">
        <v>45841</v>
      </c>
      <c r="B1502" t="s">
        <v>26</v>
      </c>
      <c r="C1502" t="s">
        <v>36</v>
      </c>
      <c r="D1502">
        <v>11803</v>
      </c>
      <c r="E1502">
        <v>2299</v>
      </c>
      <c r="F1502">
        <v>9504</v>
      </c>
      <c r="G1502" t="s">
        <v>19</v>
      </c>
      <c r="H1502" t="s">
        <v>23</v>
      </c>
      <c r="I1502" t="s">
        <v>15</v>
      </c>
      <c r="J1502" s="2">
        <f>Table1[[#This Row],[Profit]]/Table1[[#This Row],[Sales]]*100</f>
        <v>80.521901211556383</v>
      </c>
      <c r="K1502" t="str">
        <f>IF(Table1[[#This Row],[Sales]]&gt;=30000,"High", IF(Table1[[#This Row],[Sales]]&gt;=15000,"Medium","Low"))</f>
        <v>Low</v>
      </c>
      <c r="L1502" t="str">
        <f>TEXT(Table1[[#This Row],[Order_Date]],"MMM")</f>
        <v>Jul</v>
      </c>
      <c r="M1502" t="str">
        <f>IF(Table1[[#This Row],[Profit]]&gt;=10000,"Excellent",IF(Table1[[#This Row],[Profit]]&gt;5000,"Good","Low"))</f>
        <v>Good</v>
      </c>
      <c r="N1502" t="str">
        <f>TEXT(Table1[[#This Row],[Order_Date]],"YYYY")</f>
        <v>2025</v>
      </c>
    </row>
    <row r="1503" spans="1:14" x14ac:dyDescent="0.25">
      <c r="A1503" s="1">
        <v>45910</v>
      </c>
      <c r="B1503" t="s">
        <v>26</v>
      </c>
      <c r="C1503" t="s">
        <v>12</v>
      </c>
      <c r="D1503">
        <v>44778</v>
      </c>
      <c r="E1503">
        <v>29312</v>
      </c>
      <c r="F1503">
        <v>15466</v>
      </c>
      <c r="G1503" t="s">
        <v>13</v>
      </c>
      <c r="H1503" t="s">
        <v>78</v>
      </c>
      <c r="I1503" t="s">
        <v>42</v>
      </c>
      <c r="J1503" s="2">
        <f>Table1[[#This Row],[Profit]]/Table1[[#This Row],[Sales]]*100</f>
        <v>34.539282683460627</v>
      </c>
      <c r="K1503" t="str">
        <f>IF(Table1[[#This Row],[Sales]]&gt;=30000,"High", IF(Table1[[#This Row],[Sales]]&gt;=15000,"Medium","Low"))</f>
        <v>High</v>
      </c>
      <c r="L1503" t="str">
        <f>TEXT(Table1[[#This Row],[Order_Date]],"MMM")</f>
        <v>Sep</v>
      </c>
      <c r="M1503" t="str">
        <f>IF(Table1[[#This Row],[Profit]]&gt;=10000,"Excellent",IF(Table1[[#This Row],[Profit]]&gt;5000,"Good","Low"))</f>
        <v>Excellent</v>
      </c>
      <c r="N1503" t="str">
        <f>TEXT(Table1[[#This Row],[Order_Date]],"YYYY")</f>
        <v>2025</v>
      </c>
    </row>
    <row r="1504" spans="1:14" x14ac:dyDescent="0.25">
      <c r="A1504" s="1">
        <v>45347</v>
      </c>
      <c r="B1504" t="s">
        <v>22</v>
      </c>
      <c r="C1504" t="s">
        <v>33</v>
      </c>
      <c r="D1504">
        <v>5804</v>
      </c>
      <c r="E1504">
        <v>4257</v>
      </c>
      <c r="F1504">
        <v>1547</v>
      </c>
      <c r="G1504" t="s">
        <v>19</v>
      </c>
      <c r="H1504" t="s">
        <v>63</v>
      </c>
      <c r="I1504" t="s">
        <v>29</v>
      </c>
      <c r="J1504" s="2">
        <f>Table1[[#This Row],[Profit]]/Table1[[#This Row],[Sales]]*100</f>
        <v>26.654031702274295</v>
      </c>
      <c r="K1504" t="str">
        <f>IF(Table1[[#This Row],[Sales]]&gt;=30000,"High", IF(Table1[[#This Row],[Sales]]&gt;=15000,"Medium","Low"))</f>
        <v>Low</v>
      </c>
      <c r="L1504" t="str">
        <f>TEXT(Table1[[#This Row],[Order_Date]],"MMM")</f>
        <v>Feb</v>
      </c>
      <c r="M1504" t="str">
        <f>IF(Table1[[#This Row],[Profit]]&gt;=10000,"Excellent",IF(Table1[[#This Row],[Profit]]&gt;5000,"Good","Low"))</f>
        <v>Low</v>
      </c>
      <c r="N1504" t="str">
        <f>TEXT(Table1[[#This Row],[Order_Date]],"YYYY")</f>
        <v>2024</v>
      </c>
    </row>
    <row r="1505" spans="1:14" x14ac:dyDescent="0.25">
      <c r="A1505" s="1">
        <v>45126</v>
      </c>
      <c r="B1505" t="s">
        <v>22</v>
      </c>
      <c r="C1505" t="s">
        <v>33</v>
      </c>
      <c r="D1505">
        <v>20378</v>
      </c>
      <c r="E1505">
        <v>13855</v>
      </c>
      <c r="F1505">
        <v>6523</v>
      </c>
      <c r="G1505" t="s">
        <v>38</v>
      </c>
      <c r="H1505" t="s">
        <v>78</v>
      </c>
      <c r="I1505" t="s">
        <v>24</v>
      </c>
      <c r="J1505" s="2">
        <f>Table1[[#This Row],[Profit]]/Table1[[#This Row],[Sales]]*100</f>
        <v>32.010010795956426</v>
      </c>
      <c r="K1505" t="str">
        <f>IF(Table1[[#This Row],[Sales]]&gt;=30000,"High", IF(Table1[[#This Row],[Sales]]&gt;=15000,"Medium","Low"))</f>
        <v>Medium</v>
      </c>
      <c r="L1505" t="str">
        <f>TEXT(Table1[[#This Row],[Order_Date]],"MMM")</f>
        <v>Jul</v>
      </c>
      <c r="M1505" t="str">
        <f>IF(Table1[[#This Row],[Profit]]&gt;=10000,"Excellent",IF(Table1[[#This Row],[Profit]]&gt;5000,"Good","Low"))</f>
        <v>Good</v>
      </c>
      <c r="N1505" t="str">
        <f>TEXT(Table1[[#This Row],[Order_Date]],"YYYY")</f>
        <v>2023</v>
      </c>
    </row>
    <row r="1506" spans="1:14" x14ac:dyDescent="0.25">
      <c r="A1506" s="1">
        <v>45141</v>
      </c>
      <c r="B1506" t="s">
        <v>44</v>
      </c>
      <c r="C1506" t="s">
        <v>41</v>
      </c>
      <c r="D1506">
        <v>19403</v>
      </c>
      <c r="E1506">
        <v>14848</v>
      </c>
      <c r="F1506">
        <v>4555</v>
      </c>
      <c r="G1506" t="s">
        <v>13</v>
      </c>
      <c r="H1506" t="s">
        <v>14</v>
      </c>
      <c r="I1506" t="s">
        <v>53</v>
      </c>
      <c r="J1506" s="2">
        <f>Table1[[#This Row],[Profit]]/Table1[[#This Row],[Sales]]*100</f>
        <v>23.475751172499098</v>
      </c>
      <c r="K1506" t="str">
        <f>IF(Table1[[#This Row],[Sales]]&gt;=30000,"High", IF(Table1[[#This Row],[Sales]]&gt;=15000,"Medium","Low"))</f>
        <v>Medium</v>
      </c>
      <c r="L1506" t="str">
        <f>TEXT(Table1[[#This Row],[Order_Date]],"MMM")</f>
        <v>Aug</v>
      </c>
      <c r="M1506" t="str">
        <f>IF(Table1[[#This Row],[Profit]]&gt;=10000,"Excellent",IF(Table1[[#This Row],[Profit]]&gt;5000,"Good","Low"))</f>
        <v>Low</v>
      </c>
      <c r="N1506" t="str">
        <f>TEXT(Table1[[#This Row],[Order_Date]],"YYYY")</f>
        <v>2023</v>
      </c>
    </row>
    <row r="1507" spans="1:14" x14ac:dyDescent="0.25">
      <c r="A1507" s="1">
        <v>46178</v>
      </c>
      <c r="B1507" t="s">
        <v>17</v>
      </c>
      <c r="C1507" t="s">
        <v>18</v>
      </c>
      <c r="D1507">
        <v>29202</v>
      </c>
      <c r="E1507">
        <v>27591</v>
      </c>
      <c r="F1507">
        <v>1611</v>
      </c>
      <c r="G1507" t="s">
        <v>19</v>
      </c>
      <c r="H1507" t="s">
        <v>63</v>
      </c>
      <c r="I1507" t="s">
        <v>53</v>
      </c>
      <c r="J1507" s="2">
        <f>Table1[[#This Row],[Profit]]/Table1[[#This Row],[Sales]]*100</f>
        <v>5.5167454283953159</v>
      </c>
      <c r="K1507" t="str">
        <f>IF(Table1[[#This Row],[Sales]]&gt;=30000,"High", IF(Table1[[#This Row],[Sales]]&gt;=15000,"Medium","Low"))</f>
        <v>Medium</v>
      </c>
      <c r="L1507" t="str">
        <f>TEXT(Table1[[#This Row],[Order_Date]],"MMM")</f>
        <v>Jun</v>
      </c>
      <c r="M1507" t="str">
        <f>IF(Table1[[#This Row],[Profit]]&gt;=10000,"Excellent",IF(Table1[[#This Row],[Profit]]&gt;5000,"Good","Low"))</f>
        <v>Low</v>
      </c>
      <c r="N1507" t="str">
        <f>TEXT(Table1[[#This Row],[Order_Date]],"YYYY")</f>
        <v>2026</v>
      </c>
    </row>
    <row r="1508" spans="1:14" x14ac:dyDescent="0.25">
      <c r="A1508" s="1">
        <v>46006</v>
      </c>
      <c r="B1508" t="s">
        <v>17</v>
      </c>
      <c r="C1508" t="s">
        <v>36</v>
      </c>
      <c r="D1508">
        <v>8245</v>
      </c>
      <c r="E1508">
        <v>4041</v>
      </c>
      <c r="F1508">
        <v>4204</v>
      </c>
      <c r="G1508" t="s">
        <v>38</v>
      </c>
      <c r="H1508" t="s">
        <v>78</v>
      </c>
      <c r="I1508" t="s">
        <v>53</v>
      </c>
      <c r="J1508" s="2">
        <f>Table1[[#This Row],[Profit]]/Table1[[#This Row],[Sales]]*100</f>
        <v>50.98847786537295</v>
      </c>
      <c r="K1508" t="str">
        <f>IF(Table1[[#This Row],[Sales]]&gt;=30000,"High", IF(Table1[[#This Row],[Sales]]&gt;=15000,"Medium","Low"))</f>
        <v>Low</v>
      </c>
      <c r="L1508" t="str">
        <f>TEXT(Table1[[#This Row],[Order_Date]],"MMM")</f>
        <v>Dec</v>
      </c>
      <c r="M1508" t="str">
        <f>IF(Table1[[#This Row],[Profit]]&gt;=10000,"Excellent",IF(Table1[[#This Row],[Profit]]&gt;5000,"Good","Low"))</f>
        <v>Low</v>
      </c>
      <c r="N1508" t="str">
        <f>TEXT(Table1[[#This Row],[Order_Date]],"YYYY")</f>
        <v>2025</v>
      </c>
    </row>
    <row r="1509" spans="1:14" x14ac:dyDescent="0.25">
      <c r="A1509" s="1">
        <v>45916</v>
      </c>
      <c r="B1509" t="s">
        <v>11</v>
      </c>
      <c r="C1509" t="s">
        <v>33</v>
      </c>
      <c r="D1509">
        <v>46342</v>
      </c>
      <c r="E1509">
        <v>39951</v>
      </c>
      <c r="F1509">
        <v>6391</v>
      </c>
      <c r="G1509" t="s">
        <v>19</v>
      </c>
      <c r="H1509" t="s">
        <v>23</v>
      </c>
      <c r="I1509" t="s">
        <v>15</v>
      </c>
      <c r="J1509" s="2">
        <f>Table1[[#This Row],[Profit]]/Table1[[#This Row],[Sales]]*100</f>
        <v>13.79094557852488</v>
      </c>
      <c r="K1509" t="str">
        <f>IF(Table1[[#This Row],[Sales]]&gt;=30000,"High", IF(Table1[[#This Row],[Sales]]&gt;=15000,"Medium","Low"))</f>
        <v>High</v>
      </c>
      <c r="L1509" t="str">
        <f>TEXT(Table1[[#This Row],[Order_Date]],"MMM")</f>
        <v>Sep</v>
      </c>
      <c r="M1509" t="str">
        <f>IF(Table1[[#This Row],[Profit]]&gt;=10000,"Excellent",IF(Table1[[#This Row],[Profit]]&gt;5000,"Good","Low"))</f>
        <v>Good</v>
      </c>
      <c r="N1509" t="str">
        <f>TEXT(Table1[[#This Row],[Order_Date]],"YYYY")</f>
        <v>2025</v>
      </c>
    </row>
    <row r="1510" spans="1:14" x14ac:dyDescent="0.25">
      <c r="A1510" s="1">
        <v>45317</v>
      </c>
      <c r="B1510" t="s">
        <v>11</v>
      </c>
      <c r="C1510" t="s">
        <v>12</v>
      </c>
      <c r="D1510">
        <v>18032</v>
      </c>
      <c r="E1510">
        <v>9201</v>
      </c>
      <c r="F1510">
        <v>8831</v>
      </c>
      <c r="G1510" t="s">
        <v>19</v>
      </c>
      <c r="H1510" t="s">
        <v>23</v>
      </c>
      <c r="I1510" t="s">
        <v>24</v>
      </c>
      <c r="J1510" s="2">
        <f>Table1[[#This Row],[Profit]]/Table1[[#This Row],[Sales]]*100</f>
        <v>48.974046140195213</v>
      </c>
      <c r="K1510" t="str">
        <f>IF(Table1[[#This Row],[Sales]]&gt;=30000,"High", IF(Table1[[#This Row],[Sales]]&gt;=15000,"Medium","Low"))</f>
        <v>Medium</v>
      </c>
      <c r="L1510" t="str">
        <f>TEXT(Table1[[#This Row],[Order_Date]],"MMM")</f>
        <v>Jan</v>
      </c>
      <c r="M1510" t="str">
        <f>IF(Table1[[#This Row],[Profit]]&gt;=10000,"Excellent",IF(Table1[[#This Row],[Profit]]&gt;5000,"Good","Low"))</f>
        <v>Good</v>
      </c>
      <c r="N1510" t="str">
        <f>TEXT(Table1[[#This Row],[Order_Date]],"YYYY")</f>
        <v>2024</v>
      </c>
    </row>
    <row r="1511" spans="1:14" x14ac:dyDescent="0.25">
      <c r="A1511" s="1">
        <v>45258</v>
      </c>
      <c r="B1511" t="s">
        <v>26</v>
      </c>
      <c r="C1511" t="s">
        <v>33</v>
      </c>
      <c r="D1511">
        <v>9706</v>
      </c>
      <c r="E1511">
        <v>5852</v>
      </c>
      <c r="F1511">
        <v>3854</v>
      </c>
      <c r="G1511" t="s">
        <v>38</v>
      </c>
      <c r="H1511" t="s">
        <v>14</v>
      </c>
      <c r="I1511" t="s">
        <v>24</v>
      </c>
      <c r="J1511" s="2">
        <f>Table1[[#This Row],[Profit]]/Table1[[#This Row],[Sales]]*100</f>
        <v>39.707397486091075</v>
      </c>
      <c r="K1511" t="str">
        <f>IF(Table1[[#This Row],[Sales]]&gt;=30000,"High", IF(Table1[[#This Row],[Sales]]&gt;=15000,"Medium","Low"))</f>
        <v>Low</v>
      </c>
      <c r="L1511" t="str">
        <f>TEXT(Table1[[#This Row],[Order_Date]],"MMM")</f>
        <v>Nov</v>
      </c>
      <c r="M1511" t="str">
        <f>IF(Table1[[#This Row],[Profit]]&gt;=10000,"Excellent",IF(Table1[[#This Row],[Profit]]&gt;5000,"Good","Low"))</f>
        <v>Low</v>
      </c>
      <c r="N1511" t="str">
        <f>TEXT(Table1[[#This Row],[Order_Date]],"YYYY")</f>
        <v>2023</v>
      </c>
    </row>
    <row r="1512" spans="1:14" x14ac:dyDescent="0.25">
      <c r="A1512" s="1">
        <v>46185</v>
      </c>
      <c r="B1512" t="s">
        <v>17</v>
      </c>
      <c r="C1512" t="s">
        <v>36</v>
      </c>
      <c r="D1512">
        <v>33987</v>
      </c>
      <c r="E1512">
        <v>19276</v>
      </c>
      <c r="F1512">
        <v>14711</v>
      </c>
      <c r="G1512" t="s">
        <v>38</v>
      </c>
      <c r="H1512" t="s">
        <v>34</v>
      </c>
      <c r="I1512" t="s">
        <v>29</v>
      </c>
      <c r="J1512" s="2">
        <f>Table1[[#This Row],[Profit]]/Table1[[#This Row],[Sales]]*100</f>
        <v>43.284196898814251</v>
      </c>
      <c r="K1512" t="str">
        <f>IF(Table1[[#This Row],[Sales]]&gt;=30000,"High", IF(Table1[[#This Row],[Sales]]&gt;=15000,"Medium","Low"))</f>
        <v>High</v>
      </c>
      <c r="L1512" t="str">
        <f>TEXT(Table1[[#This Row],[Order_Date]],"MMM")</f>
        <v>Jun</v>
      </c>
      <c r="M1512" t="str">
        <f>IF(Table1[[#This Row],[Profit]]&gt;=10000,"Excellent",IF(Table1[[#This Row],[Profit]]&gt;5000,"Good","Low"))</f>
        <v>Excellent</v>
      </c>
      <c r="N1512" t="str">
        <f>TEXT(Table1[[#This Row],[Order_Date]],"YYYY")</f>
        <v>2026</v>
      </c>
    </row>
    <row r="1513" spans="1:14" x14ac:dyDescent="0.25">
      <c r="A1513" s="1">
        <v>45264</v>
      </c>
      <c r="B1513" t="s">
        <v>17</v>
      </c>
      <c r="C1513" t="s">
        <v>41</v>
      </c>
      <c r="D1513">
        <v>33402</v>
      </c>
      <c r="E1513">
        <v>17427</v>
      </c>
      <c r="F1513">
        <v>15975</v>
      </c>
      <c r="G1513" t="s">
        <v>13</v>
      </c>
      <c r="H1513" t="s">
        <v>45</v>
      </c>
      <c r="I1513" t="s">
        <v>29</v>
      </c>
      <c r="J1513" s="2">
        <f>Table1[[#This Row],[Profit]]/Table1[[#This Row],[Sales]]*100</f>
        <v>47.82647745643974</v>
      </c>
      <c r="K1513" t="str">
        <f>IF(Table1[[#This Row],[Sales]]&gt;=30000,"High", IF(Table1[[#This Row],[Sales]]&gt;=15000,"Medium","Low"))</f>
        <v>High</v>
      </c>
      <c r="L1513" t="str">
        <f>TEXT(Table1[[#This Row],[Order_Date]],"MMM")</f>
        <v>Dec</v>
      </c>
      <c r="M1513" t="str">
        <f>IF(Table1[[#This Row],[Profit]]&gt;=10000,"Excellent",IF(Table1[[#This Row],[Profit]]&gt;5000,"Good","Low"))</f>
        <v>Excellent</v>
      </c>
      <c r="N1513" t="str">
        <f>TEXT(Table1[[#This Row],[Order_Date]],"YYYY")</f>
        <v>2023</v>
      </c>
    </row>
    <row r="1514" spans="1:14" x14ac:dyDescent="0.25">
      <c r="A1514" s="1">
        <v>45959</v>
      </c>
      <c r="B1514" t="s">
        <v>11</v>
      </c>
      <c r="C1514" t="s">
        <v>41</v>
      </c>
      <c r="D1514">
        <v>42034</v>
      </c>
      <c r="E1514">
        <v>37343</v>
      </c>
      <c r="F1514">
        <v>4691</v>
      </c>
      <c r="G1514" t="s">
        <v>13</v>
      </c>
      <c r="H1514" t="s">
        <v>45</v>
      </c>
      <c r="I1514" t="s">
        <v>15</v>
      </c>
      <c r="J1514" s="2">
        <f>Table1[[#This Row],[Profit]]/Table1[[#This Row],[Sales]]*100</f>
        <v>11.160013322548414</v>
      </c>
      <c r="K1514" t="str">
        <f>IF(Table1[[#This Row],[Sales]]&gt;=30000,"High", IF(Table1[[#This Row],[Sales]]&gt;=15000,"Medium","Low"))</f>
        <v>High</v>
      </c>
      <c r="L1514" t="str">
        <f>TEXT(Table1[[#This Row],[Order_Date]],"MMM")</f>
        <v>Oct</v>
      </c>
      <c r="M1514" t="str">
        <f>IF(Table1[[#This Row],[Profit]]&gt;=10000,"Excellent",IF(Table1[[#This Row],[Profit]]&gt;5000,"Good","Low"))</f>
        <v>Low</v>
      </c>
      <c r="N1514" t="str">
        <f>TEXT(Table1[[#This Row],[Order_Date]],"YYYY")</f>
        <v>2025</v>
      </c>
    </row>
    <row r="1515" spans="1:14" x14ac:dyDescent="0.25">
      <c r="A1515" s="1">
        <v>45617</v>
      </c>
      <c r="B1515" t="s">
        <v>17</v>
      </c>
      <c r="C1515" t="s">
        <v>33</v>
      </c>
      <c r="D1515">
        <v>8835</v>
      </c>
      <c r="E1515">
        <v>3203</v>
      </c>
      <c r="F1515">
        <v>5632</v>
      </c>
      <c r="G1515" t="s">
        <v>38</v>
      </c>
      <c r="H1515" t="s">
        <v>23</v>
      </c>
      <c r="I1515" t="s">
        <v>42</v>
      </c>
      <c r="J1515" s="2">
        <f>Table1[[#This Row],[Profit]]/Table1[[#This Row],[Sales]]*100</f>
        <v>63.746462931522352</v>
      </c>
      <c r="K1515" t="str">
        <f>IF(Table1[[#This Row],[Sales]]&gt;=30000,"High", IF(Table1[[#This Row],[Sales]]&gt;=15000,"Medium","Low"))</f>
        <v>Low</v>
      </c>
      <c r="L1515" t="str">
        <f>TEXT(Table1[[#This Row],[Order_Date]],"MMM")</f>
        <v>Nov</v>
      </c>
      <c r="M1515" t="str">
        <f>IF(Table1[[#This Row],[Profit]]&gt;=10000,"Excellent",IF(Table1[[#This Row],[Profit]]&gt;5000,"Good","Low"))</f>
        <v>Good</v>
      </c>
      <c r="N1515" t="str">
        <f>TEXT(Table1[[#This Row],[Order_Date]],"YYYY")</f>
        <v>2024</v>
      </c>
    </row>
    <row r="1516" spans="1:14" x14ac:dyDescent="0.25">
      <c r="A1516" s="1">
        <v>45217</v>
      </c>
      <c r="B1516" t="s">
        <v>17</v>
      </c>
      <c r="C1516" t="s">
        <v>36</v>
      </c>
      <c r="D1516">
        <v>47806</v>
      </c>
      <c r="E1516">
        <v>37022</v>
      </c>
      <c r="F1516">
        <v>10784</v>
      </c>
      <c r="G1516" t="s">
        <v>19</v>
      </c>
      <c r="H1516" t="s">
        <v>60</v>
      </c>
      <c r="I1516" t="s">
        <v>42</v>
      </c>
      <c r="J1516" s="2">
        <f>Table1[[#This Row],[Profit]]/Table1[[#This Row],[Sales]]*100</f>
        <v>22.55783792829352</v>
      </c>
      <c r="K1516" t="str">
        <f>IF(Table1[[#This Row],[Sales]]&gt;=30000,"High", IF(Table1[[#This Row],[Sales]]&gt;=15000,"Medium","Low"))</f>
        <v>High</v>
      </c>
      <c r="L1516" t="str">
        <f>TEXT(Table1[[#This Row],[Order_Date]],"MMM")</f>
        <v>Oct</v>
      </c>
      <c r="M1516" t="str">
        <f>IF(Table1[[#This Row],[Profit]]&gt;=10000,"Excellent",IF(Table1[[#This Row],[Profit]]&gt;5000,"Good","Low"))</f>
        <v>Excellent</v>
      </c>
      <c r="N1516" t="str">
        <f>TEXT(Table1[[#This Row],[Order_Date]],"YYYY")</f>
        <v>2023</v>
      </c>
    </row>
    <row r="1517" spans="1:14" x14ac:dyDescent="0.25">
      <c r="A1517" s="1">
        <v>45990</v>
      </c>
      <c r="B1517" t="s">
        <v>11</v>
      </c>
      <c r="C1517" t="s">
        <v>12</v>
      </c>
      <c r="D1517">
        <v>49072</v>
      </c>
      <c r="E1517">
        <v>35454</v>
      </c>
      <c r="F1517">
        <v>13618</v>
      </c>
      <c r="G1517" t="s">
        <v>27</v>
      </c>
      <c r="H1517" t="s">
        <v>14</v>
      </c>
      <c r="I1517" t="s">
        <v>15</v>
      </c>
      <c r="J1517" s="2">
        <f>Table1[[#This Row],[Profit]]/Table1[[#This Row],[Sales]]*100</f>
        <v>27.751059667427452</v>
      </c>
      <c r="K1517" t="str">
        <f>IF(Table1[[#This Row],[Sales]]&gt;=30000,"High", IF(Table1[[#This Row],[Sales]]&gt;=15000,"Medium","Low"))</f>
        <v>High</v>
      </c>
      <c r="L1517" t="str">
        <f>TEXT(Table1[[#This Row],[Order_Date]],"MMM")</f>
        <v>Nov</v>
      </c>
      <c r="M1517" t="str">
        <f>IF(Table1[[#This Row],[Profit]]&gt;=10000,"Excellent",IF(Table1[[#This Row],[Profit]]&gt;5000,"Good","Low"))</f>
        <v>Excellent</v>
      </c>
      <c r="N1517" t="str">
        <f>TEXT(Table1[[#This Row],[Order_Date]],"YYYY")</f>
        <v>2025</v>
      </c>
    </row>
    <row r="1518" spans="1:14" x14ac:dyDescent="0.25">
      <c r="A1518" s="1">
        <v>46197</v>
      </c>
      <c r="B1518" t="s">
        <v>44</v>
      </c>
      <c r="C1518" t="s">
        <v>36</v>
      </c>
      <c r="D1518">
        <v>44933</v>
      </c>
      <c r="E1518">
        <v>41930</v>
      </c>
      <c r="F1518">
        <v>3003</v>
      </c>
      <c r="G1518" t="s">
        <v>27</v>
      </c>
      <c r="H1518" t="s">
        <v>63</v>
      </c>
      <c r="I1518" t="s">
        <v>24</v>
      </c>
      <c r="J1518" s="2">
        <f>Table1[[#This Row],[Profit]]/Table1[[#This Row],[Sales]]*100</f>
        <v>6.6832840006231509</v>
      </c>
      <c r="K1518" t="str">
        <f>IF(Table1[[#This Row],[Sales]]&gt;=30000,"High", IF(Table1[[#This Row],[Sales]]&gt;=15000,"Medium","Low"))</f>
        <v>High</v>
      </c>
      <c r="L1518" t="str">
        <f>TEXT(Table1[[#This Row],[Order_Date]],"MMM")</f>
        <v>Jun</v>
      </c>
      <c r="M1518" t="str">
        <f>IF(Table1[[#This Row],[Profit]]&gt;=10000,"Excellent",IF(Table1[[#This Row],[Profit]]&gt;5000,"Good","Low"))</f>
        <v>Low</v>
      </c>
      <c r="N1518" t="str">
        <f>TEXT(Table1[[#This Row],[Order_Date]],"YYYY")</f>
        <v>2026</v>
      </c>
    </row>
    <row r="1519" spans="1:14" x14ac:dyDescent="0.25">
      <c r="A1519" s="1">
        <v>46096</v>
      </c>
      <c r="B1519" t="s">
        <v>22</v>
      </c>
      <c r="C1519" t="s">
        <v>33</v>
      </c>
      <c r="D1519">
        <v>29656</v>
      </c>
      <c r="E1519">
        <v>13425</v>
      </c>
      <c r="F1519">
        <v>16231</v>
      </c>
      <c r="G1519" t="s">
        <v>27</v>
      </c>
      <c r="H1519" t="s">
        <v>20</v>
      </c>
      <c r="I1519" t="s">
        <v>53</v>
      </c>
      <c r="J1519" s="2">
        <f>Table1[[#This Row],[Profit]]/Table1[[#This Row],[Sales]]*100</f>
        <v>54.730914486107366</v>
      </c>
      <c r="K1519" t="str">
        <f>IF(Table1[[#This Row],[Sales]]&gt;=30000,"High", IF(Table1[[#This Row],[Sales]]&gt;=15000,"Medium","Low"))</f>
        <v>Medium</v>
      </c>
      <c r="L1519" t="str">
        <f>TEXT(Table1[[#This Row],[Order_Date]],"MMM")</f>
        <v>Mar</v>
      </c>
      <c r="M1519" t="str">
        <f>IF(Table1[[#This Row],[Profit]]&gt;=10000,"Excellent",IF(Table1[[#This Row],[Profit]]&gt;5000,"Good","Low"))</f>
        <v>Excellent</v>
      </c>
      <c r="N1519" t="str">
        <f>TEXT(Table1[[#This Row],[Order_Date]],"YYYY")</f>
        <v>2026</v>
      </c>
    </row>
    <row r="1520" spans="1:14" x14ac:dyDescent="0.25">
      <c r="A1520" s="1">
        <v>45566</v>
      </c>
      <c r="B1520" t="s">
        <v>26</v>
      </c>
      <c r="C1520" t="s">
        <v>18</v>
      </c>
      <c r="D1520">
        <v>7884</v>
      </c>
      <c r="E1520">
        <v>5874</v>
      </c>
      <c r="F1520">
        <v>2010</v>
      </c>
      <c r="G1520" t="s">
        <v>38</v>
      </c>
      <c r="H1520" t="s">
        <v>28</v>
      </c>
      <c r="I1520" t="s">
        <v>53</v>
      </c>
      <c r="J1520" s="2">
        <f>Table1[[#This Row],[Profit]]/Table1[[#This Row],[Sales]]*100</f>
        <v>25.49467275494673</v>
      </c>
      <c r="K1520" t="str">
        <f>IF(Table1[[#This Row],[Sales]]&gt;=30000,"High", IF(Table1[[#This Row],[Sales]]&gt;=15000,"Medium","Low"))</f>
        <v>Low</v>
      </c>
      <c r="L1520" t="str">
        <f>TEXT(Table1[[#This Row],[Order_Date]],"MMM")</f>
        <v>Oct</v>
      </c>
      <c r="M1520" t="str">
        <f>IF(Table1[[#This Row],[Profit]]&gt;=10000,"Excellent",IF(Table1[[#This Row],[Profit]]&gt;5000,"Good","Low"))</f>
        <v>Low</v>
      </c>
      <c r="N1520" t="str">
        <f>TEXT(Table1[[#This Row],[Order_Date]],"YYYY")</f>
        <v>2024</v>
      </c>
    </row>
    <row r="1521" spans="1:14" x14ac:dyDescent="0.25">
      <c r="A1521" s="1">
        <v>45960</v>
      </c>
      <c r="B1521" t="s">
        <v>26</v>
      </c>
      <c r="C1521" t="s">
        <v>41</v>
      </c>
      <c r="D1521">
        <v>47909</v>
      </c>
      <c r="E1521">
        <v>42989</v>
      </c>
      <c r="F1521">
        <v>4920</v>
      </c>
      <c r="G1521" t="s">
        <v>13</v>
      </c>
      <c r="H1521" t="s">
        <v>20</v>
      </c>
      <c r="I1521" t="s">
        <v>24</v>
      </c>
      <c r="J1521" s="2">
        <f>Table1[[#This Row],[Profit]]/Table1[[#This Row],[Sales]]*100</f>
        <v>10.269469202028848</v>
      </c>
      <c r="K1521" t="str">
        <f>IF(Table1[[#This Row],[Sales]]&gt;=30000,"High", IF(Table1[[#This Row],[Sales]]&gt;=15000,"Medium","Low"))</f>
        <v>High</v>
      </c>
      <c r="L1521" t="str">
        <f>TEXT(Table1[[#This Row],[Order_Date]],"MMM")</f>
        <v>Oct</v>
      </c>
      <c r="M1521" t="str">
        <f>IF(Table1[[#This Row],[Profit]]&gt;=10000,"Excellent",IF(Table1[[#This Row],[Profit]]&gt;5000,"Good","Low"))</f>
        <v>Low</v>
      </c>
      <c r="N1521" t="str">
        <f>TEXT(Table1[[#This Row],[Order_Date]],"YYYY")</f>
        <v>2025</v>
      </c>
    </row>
    <row r="1522" spans="1:14" x14ac:dyDescent="0.25">
      <c r="A1522" s="1">
        <v>45622</v>
      </c>
      <c r="B1522" t="s">
        <v>17</v>
      </c>
      <c r="C1522" t="s">
        <v>41</v>
      </c>
      <c r="D1522">
        <v>49655</v>
      </c>
      <c r="E1522">
        <v>35935</v>
      </c>
      <c r="F1522">
        <v>13720</v>
      </c>
      <c r="G1522" t="s">
        <v>19</v>
      </c>
      <c r="H1522" t="s">
        <v>23</v>
      </c>
      <c r="I1522" t="s">
        <v>53</v>
      </c>
      <c r="J1522" s="2">
        <f>Table1[[#This Row],[Profit]]/Table1[[#This Row],[Sales]]*100</f>
        <v>27.630651495317693</v>
      </c>
      <c r="K1522" t="str">
        <f>IF(Table1[[#This Row],[Sales]]&gt;=30000,"High", IF(Table1[[#This Row],[Sales]]&gt;=15000,"Medium","Low"))</f>
        <v>High</v>
      </c>
      <c r="L1522" t="str">
        <f>TEXT(Table1[[#This Row],[Order_Date]],"MMM")</f>
        <v>Nov</v>
      </c>
      <c r="M1522" t="str">
        <f>IF(Table1[[#This Row],[Profit]]&gt;=10000,"Excellent",IF(Table1[[#This Row],[Profit]]&gt;5000,"Good","Low"))</f>
        <v>Excellent</v>
      </c>
      <c r="N1522" t="str">
        <f>TEXT(Table1[[#This Row],[Order_Date]],"YYYY")</f>
        <v>2024</v>
      </c>
    </row>
    <row r="1523" spans="1:14" x14ac:dyDescent="0.25">
      <c r="A1523" s="1">
        <v>45852</v>
      </c>
      <c r="B1523" t="s">
        <v>11</v>
      </c>
      <c r="C1523" t="s">
        <v>41</v>
      </c>
      <c r="D1523">
        <v>10327</v>
      </c>
      <c r="E1523">
        <v>3629</v>
      </c>
      <c r="F1523">
        <v>6698</v>
      </c>
      <c r="G1523" t="s">
        <v>19</v>
      </c>
      <c r="H1523" t="s">
        <v>34</v>
      </c>
      <c r="I1523" t="s">
        <v>15</v>
      </c>
      <c r="J1523" s="2">
        <f>Table1[[#This Row],[Profit]]/Table1[[#This Row],[Sales]]*100</f>
        <v>64.85910719473226</v>
      </c>
      <c r="K1523" t="str">
        <f>IF(Table1[[#This Row],[Sales]]&gt;=30000,"High", IF(Table1[[#This Row],[Sales]]&gt;=15000,"Medium","Low"))</f>
        <v>Low</v>
      </c>
      <c r="L1523" t="str">
        <f>TEXT(Table1[[#This Row],[Order_Date]],"MMM")</f>
        <v>Jul</v>
      </c>
      <c r="M1523" t="str">
        <f>IF(Table1[[#This Row],[Profit]]&gt;=10000,"Excellent",IF(Table1[[#This Row],[Profit]]&gt;5000,"Good","Low"))</f>
        <v>Good</v>
      </c>
      <c r="N1523" t="str">
        <f>TEXT(Table1[[#This Row],[Order_Date]],"YYYY")</f>
        <v>2025</v>
      </c>
    </row>
    <row r="1524" spans="1:14" x14ac:dyDescent="0.25">
      <c r="A1524" s="1">
        <v>45313</v>
      </c>
      <c r="B1524" t="s">
        <v>11</v>
      </c>
      <c r="C1524" t="s">
        <v>12</v>
      </c>
      <c r="D1524">
        <v>30914</v>
      </c>
      <c r="E1524">
        <v>19025</v>
      </c>
      <c r="F1524">
        <v>11889</v>
      </c>
      <c r="G1524" t="s">
        <v>38</v>
      </c>
      <c r="H1524" t="s">
        <v>31</v>
      </c>
      <c r="I1524" t="s">
        <v>42</v>
      </c>
      <c r="J1524" s="2">
        <f>Table1[[#This Row],[Profit]]/Table1[[#This Row],[Sales]]*100</f>
        <v>38.458303681180048</v>
      </c>
      <c r="K1524" t="str">
        <f>IF(Table1[[#This Row],[Sales]]&gt;=30000,"High", IF(Table1[[#This Row],[Sales]]&gt;=15000,"Medium","Low"))</f>
        <v>High</v>
      </c>
      <c r="L1524" t="str">
        <f>TEXT(Table1[[#This Row],[Order_Date]],"MMM")</f>
        <v>Jan</v>
      </c>
      <c r="M1524" t="str">
        <f>IF(Table1[[#This Row],[Profit]]&gt;=10000,"Excellent",IF(Table1[[#This Row],[Profit]]&gt;5000,"Good","Low"))</f>
        <v>Excellent</v>
      </c>
      <c r="N1524" t="str">
        <f>TEXT(Table1[[#This Row],[Order_Date]],"YYYY")</f>
        <v>2024</v>
      </c>
    </row>
    <row r="1525" spans="1:14" x14ac:dyDescent="0.25">
      <c r="A1525" s="1">
        <v>46025</v>
      </c>
      <c r="B1525" t="s">
        <v>17</v>
      </c>
      <c r="C1525" t="s">
        <v>41</v>
      </c>
      <c r="D1525">
        <v>48676</v>
      </c>
      <c r="E1525">
        <v>32283</v>
      </c>
      <c r="F1525">
        <v>16393</v>
      </c>
      <c r="G1525" t="s">
        <v>19</v>
      </c>
      <c r="H1525" t="s">
        <v>31</v>
      </c>
      <c r="I1525" t="s">
        <v>42</v>
      </c>
      <c r="J1525" s="2">
        <f>Table1[[#This Row],[Profit]]/Table1[[#This Row],[Sales]]*100</f>
        <v>33.677787821513682</v>
      </c>
      <c r="K1525" t="str">
        <f>IF(Table1[[#This Row],[Sales]]&gt;=30000,"High", IF(Table1[[#This Row],[Sales]]&gt;=15000,"Medium","Low"))</f>
        <v>High</v>
      </c>
      <c r="L1525" t="str">
        <f>TEXT(Table1[[#This Row],[Order_Date]],"MMM")</f>
        <v>Jan</v>
      </c>
      <c r="M1525" t="str">
        <f>IF(Table1[[#This Row],[Profit]]&gt;=10000,"Excellent",IF(Table1[[#This Row],[Profit]]&gt;5000,"Good","Low"))</f>
        <v>Excellent</v>
      </c>
      <c r="N1525" t="str">
        <f>TEXT(Table1[[#This Row],[Order_Date]],"YYYY")</f>
        <v>2026</v>
      </c>
    </row>
    <row r="1526" spans="1:14" x14ac:dyDescent="0.25">
      <c r="A1526" s="1">
        <v>46019</v>
      </c>
      <c r="B1526" t="s">
        <v>26</v>
      </c>
      <c r="C1526" t="s">
        <v>18</v>
      </c>
      <c r="D1526">
        <v>49907</v>
      </c>
      <c r="E1526">
        <v>35870</v>
      </c>
      <c r="F1526">
        <v>14037</v>
      </c>
      <c r="G1526" t="s">
        <v>27</v>
      </c>
      <c r="H1526" t="s">
        <v>78</v>
      </c>
      <c r="I1526" t="s">
        <v>29</v>
      </c>
      <c r="J1526" s="2">
        <f>Table1[[#This Row],[Profit]]/Table1[[#This Row],[Sales]]*100</f>
        <v>28.126314945799187</v>
      </c>
      <c r="K1526" t="str">
        <f>IF(Table1[[#This Row],[Sales]]&gt;=30000,"High", IF(Table1[[#This Row],[Sales]]&gt;=15000,"Medium","Low"))</f>
        <v>High</v>
      </c>
      <c r="L1526" t="str">
        <f>TEXT(Table1[[#This Row],[Order_Date]],"MMM")</f>
        <v>Dec</v>
      </c>
      <c r="M1526" t="str">
        <f>IF(Table1[[#This Row],[Profit]]&gt;=10000,"Excellent",IF(Table1[[#This Row],[Profit]]&gt;5000,"Good","Low"))</f>
        <v>Excellent</v>
      </c>
      <c r="N1526" t="str">
        <f>TEXT(Table1[[#This Row],[Order_Date]],"YYYY")</f>
        <v>2025</v>
      </c>
    </row>
    <row r="1527" spans="1:14" x14ac:dyDescent="0.25">
      <c r="A1527" s="1">
        <v>45146</v>
      </c>
      <c r="B1527" t="s">
        <v>44</v>
      </c>
      <c r="C1527" t="s">
        <v>18</v>
      </c>
      <c r="D1527">
        <v>34102</v>
      </c>
      <c r="E1527">
        <v>15624</v>
      </c>
      <c r="F1527">
        <v>18478</v>
      </c>
      <c r="G1527" t="s">
        <v>38</v>
      </c>
      <c r="H1527" t="s">
        <v>20</v>
      </c>
      <c r="I1527" t="s">
        <v>15</v>
      </c>
      <c r="J1527" s="2">
        <f>Table1[[#This Row],[Profit]]/Table1[[#This Row],[Sales]]*100</f>
        <v>54.184505307606592</v>
      </c>
      <c r="K1527" t="str">
        <f>IF(Table1[[#This Row],[Sales]]&gt;=30000,"High", IF(Table1[[#This Row],[Sales]]&gt;=15000,"Medium","Low"))</f>
        <v>High</v>
      </c>
      <c r="L1527" t="str">
        <f>TEXT(Table1[[#This Row],[Order_Date]],"MMM")</f>
        <v>Aug</v>
      </c>
      <c r="M1527" t="str">
        <f>IF(Table1[[#This Row],[Profit]]&gt;=10000,"Excellent",IF(Table1[[#This Row],[Profit]]&gt;5000,"Good","Low"))</f>
        <v>Excellent</v>
      </c>
      <c r="N1527" t="str">
        <f>TEXT(Table1[[#This Row],[Order_Date]],"YYYY")</f>
        <v>2023</v>
      </c>
    </row>
    <row r="1528" spans="1:14" x14ac:dyDescent="0.25">
      <c r="A1528" s="1">
        <v>45189</v>
      </c>
      <c r="B1528" t="s">
        <v>11</v>
      </c>
      <c r="C1528" t="s">
        <v>18</v>
      </c>
      <c r="D1528">
        <v>27946</v>
      </c>
      <c r="E1528">
        <v>15923</v>
      </c>
      <c r="F1528">
        <v>12023</v>
      </c>
      <c r="G1528" t="s">
        <v>19</v>
      </c>
      <c r="H1528" t="s">
        <v>60</v>
      </c>
      <c r="I1528" t="s">
        <v>42</v>
      </c>
      <c r="J1528" s="2">
        <f>Table1[[#This Row],[Profit]]/Table1[[#This Row],[Sales]]*100</f>
        <v>43.022257210334217</v>
      </c>
      <c r="K1528" t="str">
        <f>IF(Table1[[#This Row],[Sales]]&gt;=30000,"High", IF(Table1[[#This Row],[Sales]]&gt;=15000,"Medium","Low"))</f>
        <v>Medium</v>
      </c>
      <c r="L1528" t="str">
        <f>TEXT(Table1[[#This Row],[Order_Date]],"MMM")</f>
        <v>Sep</v>
      </c>
      <c r="M1528" t="str">
        <f>IF(Table1[[#This Row],[Profit]]&gt;=10000,"Excellent",IF(Table1[[#This Row],[Profit]]&gt;5000,"Good","Low"))</f>
        <v>Excellent</v>
      </c>
      <c r="N1528" t="str">
        <f>TEXT(Table1[[#This Row],[Order_Date]],"YYYY")</f>
        <v>2023</v>
      </c>
    </row>
    <row r="1529" spans="1:14" x14ac:dyDescent="0.25">
      <c r="A1529" s="1">
        <v>45326</v>
      </c>
      <c r="B1529" t="s">
        <v>11</v>
      </c>
      <c r="C1529" t="s">
        <v>33</v>
      </c>
      <c r="D1529">
        <v>20124</v>
      </c>
      <c r="E1529">
        <v>19105</v>
      </c>
      <c r="F1529">
        <v>1019</v>
      </c>
      <c r="G1529" t="s">
        <v>13</v>
      </c>
      <c r="H1529" t="s">
        <v>78</v>
      </c>
      <c r="I1529" t="s">
        <v>53</v>
      </c>
      <c r="J1529" s="2">
        <f>Table1[[#This Row],[Profit]]/Table1[[#This Row],[Sales]]*100</f>
        <v>5.0636056450009939</v>
      </c>
      <c r="K1529" t="str">
        <f>IF(Table1[[#This Row],[Sales]]&gt;=30000,"High", IF(Table1[[#This Row],[Sales]]&gt;=15000,"Medium","Low"))</f>
        <v>Medium</v>
      </c>
      <c r="L1529" t="str">
        <f>TEXT(Table1[[#This Row],[Order_Date]],"MMM")</f>
        <v>Feb</v>
      </c>
      <c r="M1529" t="str">
        <f>IF(Table1[[#This Row],[Profit]]&gt;=10000,"Excellent",IF(Table1[[#This Row],[Profit]]&gt;5000,"Good","Low"))</f>
        <v>Low</v>
      </c>
      <c r="N1529" t="str">
        <f>TEXT(Table1[[#This Row],[Order_Date]],"YYYY")</f>
        <v>2024</v>
      </c>
    </row>
    <row r="1530" spans="1:14" x14ac:dyDescent="0.25">
      <c r="A1530" s="1">
        <v>45405</v>
      </c>
      <c r="B1530" t="s">
        <v>17</v>
      </c>
      <c r="C1530" t="s">
        <v>41</v>
      </c>
      <c r="D1530">
        <v>21678</v>
      </c>
      <c r="E1530">
        <v>9719</v>
      </c>
      <c r="F1530">
        <v>11959</v>
      </c>
      <c r="G1530" t="s">
        <v>13</v>
      </c>
      <c r="H1530" t="s">
        <v>78</v>
      </c>
      <c r="I1530" t="s">
        <v>24</v>
      </c>
      <c r="J1530" s="2">
        <f>Table1[[#This Row],[Profit]]/Table1[[#This Row],[Sales]]*100</f>
        <v>55.166528277516377</v>
      </c>
      <c r="K1530" t="str">
        <f>IF(Table1[[#This Row],[Sales]]&gt;=30000,"High", IF(Table1[[#This Row],[Sales]]&gt;=15000,"Medium","Low"))</f>
        <v>Medium</v>
      </c>
      <c r="L1530" t="str">
        <f>TEXT(Table1[[#This Row],[Order_Date]],"MMM")</f>
        <v>Apr</v>
      </c>
      <c r="M1530" t="str">
        <f>IF(Table1[[#This Row],[Profit]]&gt;=10000,"Excellent",IF(Table1[[#This Row],[Profit]]&gt;5000,"Good","Low"))</f>
        <v>Excellent</v>
      </c>
      <c r="N1530" t="str">
        <f>TEXT(Table1[[#This Row],[Order_Date]],"YYYY")</f>
        <v>2024</v>
      </c>
    </row>
    <row r="1531" spans="1:14" x14ac:dyDescent="0.25">
      <c r="A1531" s="1">
        <v>45297</v>
      </c>
      <c r="B1531" t="s">
        <v>22</v>
      </c>
      <c r="C1531" t="s">
        <v>36</v>
      </c>
      <c r="D1531">
        <v>23023</v>
      </c>
      <c r="E1531">
        <v>19341</v>
      </c>
      <c r="F1531">
        <v>3682</v>
      </c>
      <c r="G1531" t="s">
        <v>13</v>
      </c>
      <c r="H1531" t="s">
        <v>45</v>
      </c>
      <c r="I1531" t="s">
        <v>53</v>
      </c>
      <c r="J1531" s="2">
        <f>Table1[[#This Row],[Profit]]/Table1[[#This Row],[Sales]]*100</f>
        <v>15.992702949224688</v>
      </c>
      <c r="K1531" t="str">
        <f>IF(Table1[[#This Row],[Sales]]&gt;=30000,"High", IF(Table1[[#This Row],[Sales]]&gt;=15000,"Medium","Low"))</f>
        <v>Medium</v>
      </c>
      <c r="L1531" t="str">
        <f>TEXT(Table1[[#This Row],[Order_Date]],"MMM")</f>
        <v>Jan</v>
      </c>
      <c r="M1531" t="str">
        <f>IF(Table1[[#This Row],[Profit]]&gt;=10000,"Excellent",IF(Table1[[#This Row],[Profit]]&gt;5000,"Good","Low"))</f>
        <v>Low</v>
      </c>
      <c r="N1531" t="str">
        <f>TEXT(Table1[[#This Row],[Order_Date]],"YYYY")</f>
        <v>2024</v>
      </c>
    </row>
    <row r="1532" spans="1:14" x14ac:dyDescent="0.25">
      <c r="A1532" s="1">
        <v>45547</v>
      </c>
      <c r="B1532" t="s">
        <v>17</v>
      </c>
      <c r="C1532" t="s">
        <v>18</v>
      </c>
      <c r="D1532">
        <v>44407</v>
      </c>
      <c r="E1532">
        <v>41174</v>
      </c>
      <c r="F1532">
        <v>3233</v>
      </c>
      <c r="G1532" t="s">
        <v>38</v>
      </c>
      <c r="H1532" t="s">
        <v>31</v>
      </c>
      <c r="I1532" t="s">
        <v>53</v>
      </c>
      <c r="J1532" s="2">
        <f>Table1[[#This Row],[Profit]]/Table1[[#This Row],[Sales]]*100</f>
        <v>7.2803837232868691</v>
      </c>
      <c r="K1532" t="str">
        <f>IF(Table1[[#This Row],[Sales]]&gt;=30000,"High", IF(Table1[[#This Row],[Sales]]&gt;=15000,"Medium","Low"))</f>
        <v>High</v>
      </c>
      <c r="L1532" t="str">
        <f>TEXT(Table1[[#This Row],[Order_Date]],"MMM")</f>
        <v>Sep</v>
      </c>
      <c r="M1532" t="str">
        <f>IF(Table1[[#This Row],[Profit]]&gt;=10000,"Excellent",IF(Table1[[#This Row],[Profit]]&gt;5000,"Good","Low"))</f>
        <v>Low</v>
      </c>
      <c r="N1532" t="str">
        <f>TEXT(Table1[[#This Row],[Order_Date]],"YYYY")</f>
        <v>2024</v>
      </c>
    </row>
    <row r="1533" spans="1:14" x14ac:dyDescent="0.25">
      <c r="A1533" s="1">
        <v>45119</v>
      </c>
      <c r="B1533" t="s">
        <v>44</v>
      </c>
      <c r="C1533" t="s">
        <v>18</v>
      </c>
      <c r="D1533">
        <v>32266</v>
      </c>
      <c r="E1533">
        <v>31303</v>
      </c>
      <c r="F1533">
        <v>963</v>
      </c>
      <c r="G1533" t="s">
        <v>27</v>
      </c>
      <c r="H1533" t="s">
        <v>60</v>
      </c>
      <c r="I1533" t="s">
        <v>24</v>
      </c>
      <c r="J1533" s="2">
        <f>Table1[[#This Row],[Profit]]/Table1[[#This Row],[Sales]]*100</f>
        <v>2.9845657968139836</v>
      </c>
      <c r="K1533" t="str">
        <f>IF(Table1[[#This Row],[Sales]]&gt;=30000,"High", IF(Table1[[#This Row],[Sales]]&gt;=15000,"Medium","Low"))</f>
        <v>High</v>
      </c>
      <c r="L1533" t="str">
        <f>TEXT(Table1[[#This Row],[Order_Date]],"MMM")</f>
        <v>Jul</v>
      </c>
      <c r="M1533" t="str">
        <f>IF(Table1[[#This Row],[Profit]]&gt;=10000,"Excellent",IF(Table1[[#This Row],[Profit]]&gt;5000,"Good","Low"))</f>
        <v>Low</v>
      </c>
      <c r="N1533" t="str">
        <f>TEXT(Table1[[#This Row],[Order_Date]],"YYYY")</f>
        <v>2023</v>
      </c>
    </row>
    <row r="1534" spans="1:14" x14ac:dyDescent="0.25">
      <c r="A1534" s="1">
        <v>45332</v>
      </c>
      <c r="B1534" t="s">
        <v>11</v>
      </c>
      <c r="C1534" t="s">
        <v>12</v>
      </c>
      <c r="D1534">
        <v>21428</v>
      </c>
      <c r="E1534">
        <v>5242</v>
      </c>
      <c r="F1534">
        <v>16186</v>
      </c>
      <c r="G1534" t="s">
        <v>19</v>
      </c>
      <c r="H1534" t="s">
        <v>23</v>
      </c>
      <c r="I1534" t="s">
        <v>15</v>
      </c>
      <c r="J1534" s="2">
        <f>Table1[[#This Row],[Profit]]/Table1[[#This Row],[Sales]]*100</f>
        <v>75.536680978159424</v>
      </c>
      <c r="K1534" t="str">
        <f>IF(Table1[[#This Row],[Sales]]&gt;=30000,"High", IF(Table1[[#This Row],[Sales]]&gt;=15000,"Medium","Low"))</f>
        <v>Medium</v>
      </c>
      <c r="L1534" t="str">
        <f>TEXT(Table1[[#This Row],[Order_Date]],"MMM")</f>
        <v>Feb</v>
      </c>
      <c r="M1534" t="str">
        <f>IF(Table1[[#This Row],[Profit]]&gt;=10000,"Excellent",IF(Table1[[#This Row],[Profit]]&gt;5000,"Good","Low"))</f>
        <v>Excellent</v>
      </c>
      <c r="N1534" t="str">
        <f>TEXT(Table1[[#This Row],[Order_Date]],"YYYY")</f>
        <v>2024</v>
      </c>
    </row>
    <row r="1535" spans="1:14" x14ac:dyDescent="0.25">
      <c r="A1535" s="1">
        <v>45133</v>
      </c>
      <c r="B1535" t="s">
        <v>22</v>
      </c>
      <c r="C1535" t="s">
        <v>41</v>
      </c>
      <c r="D1535">
        <v>40779</v>
      </c>
      <c r="E1535">
        <v>26738</v>
      </c>
      <c r="F1535">
        <v>14041</v>
      </c>
      <c r="G1535" t="s">
        <v>19</v>
      </c>
      <c r="H1535" t="s">
        <v>14</v>
      </c>
      <c r="I1535" t="s">
        <v>24</v>
      </c>
      <c r="J1535" s="2">
        <f>Table1[[#This Row],[Profit]]/Table1[[#This Row],[Sales]]*100</f>
        <v>34.431938007307686</v>
      </c>
      <c r="K1535" t="str">
        <f>IF(Table1[[#This Row],[Sales]]&gt;=30000,"High", IF(Table1[[#This Row],[Sales]]&gt;=15000,"Medium","Low"))</f>
        <v>High</v>
      </c>
      <c r="L1535" t="str">
        <f>TEXT(Table1[[#This Row],[Order_Date]],"MMM")</f>
        <v>Jul</v>
      </c>
      <c r="M1535" t="str">
        <f>IF(Table1[[#This Row],[Profit]]&gt;=10000,"Excellent",IF(Table1[[#This Row],[Profit]]&gt;5000,"Good","Low"))</f>
        <v>Excellent</v>
      </c>
      <c r="N1535" t="str">
        <f>TEXT(Table1[[#This Row],[Order_Date]],"YYYY")</f>
        <v>2023</v>
      </c>
    </row>
    <row r="1536" spans="1:14" x14ac:dyDescent="0.25">
      <c r="A1536" s="1">
        <v>45127</v>
      </c>
      <c r="B1536" t="s">
        <v>22</v>
      </c>
      <c r="C1536" t="s">
        <v>12</v>
      </c>
      <c r="D1536">
        <v>36651</v>
      </c>
      <c r="E1536">
        <v>27480</v>
      </c>
      <c r="F1536">
        <v>9171</v>
      </c>
      <c r="G1536" t="s">
        <v>13</v>
      </c>
      <c r="H1536" t="s">
        <v>78</v>
      </c>
      <c r="I1536" t="s">
        <v>42</v>
      </c>
      <c r="J1536" s="2">
        <f>Table1[[#This Row],[Profit]]/Table1[[#This Row],[Sales]]*100</f>
        <v>25.022509617745765</v>
      </c>
      <c r="K1536" t="str">
        <f>IF(Table1[[#This Row],[Sales]]&gt;=30000,"High", IF(Table1[[#This Row],[Sales]]&gt;=15000,"Medium","Low"))</f>
        <v>High</v>
      </c>
      <c r="L1536" t="str">
        <f>TEXT(Table1[[#This Row],[Order_Date]],"MMM")</f>
        <v>Jul</v>
      </c>
      <c r="M1536" t="str">
        <f>IF(Table1[[#This Row],[Profit]]&gt;=10000,"Excellent",IF(Table1[[#This Row],[Profit]]&gt;5000,"Good","Low"))</f>
        <v>Good</v>
      </c>
      <c r="N1536" t="str">
        <f>TEXT(Table1[[#This Row],[Order_Date]],"YYYY")</f>
        <v>2023</v>
      </c>
    </row>
    <row r="1537" spans="1:14" x14ac:dyDescent="0.25">
      <c r="A1537" s="1">
        <v>46208</v>
      </c>
      <c r="B1537" t="s">
        <v>26</v>
      </c>
      <c r="C1537" t="s">
        <v>41</v>
      </c>
      <c r="D1537">
        <v>28034</v>
      </c>
      <c r="E1537">
        <v>12063</v>
      </c>
      <c r="F1537">
        <v>15971</v>
      </c>
      <c r="G1537" t="s">
        <v>38</v>
      </c>
      <c r="H1537" t="s">
        <v>31</v>
      </c>
      <c r="I1537" t="s">
        <v>42</v>
      </c>
      <c r="J1537" s="2">
        <f>Table1[[#This Row],[Profit]]/Table1[[#This Row],[Sales]]*100</f>
        <v>56.970107726332309</v>
      </c>
      <c r="K1537" t="str">
        <f>IF(Table1[[#This Row],[Sales]]&gt;=30000,"High", IF(Table1[[#This Row],[Sales]]&gt;=15000,"Medium","Low"))</f>
        <v>Medium</v>
      </c>
      <c r="L1537" t="str">
        <f>TEXT(Table1[[#This Row],[Order_Date]],"MMM")</f>
        <v>Jul</v>
      </c>
      <c r="M1537" t="str">
        <f>IF(Table1[[#This Row],[Profit]]&gt;=10000,"Excellent",IF(Table1[[#This Row],[Profit]]&gt;5000,"Good","Low"))</f>
        <v>Excellent</v>
      </c>
      <c r="N1537" t="str">
        <f>TEXT(Table1[[#This Row],[Order_Date]],"YYYY")</f>
        <v>2026</v>
      </c>
    </row>
    <row r="1538" spans="1:14" x14ac:dyDescent="0.25">
      <c r="A1538" s="1">
        <v>45987</v>
      </c>
      <c r="B1538" t="s">
        <v>22</v>
      </c>
      <c r="C1538" t="s">
        <v>18</v>
      </c>
      <c r="D1538">
        <v>16038</v>
      </c>
      <c r="E1538">
        <v>11948</v>
      </c>
      <c r="F1538">
        <v>4090</v>
      </c>
      <c r="G1538" t="s">
        <v>13</v>
      </c>
      <c r="H1538" t="s">
        <v>60</v>
      </c>
      <c r="I1538" t="s">
        <v>15</v>
      </c>
      <c r="J1538" s="2">
        <f>Table1[[#This Row],[Profit]]/Table1[[#This Row],[Sales]]*100</f>
        <v>25.501932909340319</v>
      </c>
      <c r="K1538" t="str">
        <f>IF(Table1[[#This Row],[Sales]]&gt;=30000,"High", IF(Table1[[#This Row],[Sales]]&gt;=15000,"Medium","Low"))</f>
        <v>Medium</v>
      </c>
      <c r="L1538" t="str">
        <f>TEXT(Table1[[#This Row],[Order_Date]],"MMM")</f>
        <v>Nov</v>
      </c>
      <c r="M1538" t="str">
        <f>IF(Table1[[#This Row],[Profit]]&gt;=10000,"Excellent",IF(Table1[[#This Row],[Profit]]&gt;5000,"Good","Low"))</f>
        <v>Low</v>
      </c>
      <c r="N1538" t="str">
        <f>TEXT(Table1[[#This Row],[Order_Date]],"YYYY")</f>
        <v>2025</v>
      </c>
    </row>
    <row r="1539" spans="1:14" x14ac:dyDescent="0.25">
      <c r="A1539" s="1">
        <v>45431</v>
      </c>
      <c r="B1539" t="s">
        <v>44</v>
      </c>
      <c r="C1539" t="s">
        <v>41</v>
      </c>
      <c r="D1539">
        <v>16606</v>
      </c>
      <c r="E1539">
        <v>4816</v>
      </c>
      <c r="F1539">
        <v>11790</v>
      </c>
      <c r="G1539" t="s">
        <v>38</v>
      </c>
      <c r="H1539" t="s">
        <v>31</v>
      </c>
      <c r="I1539" t="s">
        <v>15</v>
      </c>
      <c r="J1539" s="2">
        <f>Table1[[#This Row],[Profit]]/Table1[[#This Row],[Sales]]*100</f>
        <v>70.998434300855124</v>
      </c>
      <c r="K1539" t="str">
        <f>IF(Table1[[#This Row],[Sales]]&gt;=30000,"High", IF(Table1[[#This Row],[Sales]]&gt;=15000,"Medium","Low"))</f>
        <v>Medium</v>
      </c>
      <c r="L1539" t="str">
        <f>TEXT(Table1[[#This Row],[Order_Date]],"MMM")</f>
        <v>May</v>
      </c>
      <c r="M1539" t="str">
        <f>IF(Table1[[#This Row],[Profit]]&gt;=10000,"Excellent",IF(Table1[[#This Row],[Profit]]&gt;5000,"Good","Low"))</f>
        <v>Excellent</v>
      </c>
      <c r="N1539" t="str">
        <f>TEXT(Table1[[#This Row],[Order_Date]],"YYYY")</f>
        <v>2024</v>
      </c>
    </row>
    <row r="1540" spans="1:14" x14ac:dyDescent="0.25">
      <c r="A1540" s="1">
        <v>45275</v>
      </c>
      <c r="B1540" t="s">
        <v>44</v>
      </c>
      <c r="C1540" t="s">
        <v>36</v>
      </c>
      <c r="D1540">
        <v>11826</v>
      </c>
      <c r="E1540">
        <v>3029</v>
      </c>
      <c r="F1540">
        <v>8797</v>
      </c>
      <c r="G1540" t="s">
        <v>38</v>
      </c>
      <c r="H1540" t="s">
        <v>34</v>
      </c>
      <c r="I1540" t="s">
        <v>29</v>
      </c>
      <c r="J1540" s="2">
        <f>Table1[[#This Row],[Profit]]/Table1[[#This Row],[Sales]]*100</f>
        <v>74.38694402164721</v>
      </c>
      <c r="K1540" t="str">
        <f>IF(Table1[[#This Row],[Sales]]&gt;=30000,"High", IF(Table1[[#This Row],[Sales]]&gt;=15000,"Medium","Low"))</f>
        <v>Low</v>
      </c>
      <c r="L1540" t="str">
        <f>TEXT(Table1[[#This Row],[Order_Date]],"MMM")</f>
        <v>Dec</v>
      </c>
      <c r="M1540" t="str">
        <f>IF(Table1[[#This Row],[Profit]]&gt;=10000,"Excellent",IF(Table1[[#This Row],[Profit]]&gt;5000,"Good","Low"))</f>
        <v>Good</v>
      </c>
      <c r="N1540" t="str">
        <f>TEXT(Table1[[#This Row],[Order_Date]],"YYYY")</f>
        <v>2023</v>
      </c>
    </row>
    <row r="1541" spans="1:14" x14ac:dyDescent="0.25">
      <c r="A1541" s="1">
        <v>45733</v>
      </c>
      <c r="B1541" t="s">
        <v>22</v>
      </c>
      <c r="C1541" t="s">
        <v>41</v>
      </c>
      <c r="D1541">
        <v>37568</v>
      </c>
      <c r="E1541">
        <v>35087</v>
      </c>
      <c r="F1541">
        <v>2481</v>
      </c>
      <c r="G1541" t="s">
        <v>19</v>
      </c>
      <c r="H1541" t="s">
        <v>14</v>
      </c>
      <c r="I1541" t="s">
        <v>53</v>
      </c>
      <c r="J1541" s="2">
        <f>Table1[[#This Row],[Profit]]/Table1[[#This Row],[Sales]]*100</f>
        <v>6.6040247018739358</v>
      </c>
      <c r="K1541" t="str">
        <f>IF(Table1[[#This Row],[Sales]]&gt;=30000,"High", IF(Table1[[#This Row],[Sales]]&gt;=15000,"Medium","Low"))</f>
        <v>High</v>
      </c>
      <c r="L1541" t="str">
        <f>TEXT(Table1[[#This Row],[Order_Date]],"MMM")</f>
        <v>Mar</v>
      </c>
      <c r="M1541" t="str">
        <f>IF(Table1[[#This Row],[Profit]]&gt;=10000,"Excellent",IF(Table1[[#This Row],[Profit]]&gt;5000,"Good","Low"))</f>
        <v>Low</v>
      </c>
      <c r="N1541" t="str">
        <f>TEXT(Table1[[#This Row],[Order_Date]],"YYYY")</f>
        <v>2025</v>
      </c>
    </row>
    <row r="1542" spans="1:14" x14ac:dyDescent="0.25">
      <c r="A1542" s="1">
        <v>45470</v>
      </c>
      <c r="B1542" t="s">
        <v>26</v>
      </c>
      <c r="C1542" t="s">
        <v>18</v>
      </c>
      <c r="D1542">
        <v>16064</v>
      </c>
      <c r="E1542">
        <v>10130</v>
      </c>
      <c r="F1542">
        <v>5934</v>
      </c>
      <c r="G1542" t="s">
        <v>27</v>
      </c>
      <c r="H1542" t="s">
        <v>31</v>
      </c>
      <c r="I1542" t="s">
        <v>42</v>
      </c>
      <c r="J1542" s="2">
        <f>Table1[[#This Row],[Profit]]/Table1[[#This Row],[Sales]]*100</f>
        <v>36.939741035856571</v>
      </c>
      <c r="K1542" t="str">
        <f>IF(Table1[[#This Row],[Sales]]&gt;=30000,"High", IF(Table1[[#This Row],[Sales]]&gt;=15000,"Medium","Low"))</f>
        <v>Medium</v>
      </c>
      <c r="L1542" t="str">
        <f>TEXT(Table1[[#This Row],[Order_Date]],"MMM")</f>
        <v>Jun</v>
      </c>
      <c r="M1542" t="str">
        <f>IF(Table1[[#This Row],[Profit]]&gt;=10000,"Excellent",IF(Table1[[#This Row],[Profit]]&gt;5000,"Good","Low"))</f>
        <v>Good</v>
      </c>
      <c r="N1542" t="str">
        <f>TEXT(Table1[[#This Row],[Order_Date]],"YYYY")</f>
        <v>2024</v>
      </c>
    </row>
    <row r="1543" spans="1:14" x14ac:dyDescent="0.25">
      <c r="A1543" s="1">
        <v>45830</v>
      </c>
      <c r="B1543" t="s">
        <v>17</v>
      </c>
      <c r="C1543" t="s">
        <v>36</v>
      </c>
      <c r="D1543">
        <v>39212</v>
      </c>
      <c r="E1543">
        <v>27509</v>
      </c>
      <c r="F1543">
        <v>11703</v>
      </c>
      <c r="G1543" t="s">
        <v>19</v>
      </c>
      <c r="H1543" t="s">
        <v>78</v>
      </c>
      <c r="I1543" t="s">
        <v>53</v>
      </c>
      <c r="J1543" s="2">
        <f>Table1[[#This Row],[Profit]]/Table1[[#This Row],[Sales]]*100</f>
        <v>29.845455472814447</v>
      </c>
      <c r="K1543" t="str">
        <f>IF(Table1[[#This Row],[Sales]]&gt;=30000,"High", IF(Table1[[#This Row],[Sales]]&gt;=15000,"Medium","Low"))</f>
        <v>High</v>
      </c>
      <c r="L1543" t="str">
        <f>TEXT(Table1[[#This Row],[Order_Date]],"MMM")</f>
        <v>Jun</v>
      </c>
      <c r="M1543" t="str">
        <f>IF(Table1[[#This Row],[Profit]]&gt;=10000,"Excellent",IF(Table1[[#This Row],[Profit]]&gt;5000,"Good","Low"))</f>
        <v>Excellent</v>
      </c>
      <c r="N1543" t="str">
        <f>TEXT(Table1[[#This Row],[Order_Date]],"YYYY")</f>
        <v>2025</v>
      </c>
    </row>
    <row r="1544" spans="1:14" x14ac:dyDescent="0.25">
      <c r="A1544" s="1">
        <v>45781</v>
      </c>
      <c r="B1544" t="s">
        <v>22</v>
      </c>
      <c r="C1544" t="s">
        <v>18</v>
      </c>
      <c r="D1544">
        <v>41988</v>
      </c>
      <c r="E1544">
        <v>22356</v>
      </c>
      <c r="F1544">
        <v>19632</v>
      </c>
      <c r="G1544" t="s">
        <v>27</v>
      </c>
      <c r="H1544" t="s">
        <v>78</v>
      </c>
      <c r="I1544" t="s">
        <v>29</v>
      </c>
      <c r="J1544" s="2">
        <f>Table1[[#This Row],[Profit]]/Table1[[#This Row],[Sales]]*100</f>
        <v>46.756216061731926</v>
      </c>
      <c r="K1544" t="str">
        <f>IF(Table1[[#This Row],[Sales]]&gt;=30000,"High", IF(Table1[[#This Row],[Sales]]&gt;=15000,"Medium","Low"))</f>
        <v>High</v>
      </c>
      <c r="L1544" t="str">
        <f>TEXT(Table1[[#This Row],[Order_Date]],"MMM")</f>
        <v>May</v>
      </c>
      <c r="M1544" t="str">
        <f>IF(Table1[[#This Row],[Profit]]&gt;=10000,"Excellent",IF(Table1[[#This Row],[Profit]]&gt;5000,"Good","Low"))</f>
        <v>Excellent</v>
      </c>
      <c r="N1544" t="str">
        <f>TEXT(Table1[[#This Row],[Order_Date]],"YYYY")</f>
        <v>2025</v>
      </c>
    </row>
    <row r="1545" spans="1:14" x14ac:dyDescent="0.25">
      <c r="A1545" s="1">
        <v>45972</v>
      </c>
      <c r="B1545" t="s">
        <v>44</v>
      </c>
      <c r="C1545" t="s">
        <v>41</v>
      </c>
      <c r="D1545">
        <v>7001</v>
      </c>
      <c r="E1545">
        <v>4334</v>
      </c>
      <c r="F1545">
        <v>2667</v>
      </c>
      <c r="G1545" t="s">
        <v>27</v>
      </c>
      <c r="H1545" t="s">
        <v>28</v>
      </c>
      <c r="I1545" t="s">
        <v>15</v>
      </c>
      <c r="J1545" s="2">
        <f>Table1[[#This Row],[Profit]]/Table1[[#This Row],[Sales]]*100</f>
        <v>38.094557920297099</v>
      </c>
      <c r="K1545" t="str">
        <f>IF(Table1[[#This Row],[Sales]]&gt;=30000,"High", IF(Table1[[#This Row],[Sales]]&gt;=15000,"Medium","Low"))</f>
        <v>Low</v>
      </c>
      <c r="L1545" t="str">
        <f>TEXT(Table1[[#This Row],[Order_Date]],"MMM")</f>
        <v>Nov</v>
      </c>
      <c r="M1545" t="str">
        <f>IF(Table1[[#This Row],[Profit]]&gt;=10000,"Excellent",IF(Table1[[#This Row],[Profit]]&gt;5000,"Good","Low"))</f>
        <v>Low</v>
      </c>
      <c r="N1545" t="str">
        <f>TEXT(Table1[[#This Row],[Order_Date]],"YYYY")</f>
        <v>2025</v>
      </c>
    </row>
    <row r="1546" spans="1:14" x14ac:dyDescent="0.25">
      <c r="A1546" s="1">
        <v>45271</v>
      </c>
      <c r="B1546" t="s">
        <v>22</v>
      </c>
      <c r="C1546" t="s">
        <v>12</v>
      </c>
      <c r="D1546">
        <v>21991</v>
      </c>
      <c r="E1546">
        <v>21055</v>
      </c>
      <c r="F1546">
        <v>936</v>
      </c>
      <c r="G1546" t="s">
        <v>27</v>
      </c>
      <c r="H1546" t="s">
        <v>28</v>
      </c>
      <c r="I1546" t="s">
        <v>24</v>
      </c>
      <c r="J1546" s="2">
        <f>Table1[[#This Row],[Profit]]/Table1[[#This Row],[Sales]]*100</f>
        <v>4.2562866627256604</v>
      </c>
      <c r="K1546" t="str">
        <f>IF(Table1[[#This Row],[Sales]]&gt;=30000,"High", IF(Table1[[#This Row],[Sales]]&gt;=15000,"Medium","Low"))</f>
        <v>Medium</v>
      </c>
      <c r="L1546" t="str">
        <f>TEXT(Table1[[#This Row],[Order_Date]],"MMM")</f>
        <v>Dec</v>
      </c>
      <c r="M1546" t="str">
        <f>IF(Table1[[#This Row],[Profit]]&gt;=10000,"Excellent",IF(Table1[[#This Row],[Profit]]&gt;5000,"Good","Low"))</f>
        <v>Low</v>
      </c>
      <c r="N1546" t="str">
        <f>TEXT(Table1[[#This Row],[Order_Date]],"YYYY")</f>
        <v>2023</v>
      </c>
    </row>
    <row r="1547" spans="1:14" x14ac:dyDescent="0.25">
      <c r="A1547" s="1">
        <v>45725</v>
      </c>
      <c r="B1547" t="s">
        <v>26</v>
      </c>
      <c r="C1547" t="s">
        <v>41</v>
      </c>
      <c r="D1547">
        <v>14896</v>
      </c>
      <c r="E1547">
        <v>404</v>
      </c>
      <c r="F1547">
        <v>14492</v>
      </c>
      <c r="G1547" t="s">
        <v>38</v>
      </c>
      <c r="H1547" t="s">
        <v>23</v>
      </c>
      <c r="I1547" t="s">
        <v>42</v>
      </c>
      <c r="J1547" s="2">
        <f>Table1[[#This Row],[Profit]]/Table1[[#This Row],[Sales]]*100</f>
        <v>97.287862513426433</v>
      </c>
      <c r="K1547" t="str">
        <f>IF(Table1[[#This Row],[Sales]]&gt;=30000,"High", IF(Table1[[#This Row],[Sales]]&gt;=15000,"Medium","Low"))</f>
        <v>Low</v>
      </c>
      <c r="L1547" t="str">
        <f>TEXT(Table1[[#This Row],[Order_Date]],"MMM")</f>
        <v>Mar</v>
      </c>
      <c r="M1547" t="str">
        <f>IF(Table1[[#This Row],[Profit]]&gt;=10000,"Excellent",IF(Table1[[#This Row],[Profit]]&gt;5000,"Good","Low"))</f>
        <v>Excellent</v>
      </c>
      <c r="N1547" t="str">
        <f>TEXT(Table1[[#This Row],[Order_Date]],"YYYY")</f>
        <v>2025</v>
      </c>
    </row>
    <row r="1548" spans="1:14" x14ac:dyDescent="0.25">
      <c r="A1548" s="1">
        <v>45675</v>
      </c>
      <c r="B1548" t="s">
        <v>26</v>
      </c>
      <c r="C1548" t="s">
        <v>18</v>
      </c>
      <c r="D1548">
        <v>14693</v>
      </c>
      <c r="E1548">
        <v>7042</v>
      </c>
      <c r="F1548">
        <v>7651</v>
      </c>
      <c r="G1548" t="s">
        <v>27</v>
      </c>
      <c r="H1548" t="s">
        <v>14</v>
      </c>
      <c r="I1548" t="s">
        <v>24</v>
      </c>
      <c r="J1548" s="2">
        <f>Table1[[#This Row],[Profit]]/Table1[[#This Row],[Sales]]*100</f>
        <v>52.072415435921869</v>
      </c>
      <c r="K1548" t="str">
        <f>IF(Table1[[#This Row],[Sales]]&gt;=30000,"High", IF(Table1[[#This Row],[Sales]]&gt;=15000,"Medium","Low"))</f>
        <v>Low</v>
      </c>
      <c r="L1548" t="str">
        <f>TEXT(Table1[[#This Row],[Order_Date]],"MMM")</f>
        <v>Jan</v>
      </c>
      <c r="M1548" t="str">
        <f>IF(Table1[[#This Row],[Profit]]&gt;=10000,"Excellent",IF(Table1[[#This Row],[Profit]]&gt;5000,"Good","Low"))</f>
        <v>Good</v>
      </c>
      <c r="N1548" t="str">
        <f>TEXT(Table1[[#This Row],[Order_Date]],"YYYY")</f>
        <v>2025</v>
      </c>
    </row>
    <row r="1549" spans="1:14" x14ac:dyDescent="0.25">
      <c r="A1549" s="1">
        <v>45817</v>
      </c>
      <c r="B1549" t="s">
        <v>26</v>
      </c>
      <c r="C1549" t="s">
        <v>33</v>
      </c>
      <c r="D1549">
        <v>5398</v>
      </c>
      <c r="E1549">
        <v>1518</v>
      </c>
      <c r="F1549">
        <v>3880</v>
      </c>
      <c r="G1549" t="s">
        <v>19</v>
      </c>
      <c r="H1549" t="s">
        <v>28</v>
      </c>
      <c r="I1549" t="s">
        <v>53</v>
      </c>
      <c r="J1549" s="2">
        <f>Table1[[#This Row],[Profit]]/Table1[[#This Row],[Sales]]*100</f>
        <v>71.878473508706932</v>
      </c>
      <c r="K1549" t="str">
        <f>IF(Table1[[#This Row],[Sales]]&gt;=30000,"High", IF(Table1[[#This Row],[Sales]]&gt;=15000,"Medium","Low"))</f>
        <v>Low</v>
      </c>
      <c r="L1549" t="str">
        <f>TEXT(Table1[[#This Row],[Order_Date]],"MMM")</f>
        <v>Jun</v>
      </c>
      <c r="M1549" t="str">
        <f>IF(Table1[[#This Row],[Profit]]&gt;=10000,"Excellent",IF(Table1[[#This Row],[Profit]]&gt;5000,"Good","Low"))</f>
        <v>Low</v>
      </c>
      <c r="N1549" t="str">
        <f>TEXT(Table1[[#This Row],[Order_Date]],"YYYY")</f>
        <v>2025</v>
      </c>
    </row>
    <row r="1550" spans="1:14" x14ac:dyDescent="0.25">
      <c r="A1550" s="1">
        <v>45213</v>
      </c>
      <c r="B1550" t="s">
        <v>26</v>
      </c>
      <c r="C1550" t="s">
        <v>41</v>
      </c>
      <c r="D1550">
        <v>33767</v>
      </c>
      <c r="E1550">
        <v>22001</v>
      </c>
      <c r="F1550">
        <v>11766</v>
      </c>
      <c r="G1550" t="s">
        <v>38</v>
      </c>
      <c r="H1550" t="s">
        <v>60</v>
      </c>
      <c r="I1550" t="s">
        <v>15</v>
      </c>
      <c r="J1550" s="2">
        <f>Table1[[#This Row],[Profit]]/Table1[[#This Row],[Sales]]*100</f>
        <v>34.844670832469568</v>
      </c>
      <c r="K1550" t="str">
        <f>IF(Table1[[#This Row],[Sales]]&gt;=30000,"High", IF(Table1[[#This Row],[Sales]]&gt;=15000,"Medium","Low"))</f>
        <v>High</v>
      </c>
      <c r="L1550" t="str">
        <f>TEXT(Table1[[#This Row],[Order_Date]],"MMM")</f>
        <v>Oct</v>
      </c>
      <c r="M1550" t="str">
        <f>IF(Table1[[#This Row],[Profit]]&gt;=10000,"Excellent",IF(Table1[[#This Row],[Profit]]&gt;5000,"Good","Low"))</f>
        <v>Excellent</v>
      </c>
      <c r="N1550" t="str">
        <f>TEXT(Table1[[#This Row],[Order_Date]],"YYYY")</f>
        <v>2023</v>
      </c>
    </row>
    <row r="1551" spans="1:14" x14ac:dyDescent="0.25">
      <c r="A1551" s="1">
        <v>45864</v>
      </c>
      <c r="B1551" t="s">
        <v>26</v>
      </c>
      <c r="C1551" t="s">
        <v>33</v>
      </c>
      <c r="D1551">
        <v>17045</v>
      </c>
      <c r="E1551">
        <v>12450</v>
      </c>
      <c r="F1551">
        <v>4595</v>
      </c>
      <c r="G1551" t="s">
        <v>19</v>
      </c>
      <c r="H1551" t="s">
        <v>78</v>
      </c>
      <c r="I1551" t="s">
        <v>29</v>
      </c>
      <c r="J1551" s="2">
        <f>Table1[[#This Row],[Profit]]/Table1[[#This Row],[Sales]]*100</f>
        <v>26.958052214725726</v>
      </c>
      <c r="K1551" t="str">
        <f>IF(Table1[[#This Row],[Sales]]&gt;=30000,"High", IF(Table1[[#This Row],[Sales]]&gt;=15000,"Medium","Low"))</f>
        <v>Medium</v>
      </c>
      <c r="L1551" t="str">
        <f>TEXT(Table1[[#This Row],[Order_Date]],"MMM")</f>
        <v>Jul</v>
      </c>
      <c r="M1551" t="str">
        <f>IF(Table1[[#This Row],[Profit]]&gt;=10000,"Excellent",IF(Table1[[#This Row],[Profit]]&gt;5000,"Good","Low"))</f>
        <v>Low</v>
      </c>
      <c r="N1551" t="str">
        <f>TEXT(Table1[[#This Row],[Order_Date]],"YYYY")</f>
        <v>2025</v>
      </c>
    </row>
    <row r="1552" spans="1:14" x14ac:dyDescent="0.25">
      <c r="A1552" s="1">
        <v>45223</v>
      </c>
      <c r="B1552" t="s">
        <v>44</v>
      </c>
      <c r="C1552" t="s">
        <v>36</v>
      </c>
      <c r="D1552">
        <v>33502</v>
      </c>
      <c r="E1552">
        <v>25940</v>
      </c>
      <c r="F1552">
        <v>7562</v>
      </c>
      <c r="G1552" t="s">
        <v>27</v>
      </c>
      <c r="H1552" t="s">
        <v>31</v>
      </c>
      <c r="I1552" t="s">
        <v>29</v>
      </c>
      <c r="J1552" s="2">
        <f>Table1[[#This Row],[Profit]]/Table1[[#This Row],[Sales]]*100</f>
        <v>22.571786758999462</v>
      </c>
      <c r="K1552" t="str">
        <f>IF(Table1[[#This Row],[Sales]]&gt;=30000,"High", IF(Table1[[#This Row],[Sales]]&gt;=15000,"Medium","Low"))</f>
        <v>High</v>
      </c>
      <c r="L1552" t="str">
        <f>TEXT(Table1[[#This Row],[Order_Date]],"MMM")</f>
        <v>Oct</v>
      </c>
      <c r="M1552" t="str">
        <f>IF(Table1[[#This Row],[Profit]]&gt;=10000,"Excellent",IF(Table1[[#This Row],[Profit]]&gt;5000,"Good","Low"))</f>
        <v>Good</v>
      </c>
      <c r="N1552" t="str">
        <f>TEXT(Table1[[#This Row],[Order_Date]],"YYYY")</f>
        <v>2023</v>
      </c>
    </row>
    <row r="1553" spans="1:14" x14ac:dyDescent="0.25">
      <c r="A1553" s="1">
        <v>46149</v>
      </c>
      <c r="B1553" t="s">
        <v>17</v>
      </c>
      <c r="C1553" t="s">
        <v>12</v>
      </c>
      <c r="D1553">
        <v>42933</v>
      </c>
      <c r="E1553">
        <v>30760</v>
      </c>
      <c r="F1553">
        <v>12173</v>
      </c>
      <c r="G1553" t="s">
        <v>13</v>
      </c>
      <c r="H1553" t="s">
        <v>63</v>
      </c>
      <c r="I1553" t="s">
        <v>24</v>
      </c>
      <c r="J1553" s="2">
        <f>Table1[[#This Row],[Profit]]/Table1[[#This Row],[Sales]]*100</f>
        <v>28.353481005287307</v>
      </c>
      <c r="K1553" t="str">
        <f>IF(Table1[[#This Row],[Sales]]&gt;=30000,"High", IF(Table1[[#This Row],[Sales]]&gt;=15000,"Medium","Low"))</f>
        <v>High</v>
      </c>
      <c r="L1553" t="str">
        <f>TEXT(Table1[[#This Row],[Order_Date]],"MMM")</f>
        <v>May</v>
      </c>
      <c r="M1553" t="str">
        <f>IF(Table1[[#This Row],[Profit]]&gt;=10000,"Excellent",IF(Table1[[#This Row],[Profit]]&gt;5000,"Good","Low"))</f>
        <v>Excellent</v>
      </c>
      <c r="N1553" t="str">
        <f>TEXT(Table1[[#This Row],[Order_Date]],"YYYY")</f>
        <v>2026</v>
      </c>
    </row>
    <row r="1554" spans="1:14" x14ac:dyDescent="0.25">
      <c r="A1554" s="1">
        <v>46001</v>
      </c>
      <c r="B1554" t="s">
        <v>44</v>
      </c>
      <c r="C1554" t="s">
        <v>41</v>
      </c>
      <c r="D1554">
        <v>49359</v>
      </c>
      <c r="E1554">
        <v>45488</v>
      </c>
      <c r="F1554">
        <v>3871</v>
      </c>
      <c r="G1554" t="s">
        <v>38</v>
      </c>
      <c r="H1554" t="s">
        <v>28</v>
      </c>
      <c r="I1554" t="s">
        <v>15</v>
      </c>
      <c r="J1554" s="2">
        <f>Table1[[#This Row],[Profit]]/Table1[[#This Row],[Sales]]*100</f>
        <v>7.8425413804979849</v>
      </c>
      <c r="K1554" t="str">
        <f>IF(Table1[[#This Row],[Sales]]&gt;=30000,"High", IF(Table1[[#This Row],[Sales]]&gt;=15000,"Medium","Low"))</f>
        <v>High</v>
      </c>
      <c r="L1554" t="str">
        <f>TEXT(Table1[[#This Row],[Order_Date]],"MMM")</f>
        <v>Dec</v>
      </c>
      <c r="M1554" t="str">
        <f>IF(Table1[[#This Row],[Profit]]&gt;=10000,"Excellent",IF(Table1[[#This Row],[Profit]]&gt;5000,"Good","Low"))</f>
        <v>Low</v>
      </c>
      <c r="N1554" t="str">
        <f>TEXT(Table1[[#This Row],[Order_Date]],"YYYY")</f>
        <v>2025</v>
      </c>
    </row>
    <row r="1555" spans="1:14" x14ac:dyDescent="0.25">
      <c r="A1555" s="1">
        <v>45828</v>
      </c>
      <c r="B1555" t="s">
        <v>44</v>
      </c>
      <c r="C1555" t="s">
        <v>18</v>
      </c>
      <c r="D1555">
        <v>9263</v>
      </c>
      <c r="E1555">
        <v>4937</v>
      </c>
      <c r="F1555">
        <v>4326</v>
      </c>
      <c r="G1555" t="s">
        <v>13</v>
      </c>
      <c r="H1555" t="s">
        <v>63</v>
      </c>
      <c r="I1555" t="s">
        <v>24</v>
      </c>
      <c r="J1555" s="2">
        <f>Table1[[#This Row],[Profit]]/Table1[[#This Row],[Sales]]*100</f>
        <v>46.701932419302601</v>
      </c>
      <c r="K1555" t="str">
        <f>IF(Table1[[#This Row],[Sales]]&gt;=30000,"High", IF(Table1[[#This Row],[Sales]]&gt;=15000,"Medium","Low"))</f>
        <v>Low</v>
      </c>
      <c r="L1555" t="str">
        <f>TEXT(Table1[[#This Row],[Order_Date]],"MMM")</f>
        <v>Jun</v>
      </c>
      <c r="M1555" t="str">
        <f>IF(Table1[[#This Row],[Profit]]&gt;=10000,"Excellent",IF(Table1[[#This Row],[Profit]]&gt;5000,"Good","Low"))</f>
        <v>Low</v>
      </c>
      <c r="N1555" t="str">
        <f>TEXT(Table1[[#This Row],[Order_Date]],"YYYY")</f>
        <v>2025</v>
      </c>
    </row>
    <row r="1556" spans="1:14" x14ac:dyDescent="0.25">
      <c r="A1556" s="1">
        <v>45327</v>
      </c>
      <c r="B1556" t="s">
        <v>22</v>
      </c>
      <c r="C1556" t="s">
        <v>18</v>
      </c>
      <c r="D1556">
        <v>12765</v>
      </c>
      <c r="E1556">
        <v>6001</v>
      </c>
      <c r="F1556">
        <v>6764</v>
      </c>
      <c r="G1556" t="s">
        <v>13</v>
      </c>
      <c r="H1556" t="s">
        <v>20</v>
      </c>
      <c r="I1556" t="s">
        <v>24</v>
      </c>
      <c r="J1556" s="2">
        <f>Table1[[#This Row],[Profit]]/Table1[[#This Row],[Sales]]*100</f>
        <v>52.988640814727773</v>
      </c>
      <c r="K1556" t="str">
        <f>IF(Table1[[#This Row],[Sales]]&gt;=30000,"High", IF(Table1[[#This Row],[Sales]]&gt;=15000,"Medium","Low"))</f>
        <v>Low</v>
      </c>
      <c r="L1556" t="str">
        <f>TEXT(Table1[[#This Row],[Order_Date]],"MMM")</f>
        <v>Feb</v>
      </c>
      <c r="M1556" t="str">
        <f>IF(Table1[[#This Row],[Profit]]&gt;=10000,"Excellent",IF(Table1[[#This Row],[Profit]]&gt;5000,"Good","Low"))</f>
        <v>Good</v>
      </c>
      <c r="N1556" t="str">
        <f>TEXT(Table1[[#This Row],[Order_Date]],"YYYY")</f>
        <v>2024</v>
      </c>
    </row>
    <row r="1557" spans="1:14" x14ac:dyDescent="0.25">
      <c r="A1557" s="1">
        <v>45676</v>
      </c>
      <c r="B1557" t="s">
        <v>11</v>
      </c>
      <c r="C1557" t="s">
        <v>36</v>
      </c>
      <c r="D1557">
        <v>6590</v>
      </c>
      <c r="E1557">
        <v>6072</v>
      </c>
      <c r="F1557">
        <v>518</v>
      </c>
      <c r="G1557" t="s">
        <v>13</v>
      </c>
      <c r="H1557" t="s">
        <v>31</v>
      </c>
      <c r="I1557" t="s">
        <v>42</v>
      </c>
      <c r="J1557" s="2">
        <f>Table1[[#This Row],[Profit]]/Table1[[#This Row],[Sales]]*100</f>
        <v>7.860394537177541</v>
      </c>
      <c r="K1557" t="str">
        <f>IF(Table1[[#This Row],[Sales]]&gt;=30000,"High", IF(Table1[[#This Row],[Sales]]&gt;=15000,"Medium","Low"))</f>
        <v>Low</v>
      </c>
      <c r="L1557" t="str">
        <f>TEXT(Table1[[#This Row],[Order_Date]],"MMM")</f>
        <v>Jan</v>
      </c>
      <c r="M1557" t="str">
        <f>IF(Table1[[#This Row],[Profit]]&gt;=10000,"Excellent",IF(Table1[[#This Row],[Profit]]&gt;5000,"Good","Low"))</f>
        <v>Low</v>
      </c>
      <c r="N1557" t="str">
        <f>TEXT(Table1[[#This Row],[Order_Date]],"YYYY")</f>
        <v>2025</v>
      </c>
    </row>
    <row r="1558" spans="1:14" x14ac:dyDescent="0.25">
      <c r="A1558" s="1">
        <v>45797</v>
      </c>
      <c r="B1558" t="s">
        <v>11</v>
      </c>
      <c r="C1558" t="s">
        <v>41</v>
      </c>
      <c r="D1558">
        <v>12382</v>
      </c>
      <c r="E1558">
        <v>6004</v>
      </c>
      <c r="F1558">
        <v>6378</v>
      </c>
      <c r="G1558" t="s">
        <v>27</v>
      </c>
      <c r="H1558" t="s">
        <v>31</v>
      </c>
      <c r="I1558" t="s">
        <v>15</v>
      </c>
      <c r="J1558" s="2">
        <f>Table1[[#This Row],[Profit]]/Table1[[#This Row],[Sales]]*100</f>
        <v>51.510256824422548</v>
      </c>
      <c r="K1558" t="str">
        <f>IF(Table1[[#This Row],[Sales]]&gt;=30000,"High", IF(Table1[[#This Row],[Sales]]&gt;=15000,"Medium","Low"))</f>
        <v>Low</v>
      </c>
      <c r="L1558" t="str">
        <f>TEXT(Table1[[#This Row],[Order_Date]],"MMM")</f>
        <v>May</v>
      </c>
      <c r="M1558" t="str">
        <f>IF(Table1[[#This Row],[Profit]]&gt;=10000,"Excellent",IF(Table1[[#This Row],[Profit]]&gt;5000,"Good","Low"))</f>
        <v>Good</v>
      </c>
      <c r="N1558" t="str">
        <f>TEXT(Table1[[#This Row],[Order_Date]],"YYYY")</f>
        <v>2025</v>
      </c>
    </row>
    <row r="1559" spans="1:14" x14ac:dyDescent="0.25">
      <c r="A1559" s="1">
        <v>45819</v>
      </c>
      <c r="B1559" t="s">
        <v>44</v>
      </c>
      <c r="C1559" t="s">
        <v>36</v>
      </c>
      <c r="D1559">
        <v>9896</v>
      </c>
      <c r="E1559">
        <v>5462</v>
      </c>
      <c r="F1559">
        <v>4434</v>
      </c>
      <c r="G1559" t="s">
        <v>27</v>
      </c>
      <c r="H1559" t="s">
        <v>60</v>
      </c>
      <c r="I1559" t="s">
        <v>24</v>
      </c>
      <c r="J1559" s="2">
        <f>Table1[[#This Row],[Profit]]/Table1[[#This Row],[Sales]]*100</f>
        <v>44.80598221503638</v>
      </c>
      <c r="K1559" t="str">
        <f>IF(Table1[[#This Row],[Sales]]&gt;=30000,"High", IF(Table1[[#This Row],[Sales]]&gt;=15000,"Medium","Low"))</f>
        <v>Low</v>
      </c>
      <c r="L1559" t="str">
        <f>TEXT(Table1[[#This Row],[Order_Date]],"MMM")</f>
        <v>Jun</v>
      </c>
      <c r="M1559" t="str">
        <f>IF(Table1[[#This Row],[Profit]]&gt;=10000,"Excellent",IF(Table1[[#This Row],[Profit]]&gt;5000,"Good","Low"))</f>
        <v>Low</v>
      </c>
      <c r="N1559" t="str">
        <f>TEXT(Table1[[#This Row],[Order_Date]],"YYYY")</f>
        <v>2025</v>
      </c>
    </row>
    <row r="1560" spans="1:14" x14ac:dyDescent="0.25">
      <c r="A1560" s="1">
        <v>45801</v>
      </c>
      <c r="B1560" t="s">
        <v>11</v>
      </c>
      <c r="C1560" t="s">
        <v>33</v>
      </c>
      <c r="D1560">
        <v>17961</v>
      </c>
      <c r="E1560">
        <v>4209</v>
      </c>
      <c r="F1560">
        <v>13752</v>
      </c>
      <c r="G1560" t="s">
        <v>19</v>
      </c>
      <c r="H1560" t="s">
        <v>14</v>
      </c>
      <c r="I1560" t="s">
        <v>42</v>
      </c>
      <c r="J1560" s="2">
        <f>Table1[[#This Row],[Profit]]/Table1[[#This Row],[Sales]]*100</f>
        <v>76.565892767663271</v>
      </c>
      <c r="K1560" t="str">
        <f>IF(Table1[[#This Row],[Sales]]&gt;=30000,"High", IF(Table1[[#This Row],[Sales]]&gt;=15000,"Medium","Low"))</f>
        <v>Medium</v>
      </c>
      <c r="L1560" t="str">
        <f>TEXT(Table1[[#This Row],[Order_Date]],"MMM")</f>
        <v>May</v>
      </c>
      <c r="M1560" t="str">
        <f>IF(Table1[[#This Row],[Profit]]&gt;=10000,"Excellent",IF(Table1[[#This Row],[Profit]]&gt;5000,"Good","Low"))</f>
        <v>Excellent</v>
      </c>
      <c r="N1560" t="str">
        <f>TEXT(Table1[[#This Row],[Order_Date]],"YYYY")</f>
        <v>2025</v>
      </c>
    </row>
    <row r="1561" spans="1:14" x14ac:dyDescent="0.25">
      <c r="A1561" s="1">
        <v>45240</v>
      </c>
      <c r="B1561" t="s">
        <v>17</v>
      </c>
      <c r="C1561" t="s">
        <v>36</v>
      </c>
      <c r="D1561">
        <v>24834</v>
      </c>
      <c r="E1561">
        <v>8914</v>
      </c>
      <c r="F1561">
        <v>15920</v>
      </c>
      <c r="G1561" t="s">
        <v>27</v>
      </c>
      <c r="H1561" t="s">
        <v>14</v>
      </c>
      <c r="I1561" t="s">
        <v>42</v>
      </c>
      <c r="J1561" s="2">
        <f>Table1[[#This Row],[Profit]]/Table1[[#This Row],[Sales]]*100</f>
        <v>64.10566159297737</v>
      </c>
      <c r="K1561" t="str">
        <f>IF(Table1[[#This Row],[Sales]]&gt;=30000,"High", IF(Table1[[#This Row],[Sales]]&gt;=15000,"Medium","Low"))</f>
        <v>Medium</v>
      </c>
      <c r="L1561" t="str">
        <f>TEXT(Table1[[#This Row],[Order_Date]],"MMM")</f>
        <v>Nov</v>
      </c>
      <c r="M1561" t="str">
        <f>IF(Table1[[#This Row],[Profit]]&gt;=10000,"Excellent",IF(Table1[[#This Row],[Profit]]&gt;5000,"Good","Low"))</f>
        <v>Excellent</v>
      </c>
      <c r="N1561" t="str">
        <f>TEXT(Table1[[#This Row],[Order_Date]],"YYYY")</f>
        <v>2023</v>
      </c>
    </row>
    <row r="1562" spans="1:14" x14ac:dyDescent="0.25">
      <c r="A1562" s="1">
        <v>46030</v>
      </c>
      <c r="B1562" t="s">
        <v>11</v>
      </c>
      <c r="C1562" t="s">
        <v>33</v>
      </c>
      <c r="D1562">
        <v>26839</v>
      </c>
      <c r="E1562">
        <v>17727</v>
      </c>
      <c r="F1562">
        <v>9112</v>
      </c>
      <c r="G1562" t="s">
        <v>27</v>
      </c>
      <c r="H1562" t="s">
        <v>20</v>
      </c>
      <c r="I1562" t="s">
        <v>53</v>
      </c>
      <c r="J1562" s="2">
        <f>Table1[[#This Row],[Profit]]/Table1[[#This Row],[Sales]]*100</f>
        <v>33.950594284436825</v>
      </c>
      <c r="K1562" t="str">
        <f>IF(Table1[[#This Row],[Sales]]&gt;=30000,"High", IF(Table1[[#This Row],[Sales]]&gt;=15000,"Medium","Low"))</f>
        <v>Medium</v>
      </c>
      <c r="L1562" t="str">
        <f>TEXT(Table1[[#This Row],[Order_Date]],"MMM")</f>
        <v>Jan</v>
      </c>
      <c r="M1562" t="str">
        <f>IF(Table1[[#This Row],[Profit]]&gt;=10000,"Excellent",IF(Table1[[#This Row],[Profit]]&gt;5000,"Good","Low"))</f>
        <v>Good</v>
      </c>
      <c r="N1562" t="str">
        <f>TEXT(Table1[[#This Row],[Order_Date]],"YYYY")</f>
        <v>2026</v>
      </c>
    </row>
    <row r="1563" spans="1:14" x14ac:dyDescent="0.25">
      <c r="A1563" s="1">
        <v>46160</v>
      </c>
      <c r="B1563" t="s">
        <v>26</v>
      </c>
      <c r="C1563" t="s">
        <v>41</v>
      </c>
      <c r="D1563">
        <v>34193</v>
      </c>
      <c r="E1563">
        <v>22331</v>
      </c>
      <c r="F1563">
        <v>11862</v>
      </c>
      <c r="G1563" t="s">
        <v>13</v>
      </c>
      <c r="H1563" t="s">
        <v>63</v>
      </c>
      <c r="I1563" t="s">
        <v>15</v>
      </c>
      <c r="J1563" s="2">
        <f>Table1[[#This Row],[Profit]]/Table1[[#This Row],[Sales]]*100</f>
        <v>34.691311087064605</v>
      </c>
      <c r="K1563" t="str">
        <f>IF(Table1[[#This Row],[Sales]]&gt;=30000,"High", IF(Table1[[#This Row],[Sales]]&gt;=15000,"Medium","Low"))</f>
        <v>High</v>
      </c>
      <c r="L1563" t="str">
        <f>TEXT(Table1[[#This Row],[Order_Date]],"MMM")</f>
        <v>May</v>
      </c>
      <c r="M1563" t="str">
        <f>IF(Table1[[#This Row],[Profit]]&gt;=10000,"Excellent",IF(Table1[[#This Row],[Profit]]&gt;5000,"Good","Low"))</f>
        <v>Excellent</v>
      </c>
      <c r="N1563" t="str">
        <f>TEXT(Table1[[#This Row],[Order_Date]],"YYYY")</f>
        <v>2026</v>
      </c>
    </row>
    <row r="1564" spans="1:14" x14ac:dyDescent="0.25">
      <c r="A1564" s="1">
        <v>45989</v>
      </c>
      <c r="B1564" t="s">
        <v>17</v>
      </c>
      <c r="C1564" t="s">
        <v>18</v>
      </c>
      <c r="D1564">
        <v>17728</v>
      </c>
      <c r="E1564">
        <v>8262</v>
      </c>
      <c r="F1564">
        <v>9466</v>
      </c>
      <c r="G1564" t="s">
        <v>38</v>
      </c>
      <c r="H1564" t="s">
        <v>20</v>
      </c>
      <c r="I1564" t="s">
        <v>42</v>
      </c>
      <c r="J1564" s="2">
        <f>Table1[[#This Row],[Profit]]/Table1[[#This Row],[Sales]]*100</f>
        <v>53.395758122743686</v>
      </c>
      <c r="K1564" t="str">
        <f>IF(Table1[[#This Row],[Sales]]&gt;=30000,"High", IF(Table1[[#This Row],[Sales]]&gt;=15000,"Medium","Low"))</f>
        <v>Medium</v>
      </c>
      <c r="L1564" t="str">
        <f>TEXT(Table1[[#This Row],[Order_Date]],"MMM")</f>
        <v>Nov</v>
      </c>
      <c r="M1564" t="str">
        <f>IF(Table1[[#This Row],[Profit]]&gt;=10000,"Excellent",IF(Table1[[#This Row],[Profit]]&gt;5000,"Good","Low"))</f>
        <v>Good</v>
      </c>
      <c r="N1564" t="str">
        <f>TEXT(Table1[[#This Row],[Order_Date]],"YYYY")</f>
        <v>2025</v>
      </c>
    </row>
    <row r="1565" spans="1:14" x14ac:dyDescent="0.25">
      <c r="A1565" s="1">
        <v>45588</v>
      </c>
      <c r="B1565" t="s">
        <v>22</v>
      </c>
      <c r="C1565" t="s">
        <v>33</v>
      </c>
      <c r="D1565">
        <v>14244</v>
      </c>
      <c r="E1565">
        <v>999</v>
      </c>
      <c r="F1565">
        <v>13245</v>
      </c>
      <c r="G1565" t="s">
        <v>27</v>
      </c>
      <c r="H1565" t="s">
        <v>31</v>
      </c>
      <c r="I1565" t="s">
        <v>42</v>
      </c>
      <c r="J1565" s="2">
        <f>Table1[[#This Row],[Profit]]/Table1[[#This Row],[Sales]]*100</f>
        <v>92.986520640269589</v>
      </c>
      <c r="K1565" t="str">
        <f>IF(Table1[[#This Row],[Sales]]&gt;=30000,"High", IF(Table1[[#This Row],[Sales]]&gt;=15000,"Medium","Low"))</f>
        <v>Low</v>
      </c>
      <c r="L1565" t="str">
        <f>TEXT(Table1[[#This Row],[Order_Date]],"MMM")</f>
        <v>Oct</v>
      </c>
      <c r="M1565" t="str">
        <f>IF(Table1[[#This Row],[Profit]]&gt;=10000,"Excellent",IF(Table1[[#This Row],[Profit]]&gt;5000,"Good","Low"))</f>
        <v>Excellent</v>
      </c>
      <c r="N1565" t="str">
        <f>TEXT(Table1[[#This Row],[Order_Date]],"YYYY")</f>
        <v>2024</v>
      </c>
    </row>
    <row r="1566" spans="1:14" x14ac:dyDescent="0.25">
      <c r="A1566" s="1">
        <v>45157</v>
      </c>
      <c r="B1566" t="s">
        <v>11</v>
      </c>
      <c r="C1566" t="s">
        <v>33</v>
      </c>
      <c r="D1566">
        <v>20928</v>
      </c>
      <c r="E1566">
        <v>10527</v>
      </c>
      <c r="F1566">
        <v>10401</v>
      </c>
      <c r="G1566" t="s">
        <v>19</v>
      </c>
      <c r="H1566" t="s">
        <v>60</v>
      </c>
      <c r="I1566" t="s">
        <v>24</v>
      </c>
      <c r="J1566" s="2">
        <f>Table1[[#This Row],[Profit]]/Table1[[#This Row],[Sales]]*100</f>
        <v>49.698967889908261</v>
      </c>
      <c r="K1566" t="str">
        <f>IF(Table1[[#This Row],[Sales]]&gt;=30000,"High", IF(Table1[[#This Row],[Sales]]&gt;=15000,"Medium","Low"))</f>
        <v>Medium</v>
      </c>
      <c r="L1566" t="str">
        <f>TEXT(Table1[[#This Row],[Order_Date]],"MMM")</f>
        <v>Aug</v>
      </c>
      <c r="M1566" t="str">
        <f>IF(Table1[[#This Row],[Profit]]&gt;=10000,"Excellent",IF(Table1[[#This Row],[Profit]]&gt;5000,"Good","Low"))</f>
        <v>Excellent</v>
      </c>
      <c r="N1566" t="str">
        <f>TEXT(Table1[[#This Row],[Order_Date]],"YYYY")</f>
        <v>2023</v>
      </c>
    </row>
    <row r="1567" spans="1:14" x14ac:dyDescent="0.25">
      <c r="A1567" s="1">
        <v>45415</v>
      </c>
      <c r="B1567" t="s">
        <v>11</v>
      </c>
      <c r="C1567" t="s">
        <v>12</v>
      </c>
      <c r="D1567">
        <v>12766</v>
      </c>
      <c r="E1567">
        <v>1155</v>
      </c>
      <c r="F1567">
        <v>11611</v>
      </c>
      <c r="G1567" t="s">
        <v>13</v>
      </c>
      <c r="H1567" t="s">
        <v>78</v>
      </c>
      <c r="I1567" t="s">
        <v>53</v>
      </c>
      <c r="J1567" s="2">
        <f>Table1[[#This Row],[Profit]]/Table1[[#This Row],[Sales]]*100</f>
        <v>90.952530158232804</v>
      </c>
      <c r="K1567" t="str">
        <f>IF(Table1[[#This Row],[Sales]]&gt;=30000,"High", IF(Table1[[#This Row],[Sales]]&gt;=15000,"Medium","Low"))</f>
        <v>Low</v>
      </c>
      <c r="L1567" t="str">
        <f>TEXT(Table1[[#This Row],[Order_Date]],"MMM")</f>
        <v>May</v>
      </c>
      <c r="M1567" t="str">
        <f>IF(Table1[[#This Row],[Profit]]&gt;=10000,"Excellent",IF(Table1[[#This Row],[Profit]]&gt;5000,"Good","Low"))</f>
        <v>Excellent</v>
      </c>
      <c r="N1567" t="str">
        <f>TEXT(Table1[[#This Row],[Order_Date]],"YYYY")</f>
        <v>2024</v>
      </c>
    </row>
    <row r="1568" spans="1:14" x14ac:dyDescent="0.25">
      <c r="A1568" s="1">
        <v>46010</v>
      </c>
      <c r="B1568" t="s">
        <v>22</v>
      </c>
      <c r="C1568" t="s">
        <v>36</v>
      </c>
      <c r="D1568">
        <v>21926</v>
      </c>
      <c r="E1568">
        <v>14354</v>
      </c>
      <c r="F1568">
        <v>7572</v>
      </c>
      <c r="G1568" t="s">
        <v>13</v>
      </c>
      <c r="H1568" t="s">
        <v>78</v>
      </c>
      <c r="I1568" t="s">
        <v>15</v>
      </c>
      <c r="J1568" s="2">
        <f>Table1[[#This Row],[Profit]]/Table1[[#This Row],[Sales]]*100</f>
        <v>34.534342789382464</v>
      </c>
      <c r="K1568" t="str">
        <f>IF(Table1[[#This Row],[Sales]]&gt;=30000,"High", IF(Table1[[#This Row],[Sales]]&gt;=15000,"Medium","Low"))</f>
        <v>Medium</v>
      </c>
      <c r="L1568" t="str">
        <f>TEXT(Table1[[#This Row],[Order_Date]],"MMM")</f>
        <v>Dec</v>
      </c>
      <c r="M1568" t="str">
        <f>IF(Table1[[#This Row],[Profit]]&gt;=10000,"Excellent",IF(Table1[[#This Row],[Profit]]&gt;5000,"Good","Low"))</f>
        <v>Good</v>
      </c>
      <c r="N1568" t="str">
        <f>TEXT(Table1[[#This Row],[Order_Date]],"YYYY")</f>
        <v>2025</v>
      </c>
    </row>
    <row r="1569" spans="1:14" x14ac:dyDescent="0.25">
      <c r="A1569" s="1">
        <v>45658</v>
      </c>
      <c r="B1569" t="s">
        <v>22</v>
      </c>
      <c r="C1569" t="s">
        <v>18</v>
      </c>
      <c r="D1569">
        <v>41740</v>
      </c>
      <c r="E1569">
        <v>35095</v>
      </c>
      <c r="F1569">
        <v>6645</v>
      </c>
      <c r="G1569" t="s">
        <v>27</v>
      </c>
      <c r="H1569" t="s">
        <v>28</v>
      </c>
      <c r="I1569" t="s">
        <v>42</v>
      </c>
      <c r="J1569" s="2">
        <f>Table1[[#This Row],[Profit]]/Table1[[#This Row],[Sales]]*100</f>
        <v>15.91998083373263</v>
      </c>
      <c r="K1569" t="str">
        <f>IF(Table1[[#This Row],[Sales]]&gt;=30000,"High", IF(Table1[[#This Row],[Sales]]&gt;=15000,"Medium","Low"))</f>
        <v>High</v>
      </c>
      <c r="L1569" t="str">
        <f>TEXT(Table1[[#This Row],[Order_Date]],"MMM")</f>
        <v>Jan</v>
      </c>
      <c r="M1569" t="str">
        <f>IF(Table1[[#This Row],[Profit]]&gt;=10000,"Excellent",IF(Table1[[#This Row],[Profit]]&gt;5000,"Good","Low"))</f>
        <v>Good</v>
      </c>
      <c r="N1569" t="str">
        <f>TEXT(Table1[[#This Row],[Order_Date]],"YYYY")</f>
        <v>2025</v>
      </c>
    </row>
    <row r="1570" spans="1:14" x14ac:dyDescent="0.25">
      <c r="A1570" s="1">
        <v>45812</v>
      </c>
      <c r="B1570" t="s">
        <v>11</v>
      </c>
      <c r="C1570" t="s">
        <v>36</v>
      </c>
      <c r="D1570">
        <v>23290</v>
      </c>
      <c r="E1570">
        <v>10385</v>
      </c>
      <c r="F1570">
        <v>12905</v>
      </c>
      <c r="G1570" t="s">
        <v>27</v>
      </c>
      <c r="H1570" t="s">
        <v>28</v>
      </c>
      <c r="I1570" t="s">
        <v>15</v>
      </c>
      <c r="J1570" s="2">
        <f>Table1[[#This Row],[Profit]]/Table1[[#This Row],[Sales]]*100</f>
        <v>55.41004723057106</v>
      </c>
      <c r="K1570" t="str">
        <f>IF(Table1[[#This Row],[Sales]]&gt;=30000,"High", IF(Table1[[#This Row],[Sales]]&gt;=15000,"Medium","Low"))</f>
        <v>Medium</v>
      </c>
      <c r="L1570" t="str">
        <f>TEXT(Table1[[#This Row],[Order_Date]],"MMM")</f>
        <v>Jun</v>
      </c>
      <c r="M1570" t="str">
        <f>IF(Table1[[#This Row],[Profit]]&gt;=10000,"Excellent",IF(Table1[[#This Row],[Profit]]&gt;5000,"Good","Low"))</f>
        <v>Excellent</v>
      </c>
      <c r="N1570" t="str">
        <f>TEXT(Table1[[#This Row],[Order_Date]],"YYYY")</f>
        <v>2025</v>
      </c>
    </row>
    <row r="1571" spans="1:14" x14ac:dyDescent="0.25">
      <c r="A1571" s="1">
        <v>45888</v>
      </c>
      <c r="B1571" t="s">
        <v>22</v>
      </c>
      <c r="C1571" t="s">
        <v>36</v>
      </c>
      <c r="D1571">
        <v>48778</v>
      </c>
      <c r="E1571">
        <v>45629</v>
      </c>
      <c r="F1571">
        <v>3149</v>
      </c>
      <c r="G1571" t="s">
        <v>19</v>
      </c>
      <c r="H1571" t="s">
        <v>34</v>
      </c>
      <c r="I1571" t="s">
        <v>24</v>
      </c>
      <c r="J1571" s="2">
        <f>Table1[[#This Row],[Profit]]/Table1[[#This Row],[Sales]]*100</f>
        <v>6.4557792447414819</v>
      </c>
      <c r="K1571" t="str">
        <f>IF(Table1[[#This Row],[Sales]]&gt;=30000,"High", IF(Table1[[#This Row],[Sales]]&gt;=15000,"Medium","Low"))</f>
        <v>High</v>
      </c>
      <c r="L1571" t="str">
        <f>TEXT(Table1[[#This Row],[Order_Date]],"MMM")</f>
        <v>Aug</v>
      </c>
      <c r="M1571" t="str">
        <f>IF(Table1[[#This Row],[Profit]]&gt;=10000,"Excellent",IF(Table1[[#This Row],[Profit]]&gt;5000,"Good","Low"))</f>
        <v>Low</v>
      </c>
      <c r="N1571" t="str">
        <f>TEXT(Table1[[#This Row],[Order_Date]],"YYYY")</f>
        <v>2025</v>
      </c>
    </row>
    <row r="1572" spans="1:14" x14ac:dyDescent="0.25">
      <c r="A1572" s="1">
        <v>45577</v>
      </c>
      <c r="B1572" t="s">
        <v>44</v>
      </c>
      <c r="C1572" t="s">
        <v>12</v>
      </c>
      <c r="D1572">
        <v>20588</v>
      </c>
      <c r="E1572">
        <v>6600</v>
      </c>
      <c r="F1572">
        <v>13988</v>
      </c>
      <c r="G1572" t="s">
        <v>38</v>
      </c>
      <c r="H1572" t="s">
        <v>45</v>
      </c>
      <c r="I1572" t="s">
        <v>42</v>
      </c>
      <c r="J1572" s="2">
        <f>Table1[[#This Row],[Profit]]/Table1[[#This Row],[Sales]]*100</f>
        <v>67.942490771323108</v>
      </c>
      <c r="K1572" t="str">
        <f>IF(Table1[[#This Row],[Sales]]&gt;=30000,"High", IF(Table1[[#This Row],[Sales]]&gt;=15000,"Medium","Low"))</f>
        <v>Medium</v>
      </c>
      <c r="L1572" t="str">
        <f>TEXT(Table1[[#This Row],[Order_Date]],"MMM")</f>
        <v>Oct</v>
      </c>
      <c r="M1572" t="str">
        <f>IF(Table1[[#This Row],[Profit]]&gt;=10000,"Excellent",IF(Table1[[#This Row],[Profit]]&gt;5000,"Good","Low"))</f>
        <v>Excellent</v>
      </c>
      <c r="N1572" t="str">
        <f>TEXT(Table1[[#This Row],[Order_Date]],"YYYY")</f>
        <v>2024</v>
      </c>
    </row>
    <row r="1573" spans="1:14" x14ac:dyDescent="0.25">
      <c r="A1573" s="1">
        <v>45400</v>
      </c>
      <c r="B1573" t="s">
        <v>11</v>
      </c>
      <c r="C1573" t="s">
        <v>12</v>
      </c>
      <c r="D1573">
        <v>46567</v>
      </c>
      <c r="E1573">
        <v>31273</v>
      </c>
      <c r="F1573">
        <v>15294</v>
      </c>
      <c r="G1573" t="s">
        <v>27</v>
      </c>
      <c r="H1573" t="s">
        <v>31</v>
      </c>
      <c r="I1573" t="s">
        <v>29</v>
      </c>
      <c r="J1573" s="2">
        <f>Table1[[#This Row],[Profit]]/Table1[[#This Row],[Sales]]*100</f>
        <v>32.843000408014262</v>
      </c>
      <c r="K1573" t="str">
        <f>IF(Table1[[#This Row],[Sales]]&gt;=30000,"High", IF(Table1[[#This Row],[Sales]]&gt;=15000,"Medium","Low"))</f>
        <v>High</v>
      </c>
      <c r="L1573" t="str">
        <f>TEXT(Table1[[#This Row],[Order_Date]],"MMM")</f>
        <v>Apr</v>
      </c>
      <c r="M1573" t="str">
        <f>IF(Table1[[#This Row],[Profit]]&gt;=10000,"Excellent",IF(Table1[[#This Row],[Profit]]&gt;5000,"Good","Low"))</f>
        <v>Excellent</v>
      </c>
      <c r="N1573" t="str">
        <f>TEXT(Table1[[#This Row],[Order_Date]],"YYYY")</f>
        <v>2024</v>
      </c>
    </row>
    <row r="1574" spans="1:14" x14ac:dyDescent="0.25">
      <c r="A1574" s="1">
        <v>45226</v>
      </c>
      <c r="B1574" t="s">
        <v>44</v>
      </c>
      <c r="C1574" t="s">
        <v>18</v>
      </c>
      <c r="D1574">
        <v>32248</v>
      </c>
      <c r="E1574">
        <v>31446</v>
      </c>
      <c r="F1574">
        <v>802</v>
      </c>
      <c r="G1574" t="s">
        <v>38</v>
      </c>
      <c r="H1574" t="s">
        <v>23</v>
      </c>
      <c r="I1574" t="s">
        <v>29</v>
      </c>
      <c r="J1574" s="2">
        <f>Table1[[#This Row],[Profit]]/Table1[[#This Row],[Sales]]*100</f>
        <v>2.4869759364921853</v>
      </c>
      <c r="K1574" t="str">
        <f>IF(Table1[[#This Row],[Sales]]&gt;=30000,"High", IF(Table1[[#This Row],[Sales]]&gt;=15000,"Medium","Low"))</f>
        <v>High</v>
      </c>
      <c r="L1574" t="str">
        <f>TEXT(Table1[[#This Row],[Order_Date]],"MMM")</f>
        <v>Oct</v>
      </c>
      <c r="M1574" t="str">
        <f>IF(Table1[[#This Row],[Profit]]&gt;=10000,"Excellent",IF(Table1[[#This Row],[Profit]]&gt;5000,"Good","Low"))</f>
        <v>Low</v>
      </c>
      <c r="N1574" t="str">
        <f>TEXT(Table1[[#This Row],[Order_Date]],"YYYY")</f>
        <v>2023</v>
      </c>
    </row>
    <row r="1575" spans="1:14" x14ac:dyDescent="0.25">
      <c r="A1575" s="1">
        <v>45420</v>
      </c>
      <c r="B1575" t="s">
        <v>11</v>
      </c>
      <c r="C1575" t="s">
        <v>12</v>
      </c>
      <c r="D1575">
        <v>41890</v>
      </c>
      <c r="E1575">
        <v>28946</v>
      </c>
      <c r="F1575">
        <v>12944</v>
      </c>
      <c r="G1575" t="s">
        <v>19</v>
      </c>
      <c r="H1575" t="s">
        <v>28</v>
      </c>
      <c r="I1575" t="s">
        <v>24</v>
      </c>
      <c r="J1575" s="2">
        <f>Table1[[#This Row],[Profit]]/Table1[[#This Row],[Sales]]*100</f>
        <v>30.899976127954165</v>
      </c>
      <c r="K1575" t="str">
        <f>IF(Table1[[#This Row],[Sales]]&gt;=30000,"High", IF(Table1[[#This Row],[Sales]]&gt;=15000,"Medium","Low"))</f>
        <v>High</v>
      </c>
      <c r="L1575" t="str">
        <f>TEXT(Table1[[#This Row],[Order_Date]],"MMM")</f>
        <v>May</v>
      </c>
      <c r="M1575" t="str">
        <f>IF(Table1[[#This Row],[Profit]]&gt;=10000,"Excellent",IF(Table1[[#This Row],[Profit]]&gt;5000,"Good","Low"))</f>
        <v>Excellent</v>
      </c>
      <c r="N1575" t="str">
        <f>TEXT(Table1[[#This Row],[Order_Date]],"YYYY")</f>
        <v>2024</v>
      </c>
    </row>
    <row r="1576" spans="1:14" x14ac:dyDescent="0.25">
      <c r="A1576" s="1">
        <v>45422</v>
      </c>
      <c r="B1576" t="s">
        <v>22</v>
      </c>
      <c r="C1576" t="s">
        <v>33</v>
      </c>
      <c r="D1576">
        <v>46583</v>
      </c>
      <c r="E1576">
        <v>45637</v>
      </c>
      <c r="F1576">
        <v>946</v>
      </c>
      <c r="G1576" t="s">
        <v>19</v>
      </c>
      <c r="H1576" t="s">
        <v>34</v>
      </c>
      <c r="I1576" t="s">
        <v>15</v>
      </c>
      <c r="J1576" s="2">
        <f>Table1[[#This Row],[Profit]]/Table1[[#This Row],[Sales]]*100</f>
        <v>2.0307837623167249</v>
      </c>
      <c r="K1576" t="str">
        <f>IF(Table1[[#This Row],[Sales]]&gt;=30000,"High", IF(Table1[[#This Row],[Sales]]&gt;=15000,"Medium","Low"))</f>
        <v>High</v>
      </c>
      <c r="L1576" t="str">
        <f>TEXT(Table1[[#This Row],[Order_Date]],"MMM")</f>
        <v>May</v>
      </c>
      <c r="M1576" t="str">
        <f>IF(Table1[[#This Row],[Profit]]&gt;=10000,"Excellent",IF(Table1[[#This Row],[Profit]]&gt;5000,"Good","Low"))</f>
        <v>Low</v>
      </c>
      <c r="N1576" t="str">
        <f>TEXT(Table1[[#This Row],[Order_Date]],"YYYY")</f>
        <v>2024</v>
      </c>
    </row>
    <row r="1577" spans="1:14" x14ac:dyDescent="0.25">
      <c r="A1577" s="1">
        <v>45796</v>
      </c>
      <c r="B1577" t="s">
        <v>22</v>
      </c>
      <c r="C1577" t="s">
        <v>12</v>
      </c>
      <c r="D1577">
        <v>28846</v>
      </c>
      <c r="E1577">
        <v>18759</v>
      </c>
      <c r="F1577">
        <v>10087</v>
      </c>
      <c r="G1577" t="s">
        <v>38</v>
      </c>
      <c r="H1577" t="s">
        <v>20</v>
      </c>
      <c r="I1577" t="s">
        <v>29</v>
      </c>
      <c r="J1577" s="2">
        <f>Table1[[#This Row],[Profit]]/Table1[[#This Row],[Sales]]*100</f>
        <v>34.968453165083545</v>
      </c>
      <c r="K1577" t="str">
        <f>IF(Table1[[#This Row],[Sales]]&gt;=30000,"High", IF(Table1[[#This Row],[Sales]]&gt;=15000,"Medium","Low"))</f>
        <v>Medium</v>
      </c>
      <c r="L1577" t="str">
        <f>TEXT(Table1[[#This Row],[Order_Date]],"MMM")</f>
        <v>May</v>
      </c>
      <c r="M1577" t="str">
        <f>IF(Table1[[#This Row],[Profit]]&gt;=10000,"Excellent",IF(Table1[[#This Row],[Profit]]&gt;5000,"Good","Low"))</f>
        <v>Excellent</v>
      </c>
      <c r="N1577" t="str">
        <f>TEXT(Table1[[#This Row],[Order_Date]],"YYYY")</f>
        <v>2025</v>
      </c>
    </row>
    <row r="1578" spans="1:14" x14ac:dyDescent="0.25">
      <c r="A1578" s="1">
        <v>45358</v>
      </c>
      <c r="B1578" t="s">
        <v>11</v>
      </c>
      <c r="C1578" t="s">
        <v>12</v>
      </c>
      <c r="D1578">
        <v>22403</v>
      </c>
      <c r="E1578">
        <v>12560</v>
      </c>
      <c r="F1578">
        <v>9843</v>
      </c>
      <c r="G1578" t="s">
        <v>13</v>
      </c>
      <c r="H1578" t="s">
        <v>45</v>
      </c>
      <c r="I1578" t="s">
        <v>24</v>
      </c>
      <c r="J1578" s="2">
        <f>Table1[[#This Row],[Profit]]/Table1[[#This Row],[Sales]]*100</f>
        <v>43.936079989287144</v>
      </c>
      <c r="K1578" t="str">
        <f>IF(Table1[[#This Row],[Sales]]&gt;=30000,"High", IF(Table1[[#This Row],[Sales]]&gt;=15000,"Medium","Low"))</f>
        <v>Medium</v>
      </c>
      <c r="L1578" t="str">
        <f>TEXT(Table1[[#This Row],[Order_Date]],"MMM")</f>
        <v>Mar</v>
      </c>
      <c r="M1578" t="str">
        <f>IF(Table1[[#This Row],[Profit]]&gt;=10000,"Excellent",IF(Table1[[#This Row],[Profit]]&gt;5000,"Good","Low"))</f>
        <v>Good</v>
      </c>
      <c r="N1578" t="str">
        <f>TEXT(Table1[[#This Row],[Order_Date]],"YYYY")</f>
        <v>2024</v>
      </c>
    </row>
    <row r="1579" spans="1:14" x14ac:dyDescent="0.25">
      <c r="A1579" s="1">
        <v>45618</v>
      </c>
      <c r="B1579" t="s">
        <v>17</v>
      </c>
      <c r="C1579" t="s">
        <v>18</v>
      </c>
      <c r="D1579">
        <v>15465</v>
      </c>
      <c r="E1579">
        <v>5547</v>
      </c>
      <c r="F1579">
        <v>9918</v>
      </c>
      <c r="G1579" t="s">
        <v>38</v>
      </c>
      <c r="H1579" t="s">
        <v>78</v>
      </c>
      <c r="I1579" t="s">
        <v>42</v>
      </c>
      <c r="J1579" s="2">
        <f>Table1[[#This Row],[Profit]]/Table1[[#This Row],[Sales]]*100</f>
        <v>64.131910766246364</v>
      </c>
      <c r="K1579" t="str">
        <f>IF(Table1[[#This Row],[Sales]]&gt;=30000,"High", IF(Table1[[#This Row],[Sales]]&gt;=15000,"Medium","Low"))</f>
        <v>Medium</v>
      </c>
      <c r="L1579" t="str">
        <f>TEXT(Table1[[#This Row],[Order_Date]],"MMM")</f>
        <v>Nov</v>
      </c>
      <c r="M1579" t="str">
        <f>IF(Table1[[#This Row],[Profit]]&gt;=10000,"Excellent",IF(Table1[[#This Row],[Profit]]&gt;5000,"Good","Low"))</f>
        <v>Good</v>
      </c>
      <c r="N1579" t="str">
        <f>TEXT(Table1[[#This Row],[Order_Date]],"YYYY")</f>
        <v>2024</v>
      </c>
    </row>
    <row r="1580" spans="1:14" x14ac:dyDescent="0.25">
      <c r="A1580" s="1">
        <v>45962</v>
      </c>
      <c r="B1580" t="s">
        <v>22</v>
      </c>
      <c r="C1580" t="s">
        <v>36</v>
      </c>
      <c r="D1580">
        <v>47030</v>
      </c>
      <c r="E1580">
        <v>43786</v>
      </c>
      <c r="F1580">
        <v>3244</v>
      </c>
      <c r="G1580" t="s">
        <v>13</v>
      </c>
      <c r="H1580" t="s">
        <v>45</v>
      </c>
      <c r="I1580" t="s">
        <v>42</v>
      </c>
      <c r="J1580" s="2">
        <f>Table1[[#This Row],[Profit]]/Table1[[#This Row],[Sales]]*100</f>
        <v>6.897724856474591</v>
      </c>
      <c r="K1580" t="str">
        <f>IF(Table1[[#This Row],[Sales]]&gt;=30000,"High", IF(Table1[[#This Row],[Sales]]&gt;=15000,"Medium","Low"))</f>
        <v>High</v>
      </c>
      <c r="L1580" t="str">
        <f>TEXT(Table1[[#This Row],[Order_Date]],"MMM")</f>
        <v>Nov</v>
      </c>
      <c r="M1580" t="str">
        <f>IF(Table1[[#This Row],[Profit]]&gt;=10000,"Excellent",IF(Table1[[#This Row],[Profit]]&gt;5000,"Good","Low"))</f>
        <v>Low</v>
      </c>
      <c r="N1580" t="str">
        <f>TEXT(Table1[[#This Row],[Order_Date]],"YYYY")</f>
        <v>2025</v>
      </c>
    </row>
    <row r="1581" spans="1:14" x14ac:dyDescent="0.25">
      <c r="A1581" s="1">
        <v>45377</v>
      </c>
      <c r="B1581" t="s">
        <v>26</v>
      </c>
      <c r="C1581" t="s">
        <v>12</v>
      </c>
      <c r="D1581">
        <v>29266</v>
      </c>
      <c r="E1581">
        <v>23101</v>
      </c>
      <c r="F1581">
        <v>6165</v>
      </c>
      <c r="G1581" t="s">
        <v>27</v>
      </c>
      <c r="H1581" t="s">
        <v>28</v>
      </c>
      <c r="I1581" t="s">
        <v>29</v>
      </c>
      <c r="J1581" s="2">
        <f>Table1[[#This Row],[Profit]]/Table1[[#This Row],[Sales]]*100</f>
        <v>21.065400123009638</v>
      </c>
      <c r="K1581" t="str">
        <f>IF(Table1[[#This Row],[Sales]]&gt;=30000,"High", IF(Table1[[#This Row],[Sales]]&gt;=15000,"Medium","Low"))</f>
        <v>Medium</v>
      </c>
      <c r="L1581" t="str">
        <f>TEXT(Table1[[#This Row],[Order_Date]],"MMM")</f>
        <v>Mar</v>
      </c>
      <c r="M1581" t="str">
        <f>IF(Table1[[#This Row],[Profit]]&gt;=10000,"Excellent",IF(Table1[[#This Row],[Profit]]&gt;5000,"Good","Low"))</f>
        <v>Good</v>
      </c>
      <c r="N1581" t="str">
        <f>TEXT(Table1[[#This Row],[Order_Date]],"YYYY")</f>
        <v>2024</v>
      </c>
    </row>
    <row r="1582" spans="1:14" x14ac:dyDescent="0.25">
      <c r="A1582" s="1">
        <v>45994</v>
      </c>
      <c r="B1582" t="s">
        <v>17</v>
      </c>
      <c r="C1582" t="s">
        <v>18</v>
      </c>
      <c r="D1582">
        <v>7073</v>
      </c>
      <c r="E1582">
        <v>5761</v>
      </c>
      <c r="F1582">
        <v>1312</v>
      </c>
      <c r="G1582" t="s">
        <v>38</v>
      </c>
      <c r="H1582" t="s">
        <v>23</v>
      </c>
      <c r="I1582" t="s">
        <v>53</v>
      </c>
      <c r="J1582" s="2">
        <f>Table1[[#This Row],[Profit]]/Table1[[#This Row],[Sales]]*100</f>
        <v>18.549413261699421</v>
      </c>
      <c r="K1582" t="str">
        <f>IF(Table1[[#This Row],[Sales]]&gt;=30000,"High", IF(Table1[[#This Row],[Sales]]&gt;=15000,"Medium","Low"))</f>
        <v>Low</v>
      </c>
      <c r="L1582" t="str">
        <f>TEXT(Table1[[#This Row],[Order_Date]],"MMM")</f>
        <v>Dec</v>
      </c>
      <c r="M1582" t="str">
        <f>IF(Table1[[#This Row],[Profit]]&gt;=10000,"Excellent",IF(Table1[[#This Row],[Profit]]&gt;5000,"Good","Low"))</f>
        <v>Low</v>
      </c>
      <c r="N1582" t="str">
        <f>TEXT(Table1[[#This Row],[Order_Date]],"YYYY")</f>
        <v>2025</v>
      </c>
    </row>
    <row r="1583" spans="1:14" x14ac:dyDescent="0.25">
      <c r="A1583" s="1">
        <v>45173</v>
      </c>
      <c r="B1583" t="s">
        <v>11</v>
      </c>
      <c r="C1583" t="s">
        <v>36</v>
      </c>
      <c r="D1583">
        <v>23265</v>
      </c>
      <c r="E1583">
        <v>13912</v>
      </c>
      <c r="F1583">
        <v>9353</v>
      </c>
      <c r="G1583" t="s">
        <v>19</v>
      </c>
      <c r="H1583" t="s">
        <v>31</v>
      </c>
      <c r="I1583" t="s">
        <v>53</v>
      </c>
      <c r="J1583" s="2">
        <f>Table1[[#This Row],[Profit]]/Table1[[#This Row],[Sales]]*100</f>
        <v>40.202020202020201</v>
      </c>
      <c r="K1583" t="str">
        <f>IF(Table1[[#This Row],[Sales]]&gt;=30000,"High", IF(Table1[[#This Row],[Sales]]&gt;=15000,"Medium","Low"))</f>
        <v>Medium</v>
      </c>
      <c r="L1583" t="str">
        <f>TEXT(Table1[[#This Row],[Order_Date]],"MMM")</f>
        <v>Sep</v>
      </c>
      <c r="M1583" t="str">
        <f>IF(Table1[[#This Row],[Profit]]&gt;=10000,"Excellent",IF(Table1[[#This Row],[Profit]]&gt;5000,"Good","Low"))</f>
        <v>Good</v>
      </c>
      <c r="N1583" t="str">
        <f>TEXT(Table1[[#This Row],[Order_Date]],"YYYY")</f>
        <v>2023</v>
      </c>
    </row>
    <row r="1584" spans="1:14" x14ac:dyDescent="0.25">
      <c r="A1584" s="1">
        <v>45440</v>
      </c>
      <c r="B1584" t="s">
        <v>17</v>
      </c>
      <c r="C1584" t="s">
        <v>36</v>
      </c>
      <c r="D1584">
        <v>37283</v>
      </c>
      <c r="E1584">
        <v>28208</v>
      </c>
      <c r="F1584">
        <v>9075</v>
      </c>
      <c r="G1584" t="s">
        <v>27</v>
      </c>
      <c r="H1584" t="s">
        <v>63</v>
      </c>
      <c r="I1584" t="s">
        <v>24</v>
      </c>
      <c r="J1584" s="2">
        <f>Table1[[#This Row],[Profit]]/Table1[[#This Row],[Sales]]*100</f>
        <v>24.3408523992168</v>
      </c>
      <c r="K1584" t="str">
        <f>IF(Table1[[#This Row],[Sales]]&gt;=30000,"High", IF(Table1[[#This Row],[Sales]]&gt;=15000,"Medium","Low"))</f>
        <v>High</v>
      </c>
      <c r="L1584" t="str">
        <f>TEXT(Table1[[#This Row],[Order_Date]],"MMM")</f>
        <v>May</v>
      </c>
      <c r="M1584" t="str">
        <f>IF(Table1[[#This Row],[Profit]]&gt;=10000,"Excellent",IF(Table1[[#This Row],[Profit]]&gt;5000,"Good","Low"))</f>
        <v>Good</v>
      </c>
      <c r="N1584" t="str">
        <f>TEXT(Table1[[#This Row],[Order_Date]],"YYYY")</f>
        <v>2024</v>
      </c>
    </row>
    <row r="1585" spans="1:14" x14ac:dyDescent="0.25">
      <c r="A1585" s="1">
        <v>45264</v>
      </c>
      <c r="B1585" t="s">
        <v>11</v>
      </c>
      <c r="C1585" t="s">
        <v>33</v>
      </c>
      <c r="D1585">
        <v>17738</v>
      </c>
      <c r="E1585">
        <v>4295</v>
      </c>
      <c r="F1585">
        <v>13443</v>
      </c>
      <c r="G1585" t="s">
        <v>13</v>
      </c>
      <c r="H1585" t="s">
        <v>28</v>
      </c>
      <c r="I1585" t="s">
        <v>42</v>
      </c>
      <c r="J1585" s="2">
        <f>Table1[[#This Row],[Profit]]/Table1[[#This Row],[Sales]]*100</f>
        <v>75.78644717555531</v>
      </c>
      <c r="K1585" t="str">
        <f>IF(Table1[[#This Row],[Sales]]&gt;=30000,"High", IF(Table1[[#This Row],[Sales]]&gt;=15000,"Medium","Low"))</f>
        <v>Medium</v>
      </c>
      <c r="L1585" t="str">
        <f>TEXT(Table1[[#This Row],[Order_Date]],"MMM")</f>
        <v>Dec</v>
      </c>
      <c r="M1585" t="str">
        <f>IF(Table1[[#This Row],[Profit]]&gt;=10000,"Excellent",IF(Table1[[#This Row],[Profit]]&gt;5000,"Good","Low"))</f>
        <v>Excellent</v>
      </c>
      <c r="N1585" t="str">
        <f>TEXT(Table1[[#This Row],[Order_Date]],"YYYY")</f>
        <v>2023</v>
      </c>
    </row>
    <row r="1586" spans="1:14" x14ac:dyDescent="0.25">
      <c r="A1586" s="1">
        <v>45599</v>
      </c>
      <c r="B1586" t="s">
        <v>26</v>
      </c>
      <c r="C1586" t="s">
        <v>18</v>
      </c>
      <c r="D1586">
        <v>12263</v>
      </c>
      <c r="E1586">
        <v>1881</v>
      </c>
      <c r="F1586">
        <v>10382</v>
      </c>
      <c r="G1586" t="s">
        <v>19</v>
      </c>
      <c r="H1586" t="s">
        <v>78</v>
      </c>
      <c r="I1586" t="s">
        <v>29</v>
      </c>
      <c r="J1586" s="2">
        <f>Table1[[#This Row],[Profit]]/Table1[[#This Row],[Sales]]*100</f>
        <v>84.661175894968608</v>
      </c>
      <c r="K1586" t="str">
        <f>IF(Table1[[#This Row],[Sales]]&gt;=30000,"High", IF(Table1[[#This Row],[Sales]]&gt;=15000,"Medium","Low"))</f>
        <v>Low</v>
      </c>
      <c r="L1586" t="str">
        <f>TEXT(Table1[[#This Row],[Order_Date]],"MMM")</f>
        <v>Nov</v>
      </c>
      <c r="M1586" t="str">
        <f>IF(Table1[[#This Row],[Profit]]&gt;=10000,"Excellent",IF(Table1[[#This Row],[Profit]]&gt;5000,"Good","Low"))</f>
        <v>Excellent</v>
      </c>
      <c r="N1586" t="str">
        <f>TEXT(Table1[[#This Row],[Order_Date]],"YYYY")</f>
        <v>2024</v>
      </c>
    </row>
    <row r="1587" spans="1:14" x14ac:dyDescent="0.25">
      <c r="A1587" s="1">
        <v>46018</v>
      </c>
      <c r="B1587" t="s">
        <v>11</v>
      </c>
      <c r="C1587" t="s">
        <v>33</v>
      </c>
      <c r="D1587">
        <v>45704</v>
      </c>
      <c r="E1587">
        <v>44406</v>
      </c>
      <c r="F1587">
        <v>1298</v>
      </c>
      <c r="G1587" t="s">
        <v>38</v>
      </c>
      <c r="H1587" t="s">
        <v>14</v>
      </c>
      <c r="I1587" t="s">
        <v>24</v>
      </c>
      <c r="J1587" s="2">
        <f>Table1[[#This Row],[Profit]]/Table1[[#This Row],[Sales]]*100</f>
        <v>2.8400140031507091</v>
      </c>
      <c r="K1587" t="str">
        <f>IF(Table1[[#This Row],[Sales]]&gt;=30000,"High", IF(Table1[[#This Row],[Sales]]&gt;=15000,"Medium","Low"))</f>
        <v>High</v>
      </c>
      <c r="L1587" t="str">
        <f>TEXT(Table1[[#This Row],[Order_Date]],"MMM")</f>
        <v>Dec</v>
      </c>
      <c r="M1587" t="str">
        <f>IF(Table1[[#This Row],[Profit]]&gt;=10000,"Excellent",IF(Table1[[#This Row],[Profit]]&gt;5000,"Good","Low"))</f>
        <v>Low</v>
      </c>
      <c r="N1587" t="str">
        <f>TEXT(Table1[[#This Row],[Order_Date]],"YYYY")</f>
        <v>2025</v>
      </c>
    </row>
    <row r="1588" spans="1:14" x14ac:dyDescent="0.25">
      <c r="A1588" s="1">
        <v>45748</v>
      </c>
      <c r="B1588" t="s">
        <v>26</v>
      </c>
      <c r="C1588" t="s">
        <v>33</v>
      </c>
      <c r="D1588">
        <v>41927</v>
      </c>
      <c r="E1588">
        <v>24552</v>
      </c>
      <c r="F1588">
        <v>17375</v>
      </c>
      <c r="G1588" t="s">
        <v>19</v>
      </c>
      <c r="H1588" t="s">
        <v>78</v>
      </c>
      <c r="I1588" t="s">
        <v>24</v>
      </c>
      <c r="J1588" s="2">
        <f>Table1[[#This Row],[Profit]]/Table1[[#This Row],[Sales]]*100</f>
        <v>41.441076156176209</v>
      </c>
      <c r="K1588" t="str">
        <f>IF(Table1[[#This Row],[Sales]]&gt;=30000,"High", IF(Table1[[#This Row],[Sales]]&gt;=15000,"Medium","Low"))</f>
        <v>High</v>
      </c>
      <c r="L1588" t="str">
        <f>TEXT(Table1[[#This Row],[Order_Date]],"MMM")</f>
        <v>Apr</v>
      </c>
      <c r="M1588" t="str">
        <f>IF(Table1[[#This Row],[Profit]]&gt;=10000,"Excellent",IF(Table1[[#This Row],[Profit]]&gt;5000,"Good","Low"))</f>
        <v>Excellent</v>
      </c>
      <c r="N1588" t="str">
        <f>TEXT(Table1[[#This Row],[Order_Date]],"YYYY")</f>
        <v>2025</v>
      </c>
    </row>
    <row r="1589" spans="1:14" x14ac:dyDescent="0.25">
      <c r="A1589" s="1">
        <v>45418</v>
      </c>
      <c r="B1589" t="s">
        <v>26</v>
      </c>
      <c r="C1589" t="s">
        <v>18</v>
      </c>
      <c r="D1589">
        <v>22321</v>
      </c>
      <c r="E1589">
        <v>6143</v>
      </c>
      <c r="F1589">
        <v>16178</v>
      </c>
      <c r="G1589" t="s">
        <v>27</v>
      </c>
      <c r="H1589" t="s">
        <v>78</v>
      </c>
      <c r="I1589" t="s">
        <v>15</v>
      </c>
      <c r="J1589" s="2">
        <f>Table1[[#This Row],[Profit]]/Table1[[#This Row],[Sales]]*100</f>
        <v>72.478831593566596</v>
      </c>
      <c r="K1589" t="str">
        <f>IF(Table1[[#This Row],[Sales]]&gt;=30000,"High", IF(Table1[[#This Row],[Sales]]&gt;=15000,"Medium","Low"))</f>
        <v>Medium</v>
      </c>
      <c r="L1589" t="str">
        <f>TEXT(Table1[[#This Row],[Order_Date]],"MMM")</f>
        <v>May</v>
      </c>
      <c r="M1589" t="str">
        <f>IF(Table1[[#This Row],[Profit]]&gt;=10000,"Excellent",IF(Table1[[#This Row],[Profit]]&gt;5000,"Good","Low"))</f>
        <v>Excellent</v>
      </c>
      <c r="N1589" t="str">
        <f>TEXT(Table1[[#This Row],[Order_Date]],"YYYY")</f>
        <v>2024</v>
      </c>
    </row>
    <row r="1590" spans="1:14" x14ac:dyDescent="0.25">
      <c r="A1590" s="1">
        <v>45773</v>
      </c>
      <c r="B1590" t="s">
        <v>44</v>
      </c>
      <c r="C1590" t="s">
        <v>18</v>
      </c>
      <c r="D1590">
        <v>42501</v>
      </c>
      <c r="E1590">
        <v>38619</v>
      </c>
      <c r="F1590">
        <v>3882</v>
      </c>
      <c r="G1590" t="s">
        <v>19</v>
      </c>
      <c r="H1590" t="s">
        <v>23</v>
      </c>
      <c r="I1590" t="s">
        <v>42</v>
      </c>
      <c r="J1590" s="2">
        <f>Table1[[#This Row],[Profit]]/Table1[[#This Row],[Sales]]*100</f>
        <v>9.1339027317004309</v>
      </c>
      <c r="K1590" t="str">
        <f>IF(Table1[[#This Row],[Sales]]&gt;=30000,"High", IF(Table1[[#This Row],[Sales]]&gt;=15000,"Medium","Low"))</f>
        <v>High</v>
      </c>
      <c r="L1590" t="str">
        <f>TEXT(Table1[[#This Row],[Order_Date]],"MMM")</f>
        <v>Apr</v>
      </c>
      <c r="M1590" t="str">
        <f>IF(Table1[[#This Row],[Profit]]&gt;=10000,"Excellent",IF(Table1[[#This Row],[Profit]]&gt;5000,"Good","Low"))</f>
        <v>Low</v>
      </c>
      <c r="N1590" t="str">
        <f>TEXT(Table1[[#This Row],[Order_Date]],"YYYY")</f>
        <v>2025</v>
      </c>
    </row>
    <row r="1591" spans="1:14" x14ac:dyDescent="0.25">
      <c r="A1591" s="1">
        <v>45861</v>
      </c>
      <c r="B1591" t="s">
        <v>17</v>
      </c>
      <c r="C1591" t="s">
        <v>41</v>
      </c>
      <c r="D1591">
        <v>19755</v>
      </c>
      <c r="E1591">
        <v>6229</v>
      </c>
      <c r="F1591">
        <v>13526</v>
      </c>
      <c r="G1591" t="s">
        <v>38</v>
      </c>
      <c r="H1591" t="s">
        <v>28</v>
      </c>
      <c r="I1591" t="s">
        <v>15</v>
      </c>
      <c r="J1591" s="2">
        <f>Table1[[#This Row],[Profit]]/Table1[[#This Row],[Sales]]*100</f>
        <v>68.468742090609965</v>
      </c>
      <c r="K1591" t="str">
        <f>IF(Table1[[#This Row],[Sales]]&gt;=30000,"High", IF(Table1[[#This Row],[Sales]]&gt;=15000,"Medium","Low"))</f>
        <v>Medium</v>
      </c>
      <c r="L1591" t="str">
        <f>TEXT(Table1[[#This Row],[Order_Date]],"MMM")</f>
        <v>Jul</v>
      </c>
      <c r="M1591" t="str">
        <f>IF(Table1[[#This Row],[Profit]]&gt;=10000,"Excellent",IF(Table1[[#This Row],[Profit]]&gt;5000,"Good","Low"))</f>
        <v>Excellent</v>
      </c>
      <c r="N1591" t="str">
        <f>TEXT(Table1[[#This Row],[Order_Date]],"YYYY")</f>
        <v>2025</v>
      </c>
    </row>
    <row r="1592" spans="1:14" x14ac:dyDescent="0.25">
      <c r="A1592" s="1">
        <v>45641</v>
      </c>
      <c r="B1592" t="s">
        <v>17</v>
      </c>
      <c r="C1592" t="s">
        <v>18</v>
      </c>
      <c r="D1592">
        <v>13910</v>
      </c>
      <c r="E1592">
        <v>43</v>
      </c>
      <c r="F1592">
        <v>13867</v>
      </c>
      <c r="G1592" t="s">
        <v>13</v>
      </c>
      <c r="H1592" t="s">
        <v>31</v>
      </c>
      <c r="I1592" t="s">
        <v>15</v>
      </c>
      <c r="J1592" s="2">
        <f>Table1[[#This Row],[Profit]]/Table1[[#This Row],[Sales]]*100</f>
        <v>99.690869877785772</v>
      </c>
      <c r="K1592" t="str">
        <f>IF(Table1[[#This Row],[Sales]]&gt;=30000,"High", IF(Table1[[#This Row],[Sales]]&gt;=15000,"Medium","Low"))</f>
        <v>Low</v>
      </c>
      <c r="L1592" t="str">
        <f>TEXT(Table1[[#This Row],[Order_Date]],"MMM")</f>
        <v>Dec</v>
      </c>
      <c r="M1592" t="str">
        <f>IF(Table1[[#This Row],[Profit]]&gt;=10000,"Excellent",IF(Table1[[#This Row],[Profit]]&gt;5000,"Good","Low"))</f>
        <v>Excellent</v>
      </c>
      <c r="N1592" t="str">
        <f>TEXT(Table1[[#This Row],[Order_Date]],"YYYY")</f>
        <v>2024</v>
      </c>
    </row>
    <row r="1593" spans="1:14" x14ac:dyDescent="0.25">
      <c r="A1593" s="1">
        <v>45674</v>
      </c>
      <c r="B1593" t="s">
        <v>22</v>
      </c>
      <c r="C1593" t="s">
        <v>36</v>
      </c>
      <c r="D1593">
        <v>45074</v>
      </c>
      <c r="E1593">
        <v>33747</v>
      </c>
      <c r="F1593">
        <v>11327</v>
      </c>
      <c r="G1593" t="s">
        <v>19</v>
      </c>
      <c r="H1593" t="s">
        <v>20</v>
      </c>
      <c r="I1593" t="s">
        <v>53</v>
      </c>
      <c r="J1593" s="2">
        <f>Table1[[#This Row],[Profit]]/Table1[[#This Row],[Sales]]*100</f>
        <v>25.129786573190753</v>
      </c>
      <c r="K1593" t="str">
        <f>IF(Table1[[#This Row],[Sales]]&gt;=30000,"High", IF(Table1[[#This Row],[Sales]]&gt;=15000,"Medium","Low"))</f>
        <v>High</v>
      </c>
      <c r="L1593" t="str">
        <f>TEXT(Table1[[#This Row],[Order_Date]],"MMM")</f>
        <v>Jan</v>
      </c>
      <c r="M1593" t="str">
        <f>IF(Table1[[#This Row],[Profit]]&gt;=10000,"Excellent",IF(Table1[[#This Row],[Profit]]&gt;5000,"Good","Low"))</f>
        <v>Excellent</v>
      </c>
      <c r="N1593" t="str">
        <f>TEXT(Table1[[#This Row],[Order_Date]],"YYYY")</f>
        <v>2025</v>
      </c>
    </row>
    <row r="1594" spans="1:14" x14ac:dyDescent="0.25">
      <c r="A1594" s="1">
        <v>45836</v>
      </c>
      <c r="B1594" t="s">
        <v>44</v>
      </c>
      <c r="C1594" t="s">
        <v>36</v>
      </c>
      <c r="D1594">
        <v>23455</v>
      </c>
      <c r="E1594">
        <v>18934</v>
      </c>
      <c r="F1594">
        <v>4521</v>
      </c>
      <c r="G1594" t="s">
        <v>19</v>
      </c>
      <c r="H1594" t="s">
        <v>78</v>
      </c>
      <c r="I1594" t="s">
        <v>15</v>
      </c>
      <c r="J1594" s="2">
        <f>Table1[[#This Row],[Profit]]/Table1[[#This Row],[Sales]]*100</f>
        <v>19.275207844809209</v>
      </c>
      <c r="K1594" t="str">
        <f>IF(Table1[[#This Row],[Sales]]&gt;=30000,"High", IF(Table1[[#This Row],[Sales]]&gt;=15000,"Medium","Low"))</f>
        <v>Medium</v>
      </c>
      <c r="L1594" t="str">
        <f>TEXT(Table1[[#This Row],[Order_Date]],"MMM")</f>
        <v>Jun</v>
      </c>
      <c r="M1594" t="str">
        <f>IF(Table1[[#This Row],[Profit]]&gt;=10000,"Excellent",IF(Table1[[#This Row],[Profit]]&gt;5000,"Good","Low"))</f>
        <v>Low</v>
      </c>
      <c r="N1594" t="str">
        <f>TEXT(Table1[[#This Row],[Order_Date]],"YYYY")</f>
        <v>2025</v>
      </c>
    </row>
    <row r="1595" spans="1:14" x14ac:dyDescent="0.25">
      <c r="A1595" s="1">
        <v>45982</v>
      </c>
      <c r="B1595" t="s">
        <v>22</v>
      </c>
      <c r="C1595" t="s">
        <v>41</v>
      </c>
      <c r="D1595">
        <v>18579</v>
      </c>
      <c r="E1595">
        <v>17548</v>
      </c>
      <c r="F1595">
        <v>1031</v>
      </c>
      <c r="G1595" t="s">
        <v>27</v>
      </c>
      <c r="H1595" t="s">
        <v>60</v>
      </c>
      <c r="I1595" t="s">
        <v>15</v>
      </c>
      <c r="J1595" s="2">
        <f>Table1[[#This Row],[Profit]]/Table1[[#This Row],[Sales]]*100</f>
        <v>5.5492760643737551</v>
      </c>
      <c r="K1595" t="str">
        <f>IF(Table1[[#This Row],[Sales]]&gt;=30000,"High", IF(Table1[[#This Row],[Sales]]&gt;=15000,"Medium","Low"))</f>
        <v>Medium</v>
      </c>
      <c r="L1595" t="str">
        <f>TEXT(Table1[[#This Row],[Order_Date]],"MMM")</f>
        <v>Nov</v>
      </c>
      <c r="M1595" t="str">
        <f>IF(Table1[[#This Row],[Profit]]&gt;=10000,"Excellent",IF(Table1[[#This Row],[Profit]]&gt;5000,"Good","Low"))</f>
        <v>Low</v>
      </c>
      <c r="N1595" t="str">
        <f>TEXT(Table1[[#This Row],[Order_Date]],"YYYY")</f>
        <v>2025</v>
      </c>
    </row>
    <row r="1596" spans="1:14" x14ac:dyDescent="0.25">
      <c r="A1596" s="1">
        <v>45200</v>
      </c>
      <c r="B1596" t="s">
        <v>11</v>
      </c>
      <c r="C1596" t="s">
        <v>12</v>
      </c>
      <c r="D1596">
        <v>7065</v>
      </c>
      <c r="E1596">
        <v>5562</v>
      </c>
      <c r="F1596">
        <v>1503</v>
      </c>
      <c r="G1596" t="s">
        <v>19</v>
      </c>
      <c r="H1596" t="s">
        <v>60</v>
      </c>
      <c r="I1596" t="s">
        <v>29</v>
      </c>
      <c r="J1596" s="2">
        <f>Table1[[#This Row],[Profit]]/Table1[[#This Row],[Sales]]*100</f>
        <v>21.273885350318473</v>
      </c>
      <c r="K1596" t="str">
        <f>IF(Table1[[#This Row],[Sales]]&gt;=30000,"High", IF(Table1[[#This Row],[Sales]]&gt;=15000,"Medium","Low"))</f>
        <v>Low</v>
      </c>
      <c r="L1596" t="str">
        <f>TEXT(Table1[[#This Row],[Order_Date]],"MMM")</f>
        <v>Oct</v>
      </c>
      <c r="M1596" t="str">
        <f>IF(Table1[[#This Row],[Profit]]&gt;=10000,"Excellent",IF(Table1[[#This Row],[Profit]]&gt;5000,"Good","Low"))</f>
        <v>Low</v>
      </c>
      <c r="N1596" t="str">
        <f>TEXT(Table1[[#This Row],[Order_Date]],"YYYY")</f>
        <v>2023</v>
      </c>
    </row>
    <row r="1597" spans="1:14" x14ac:dyDescent="0.25">
      <c r="A1597" s="1">
        <v>46111</v>
      </c>
      <c r="B1597" t="s">
        <v>17</v>
      </c>
      <c r="C1597" t="s">
        <v>18</v>
      </c>
      <c r="D1597">
        <v>16296</v>
      </c>
      <c r="E1597">
        <v>6710</v>
      </c>
      <c r="F1597">
        <v>9586</v>
      </c>
      <c r="G1597" t="s">
        <v>13</v>
      </c>
      <c r="H1597" t="s">
        <v>14</v>
      </c>
      <c r="I1597" t="s">
        <v>24</v>
      </c>
      <c r="J1597" s="2">
        <f>Table1[[#This Row],[Profit]]/Table1[[#This Row],[Sales]]*100</f>
        <v>58.824251350024547</v>
      </c>
      <c r="K1597" t="str">
        <f>IF(Table1[[#This Row],[Sales]]&gt;=30000,"High", IF(Table1[[#This Row],[Sales]]&gt;=15000,"Medium","Low"))</f>
        <v>Medium</v>
      </c>
      <c r="L1597" t="str">
        <f>TEXT(Table1[[#This Row],[Order_Date]],"MMM")</f>
        <v>Mar</v>
      </c>
      <c r="M1597" t="str">
        <f>IF(Table1[[#This Row],[Profit]]&gt;=10000,"Excellent",IF(Table1[[#This Row],[Profit]]&gt;5000,"Good","Low"))</f>
        <v>Good</v>
      </c>
      <c r="N1597" t="str">
        <f>TEXT(Table1[[#This Row],[Order_Date]],"YYYY")</f>
        <v>2026</v>
      </c>
    </row>
    <row r="1598" spans="1:14" x14ac:dyDescent="0.25">
      <c r="A1598" s="1">
        <v>45365</v>
      </c>
      <c r="B1598" t="s">
        <v>22</v>
      </c>
      <c r="C1598" t="s">
        <v>36</v>
      </c>
      <c r="D1598">
        <v>45443</v>
      </c>
      <c r="E1598">
        <v>33141</v>
      </c>
      <c r="F1598">
        <v>12302</v>
      </c>
      <c r="G1598" t="s">
        <v>19</v>
      </c>
      <c r="H1598" t="s">
        <v>45</v>
      </c>
      <c r="I1598" t="s">
        <v>24</v>
      </c>
      <c r="J1598" s="2">
        <f>Table1[[#This Row],[Profit]]/Table1[[#This Row],[Sales]]*100</f>
        <v>27.071276104130447</v>
      </c>
      <c r="K1598" t="str">
        <f>IF(Table1[[#This Row],[Sales]]&gt;=30000,"High", IF(Table1[[#This Row],[Sales]]&gt;=15000,"Medium","Low"))</f>
        <v>High</v>
      </c>
      <c r="L1598" t="str">
        <f>TEXT(Table1[[#This Row],[Order_Date]],"MMM")</f>
        <v>Mar</v>
      </c>
      <c r="M1598" t="str">
        <f>IF(Table1[[#This Row],[Profit]]&gt;=10000,"Excellent",IF(Table1[[#This Row],[Profit]]&gt;5000,"Good","Low"))</f>
        <v>Excellent</v>
      </c>
      <c r="N1598" t="str">
        <f>TEXT(Table1[[#This Row],[Order_Date]],"YYYY")</f>
        <v>2024</v>
      </c>
    </row>
    <row r="1599" spans="1:14" x14ac:dyDescent="0.25">
      <c r="A1599" s="1">
        <v>45704</v>
      </c>
      <c r="B1599" t="s">
        <v>26</v>
      </c>
      <c r="C1599" t="s">
        <v>36</v>
      </c>
      <c r="D1599">
        <v>28806</v>
      </c>
      <c r="E1599">
        <v>16468</v>
      </c>
      <c r="F1599">
        <v>12338</v>
      </c>
      <c r="G1599" t="s">
        <v>38</v>
      </c>
      <c r="H1599" t="s">
        <v>14</v>
      </c>
      <c r="I1599" t="s">
        <v>53</v>
      </c>
      <c r="J1599" s="2">
        <f>Table1[[#This Row],[Profit]]/Table1[[#This Row],[Sales]]*100</f>
        <v>42.831354578907174</v>
      </c>
      <c r="K1599" t="str">
        <f>IF(Table1[[#This Row],[Sales]]&gt;=30000,"High", IF(Table1[[#This Row],[Sales]]&gt;=15000,"Medium","Low"))</f>
        <v>Medium</v>
      </c>
      <c r="L1599" t="str">
        <f>TEXT(Table1[[#This Row],[Order_Date]],"MMM")</f>
        <v>Feb</v>
      </c>
      <c r="M1599" t="str">
        <f>IF(Table1[[#This Row],[Profit]]&gt;=10000,"Excellent",IF(Table1[[#This Row],[Profit]]&gt;5000,"Good","Low"))</f>
        <v>Excellent</v>
      </c>
      <c r="N1599" t="str">
        <f>TEXT(Table1[[#This Row],[Order_Date]],"YYYY")</f>
        <v>2025</v>
      </c>
    </row>
    <row r="1600" spans="1:14" x14ac:dyDescent="0.25">
      <c r="A1600" s="1">
        <v>45441</v>
      </c>
      <c r="B1600" t="s">
        <v>22</v>
      </c>
      <c r="C1600" t="s">
        <v>18</v>
      </c>
      <c r="D1600">
        <v>15374</v>
      </c>
      <c r="E1600">
        <v>13079</v>
      </c>
      <c r="F1600">
        <v>2295</v>
      </c>
      <c r="G1600" t="s">
        <v>19</v>
      </c>
      <c r="H1600" t="s">
        <v>14</v>
      </c>
      <c r="I1600" t="s">
        <v>29</v>
      </c>
      <c r="J1600" s="2">
        <f>Table1[[#This Row],[Profit]]/Table1[[#This Row],[Sales]]*100</f>
        <v>14.927800182125667</v>
      </c>
      <c r="K1600" t="str">
        <f>IF(Table1[[#This Row],[Sales]]&gt;=30000,"High", IF(Table1[[#This Row],[Sales]]&gt;=15000,"Medium","Low"))</f>
        <v>Medium</v>
      </c>
      <c r="L1600" t="str">
        <f>TEXT(Table1[[#This Row],[Order_Date]],"MMM")</f>
        <v>May</v>
      </c>
      <c r="M1600" t="str">
        <f>IF(Table1[[#This Row],[Profit]]&gt;=10000,"Excellent",IF(Table1[[#This Row],[Profit]]&gt;5000,"Good","Low"))</f>
        <v>Low</v>
      </c>
      <c r="N1600" t="str">
        <f>TEXT(Table1[[#This Row],[Order_Date]],"YYYY")</f>
        <v>2024</v>
      </c>
    </row>
    <row r="1601" spans="1:14" x14ac:dyDescent="0.25">
      <c r="A1601" s="1">
        <v>45328</v>
      </c>
      <c r="B1601" t="s">
        <v>17</v>
      </c>
      <c r="C1601" t="s">
        <v>18</v>
      </c>
      <c r="D1601">
        <v>33995</v>
      </c>
      <c r="E1601">
        <v>23632</v>
      </c>
      <c r="F1601">
        <v>10363</v>
      </c>
      <c r="G1601" t="s">
        <v>13</v>
      </c>
      <c r="H1601" t="s">
        <v>31</v>
      </c>
      <c r="I1601" t="s">
        <v>24</v>
      </c>
      <c r="J1601" s="2">
        <f>Table1[[#This Row],[Profit]]/Table1[[#This Row],[Sales]]*100</f>
        <v>30.483894690395648</v>
      </c>
      <c r="K1601" t="str">
        <f>IF(Table1[[#This Row],[Sales]]&gt;=30000,"High", IF(Table1[[#This Row],[Sales]]&gt;=15000,"Medium","Low"))</f>
        <v>High</v>
      </c>
      <c r="L1601" t="str">
        <f>TEXT(Table1[[#This Row],[Order_Date]],"MMM")</f>
        <v>Feb</v>
      </c>
      <c r="M1601" t="str">
        <f>IF(Table1[[#This Row],[Profit]]&gt;=10000,"Excellent",IF(Table1[[#This Row],[Profit]]&gt;5000,"Good","Low"))</f>
        <v>Excellent</v>
      </c>
      <c r="N1601" t="str">
        <f>TEXT(Table1[[#This Row],[Order_Date]],"YYYY")</f>
        <v>2024</v>
      </c>
    </row>
    <row r="1602" spans="1:14" x14ac:dyDescent="0.25">
      <c r="A1602" s="1">
        <v>45913</v>
      </c>
      <c r="B1602" t="s">
        <v>11</v>
      </c>
      <c r="C1602" t="s">
        <v>36</v>
      </c>
      <c r="D1602">
        <v>43125</v>
      </c>
      <c r="E1602">
        <v>27578</v>
      </c>
      <c r="F1602">
        <v>15547</v>
      </c>
      <c r="G1602" t="s">
        <v>27</v>
      </c>
      <c r="H1602" t="s">
        <v>14</v>
      </c>
      <c r="I1602" t="s">
        <v>29</v>
      </c>
      <c r="J1602" s="2">
        <f>Table1[[#This Row],[Profit]]/Table1[[#This Row],[Sales]]*100</f>
        <v>36.051014492753623</v>
      </c>
      <c r="K1602" t="str">
        <f>IF(Table1[[#This Row],[Sales]]&gt;=30000,"High", IF(Table1[[#This Row],[Sales]]&gt;=15000,"Medium","Low"))</f>
        <v>High</v>
      </c>
      <c r="L1602" t="str">
        <f>TEXT(Table1[[#This Row],[Order_Date]],"MMM")</f>
        <v>Sep</v>
      </c>
      <c r="M1602" t="str">
        <f>IF(Table1[[#This Row],[Profit]]&gt;=10000,"Excellent",IF(Table1[[#This Row],[Profit]]&gt;5000,"Good","Low"))</f>
        <v>Excellent</v>
      </c>
      <c r="N1602" t="str">
        <f>TEXT(Table1[[#This Row],[Order_Date]],"YYYY")</f>
        <v>2025</v>
      </c>
    </row>
    <row r="1603" spans="1:14" x14ac:dyDescent="0.25">
      <c r="A1603" s="1">
        <v>46175</v>
      </c>
      <c r="B1603" t="s">
        <v>22</v>
      </c>
      <c r="C1603" t="s">
        <v>12</v>
      </c>
      <c r="D1603">
        <v>23204</v>
      </c>
      <c r="E1603">
        <v>9056</v>
      </c>
      <c r="F1603">
        <v>14148</v>
      </c>
      <c r="G1603" t="s">
        <v>38</v>
      </c>
      <c r="H1603" t="s">
        <v>20</v>
      </c>
      <c r="I1603" t="s">
        <v>29</v>
      </c>
      <c r="J1603" s="2">
        <f>Table1[[#This Row],[Profit]]/Table1[[#This Row],[Sales]]*100</f>
        <v>60.972246164454404</v>
      </c>
      <c r="K1603" t="str">
        <f>IF(Table1[[#This Row],[Sales]]&gt;=30000,"High", IF(Table1[[#This Row],[Sales]]&gt;=15000,"Medium","Low"))</f>
        <v>Medium</v>
      </c>
      <c r="L1603" t="str">
        <f>TEXT(Table1[[#This Row],[Order_Date]],"MMM")</f>
        <v>Jun</v>
      </c>
      <c r="M1603" t="str">
        <f>IF(Table1[[#This Row],[Profit]]&gt;=10000,"Excellent",IF(Table1[[#This Row],[Profit]]&gt;5000,"Good","Low"))</f>
        <v>Excellent</v>
      </c>
      <c r="N1603" t="str">
        <f>TEXT(Table1[[#This Row],[Order_Date]],"YYYY")</f>
        <v>2026</v>
      </c>
    </row>
    <row r="1604" spans="1:14" x14ac:dyDescent="0.25">
      <c r="A1604" s="1">
        <v>46175</v>
      </c>
      <c r="B1604" t="s">
        <v>17</v>
      </c>
      <c r="C1604" t="s">
        <v>18</v>
      </c>
      <c r="D1604">
        <v>38037</v>
      </c>
      <c r="E1604">
        <v>28830</v>
      </c>
      <c r="F1604">
        <v>9207</v>
      </c>
      <c r="G1604" t="s">
        <v>19</v>
      </c>
      <c r="H1604" t="s">
        <v>14</v>
      </c>
      <c r="I1604" t="s">
        <v>29</v>
      </c>
      <c r="J1604" s="2">
        <f>Table1[[#This Row],[Profit]]/Table1[[#This Row],[Sales]]*100</f>
        <v>24.205378973105134</v>
      </c>
      <c r="K1604" t="str">
        <f>IF(Table1[[#This Row],[Sales]]&gt;=30000,"High", IF(Table1[[#This Row],[Sales]]&gt;=15000,"Medium","Low"))</f>
        <v>High</v>
      </c>
      <c r="L1604" t="str">
        <f>TEXT(Table1[[#This Row],[Order_Date]],"MMM")</f>
        <v>Jun</v>
      </c>
      <c r="M1604" t="str">
        <f>IF(Table1[[#This Row],[Profit]]&gt;=10000,"Excellent",IF(Table1[[#This Row],[Profit]]&gt;5000,"Good","Low"))</f>
        <v>Good</v>
      </c>
      <c r="N1604" t="str">
        <f>TEXT(Table1[[#This Row],[Order_Date]],"YYYY")</f>
        <v>2026</v>
      </c>
    </row>
    <row r="1605" spans="1:14" x14ac:dyDescent="0.25">
      <c r="A1605" s="1">
        <v>45663</v>
      </c>
      <c r="B1605" t="s">
        <v>44</v>
      </c>
      <c r="C1605" t="s">
        <v>41</v>
      </c>
      <c r="D1605">
        <v>37913</v>
      </c>
      <c r="E1605">
        <v>26801</v>
      </c>
      <c r="F1605">
        <v>11112</v>
      </c>
      <c r="G1605" t="s">
        <v>27</v>
      </c>
      <c r="H1605" t="s">
        <v>78</v>
      </c>
      <c r="I1605" t="s">
        <v>53</v>
      </c>
      <c r="J1605" s="2">
        <f>Table1[[#This Row],[Profit]]/Table1[[#This Row],[Sales]]*100</f>
        <v>29.30920792340358</v>
      </c>
      <c r="K1605" t="str">
        <f>IF(Table1[[#This Row],[Sales]]&gt;=30000,"High", IF(Table1[[#This Row],[Sales]]&gt;=15000,"Medium","Low"))</f>
        <v>High</v>
      </c>
      <c r="L1605" t="str">
        <f>TEXT(Table1[[#This Row],[Order_Date]],"MMM")</f>
        <v>Jan</v>
      </c>
      <c r="M1605" t="str">
        <f>IF(Table1[[#This Row],[Profit]]&gt;=10000,"Excellent",IF(Table1[[#This Row],[Profit]]&gt;5000,"Good","Low"))</f>
        <v>Excellent</v>
      </c>
      <c r="N1605" t="str">
        <f>TEXT(Table1[[#This Row],[Order_Date]],"YYYY")</f>
        <v>2025</v>
      </c>
    </row>
    <row r="1606" spans="1:14" x14ac:dyDescent="0.25">
      <c r="A1606" s="1">
        <v>45804</v>
      </c>
      <c r="B1606" t="s">
        <v>26</v>
      </c>
      <c r="C1606" t="s">
        <v>12</v>
      </c>
      <c r="D1606">
        <v>48217</v>
      </c>
      <c r="E1606">
        <v>42114</v>
      </c>
      <c r="F1606">
        <v>6103</v>
      </c>
      <c r="G1606" t="s">
        <v>19</v>
      </c>
      <c r="H1606" t="s">
        <v>28</v>
      </c>
      <c r="I1606" t="s">
        <v>42</v>
      </c>
      <c r="J1606" s="2">
        <f>Table1[[#This Row],[Profit]]/Table1[[#This Row],[Sales]]*100</f>
        <v>12.657361511500092</v>
      </c>
      <c r="K1606" t="str">
        <f>IF(Table1[[#This Row],[Sales]]&gt;=30000,"High", IF(Table1[[#This Row],[Sales]]&gt;=15000,"Medium","Low"))</f>
        <v>High</v>
      </c>
      <c r="L1606" t="str">
        <f>TEXT(Table1[[#This Row],[Order_Date]],"MMM")</f>
        <v>May</v>
      </c>
      <c r="M1606" t="str">
        <f>IF(Table1[[#This Row],[Profit]]&gt;=10000,"Excellent",IF(Table1[[#This Row],[Profit]]&gt;5000,"Good","Low"))</f>
        <v>Good</v>
      </c>
      <c r="N1606" t="str">
        <f>TEXT(Table1[[#This Row],[Order_Date]],"YYYY")</f>
        <v>2025</v>
      </c>
    </row>
    <row r="1607" spans="1:14" x14ac:dyDescent="0.25">
      <c r="A1607" s="1">
        <v>46040</v>
      </c>
      <c r="B1607" t="s">
        <v>44</v>
      </c>
      <c r="C1607" t="s">
        <v>18</v>
      </c>
      <c r="D1607">
        <v>37486</v>
      </c>
      <c r="E1607">
        <v>34606</v>
      </c>
      <c r="F1607">
        <v>2880</v>
      </c>
      <c r="G1607" t="s">
        <v>19</v>
      </c>
      <c r="H1607" t="s">
        <v>23</v>
      </c>
      <c r="I1607" t="s">
        <v>29</v>
      </c>
      <c r="J1607" s="2">
        <f>Table1[[#This Row],[Profit]]/Table1[[#This Row],[Sales]]*100</f>
        <v>7.6828682708211069</v>
      </c>
      <c r="K1607" t="str">
        <f>IF(Table1[[#This Row],[Sales]]&gt;=30000,"High", IF(Table1[[#This Row],[Sales]]&gt;=15000,"Medium","Low"))</f>
        <v>High</v>
      </c>
      <c r="L1607" t="str">
        <f>TEXT(Table1[[#This Row],[Order_Date]],"MMM")</f>
        <v>Jan</v>
      </c>
      <c r="M1607" t="str">
        <f>IF(Table1[[#This Row],[Profit]]&gt;=10000,"Excellent",IF(Table1[[#This Row],[Profit]]&gt;5000,"Good","Low"))</f>
        <v>Low</v>
      </c>
      <c r="N1607" t="str">
        <f>TEXT(Table1[[#This Row],[Order_Date]],"YYYY")</f>
        <v>2026</v>
      </c>
    </row>
    <row r="1608" spans="1:14" x14ac:dyDescent="0.25">
      <c r="A1608" s="1">
        <v>45588</v>
      </c>
      <c r="B1608" t="s">
        <v>17</v>
      </c>
      <c r="C1608" t="s">
        <v>18</v>
      </c>
      <c r="D1608">
        <v>11384</v>
      </c>
      <c r="E1608">
        <v>10195</v>
      </c>
      <c r="F1608">
        <v>1189</v>
      </c>
      <c r="G1608" t="s">
        <v>38</v>
      </c>
      <c r="H1608" t="s">
        <v>20</v>
      </c>
      <c r="I1608" t="s">
        <v>24</v>
      </c>
      <c r="J1608" s="2">
        <f>Table1[[#This Row],[Profit]]/Table1[[#This Row],[Sales]]*100</f>
        <v>10.444483485593816</v>
      </c>
      <c r="K1608" t="str">
        <f>IF(Table1[[#This Row],[Sales]]&gt;=30000,"High", IF(Table1[[#This Row],[Sales]]&gt;=15000,"Medium","Low"))</f>
        <v>Low</v>
      </c>
      <c r="L1608" t="str">
        <f>TEXT(Table1[[#This Row],[Order_Date]],"MMM")</f>
        <v>Oct</v>
      </c>
      <c r="M1608" t="str">
        <f>IF(Table1[[#This Row],[Profit]]&gt;=10000,"Excellent",IF(Table1[[#This Row],[Profit]]&gt;5000,"Good","Low"))</f>
        <v>Low</v>
      </c>
      <c r="N1608" t="str">
        <f>TEXT(Table1[[#This Row],[Order_Date]],"YYYY")</f>
        <v>2024</v>
      </c>
    </row>
    <row r="1609" spans="1:14" x14ac:dyDescent="0.25">
      <c r="A1609" s="1">
        <v>46118</v>
      </c>
      <c r="B1609" t="s">
        <v>11</v>
      </c>
      <c r="C1609" t="s">
        <v>41</v>
      </c>
      <c r="D1609">
        <v>11181</v>
      </c>
      <c r="E1609">
        <v>6224</v>
      </c>
      <c r="F1609">
        <v>4957</v>
      </c>
      <c r="G1609" t="s">
        <v>19</v>
      </c>
      <c r="H1609" t="s">
        <v>78</v>
      </c>
      <c r="I1609" t="s">
        <v>53</v>
      </c>
      <c r="J1609" s="2">
        <f>Table1[[#This Row],[Profit]]/Table1[[#This Row],[Sales]]*100</f>
        <v>44.334138270279936</v>
      </c>
      <c r="K1609" t="str">
        <f>IF(Table1[[#This Row],[Sales]]&gt;=30000,"High", IF(Table1[[#This Row],[Sales]]&gt;=15000,"Medium","Low"))</f>
        <v>Low</v>
      </c>
      <c r="L1609" t="str">
        <f>TEXT(Table1[[#This Row],[Order_Date]],"MMM")</f>
        <v>Apr</v>
      </c>
      <c r="M1609" t="str">
        <f>IF(Table1[[#This Row],[Profit]]&gt;=10000,"Excellent",IF(Table1[[#This Row],[Profit]]&gt;5000,"Good","Low"))</f>
        <v>Low</v>
      </c>
      <c r="N1609" t="str">
        <f>TEXT(Table1[[#This Row],[Order_Date]],"YYYY")</f>
        <v>2026</v>
      </c>
    </row>
    <row r="1610" spans="1:14" x14ac:dyDescent="0.25">
      <c r="A1610" s="1">
        <v>46205</v>
      </c>
      <c r="B1610" t="s">
        <v>44</v>
      </c>
      <c r="C1610" t="s">
        <v>41</v>
      </c>
      <c r="D1610">
        <v>28294</v>
      </c>
      <c r="E1610">
        <v>15922</v>
      </c>
      <c r="F1610">
        <v>12372</v>
      </c>
      <c r="G1610" t="s">
        <v>27</v>
      </c>
      <c r="H1610" t="s">
        <v>28</v>
      </c>
      <c r="I1610" t="s">
        <v>24</v>
      </c>
      <c r="J1610" s="2">
        <f>Table1[[#This Row],[Profit]]/Table1[[#This Row],[Sales]]*100</f>
        <v>43.726585141726162</v>
      </c>
      <c r="K1610" t="str">
        <f>IF(Table1[[#This Row],[Sales]]&gt;=30000,"High", IF(Table1[[#This Row],[Sales]]&gt;=15000,"Medium","Low"))</f>
        <v>Medium</v>
      </c>
      <c r="L1610" t="str">
        <f>TEXT(Table1[[#This Row],[Order_Date]],"MMM")</f>
        <v>Jul</v>
      </c>
      <c r="M1610" t="str">
        <f>IF(Table1[[#This Row],[Profit]]&gt;=10000,"Excellent",IF(Table1[[#This Row],[Profit]]&gt;5000,"Good","Low"))</f>
        <v>Excellent</v>
      </c>
      <c r="N1610" t="str">
        <f>TEXT(Table1[[#This Row],[Order_Date]],"YYYY")</f>
        <v>2026</v>
      </c>
    </row>
    <row r="1611" spans="1:14" x14ac:dyDescent="0.25">
      <c r="A1611" s="1">
        <v>46048</v>
      </c>
      <c r="B1611" t="s">
        <v>11</v>
      </c>
      <c r="C1611" t="s">
        <v>18</v>
      </c>
      <c r="D1611">
        <v>39750</v>
      </c>
      <c r="E1611">
        <v>38483</v>
      </c>
      <c r="F1611">
        <v>1267</v>
      </c>
      <c r="G1611" t="s">
        <v>19</v>
      </c>
      <c r="H1611" t="s">
        <v>45</v>
      </c>
      <c r="I1611" t="s">
        <v>53</v>
      </c>
      <c r="J1611" s="2">
        <f>Table1[[#This Row],[Profit]]/Table1[[#This Row],[Sales]]*100</f>
        <v>3.1874213836477989</v>
      </c>
      <c r="K1611" t="str">
        <f>IF(Table1[[#This Row],[Sales]]&gt;=30000,"High", IF(Table1[[#This Row],[Sales]]&gt;=15000,"Medium","Low"))</f>
        <v>High</v>
      </c>
      <c r="L1611" t="str">
        <f>TEXT(Table1[[#This Row],[Order_Date]],"MMM")</f>
        <v>Jan</v>
      </c>
      <c r="M1611" t="str">
        <f>IF(Table1[[#This Row],[Profit]]&gt;=10000,"Excellent",IF(Table1[[#This Row],[Profit]]&gt;5000,"Good","Low"))</f>
        <v>Low</v>
      </c>
      <c r="N1611" t="str">
        <f>TEXT(Table1[[#This Row],[Order_Date]],"YYYY")</f>
        <v>2026</v>
      </c>
    </row>
    <row r="1612" spans="1:14" x14ac:dyDescent="0.25">
      <c r="A1612" s="1">
        <v>45408</v>
      </c>
      <c r="B1612" t="s">
        <v>22</v>
      </c>
      <c r="C1612" t="s">
        <v>18</v>
      </c>
      <c r="D1612">
        <v>34888</v>
      </c>
      <c r="E1612">
        <v>30672</v>
      </c>
      <c r="F1612">
        <v>4216</v>
      </c>
      <c r="G1612" t="s">
        <v>13</v>
      </c>
      <c r="H1612" t="s">
        <v>14</v>
      </c>
      <c r="I1612" t="s">
        <v>53</v>
      </c>
      <c r="J1612" s="2">
        <f>Table1[[#This Row],[Profit]]/Table1[[#This Row],[Sales]]*100</f>
        <v>12.084384315523963</v>
      </c>
      <c r="K1612" t="str">
        <f>IF(Table1[[#This Row],[Sales]]&gt;=30000,"High", IF(Table1[[#This Row],[Sales]]&gt;=15000,"Medium","Low"))</f>
        <v>High</v>
      </c>
      <c r="L1612" t="str">
        <f>TEXT(Table1[[#This Row],[Order_Date]],"MMM")</f>
        <v>Apr</v>
      </c>
      <c r="M1612" t="str">
        <f>IF(Table1[[#This Row],[Profit]]&gt;=10000,"Excellent",IF(Table1[[#This Row],[Profit]]&gt;5000,"Good","Low"))</f>
        <v>Low</v>
      </c>
      <c r="N1612" t="str">
        <f>TEXT(Table1[[#This Row],[Order_Date]],"YYYY")</f>
        <v>2024</v>
      </c>
    </row>
    <row r="1613" spans="1:14" x14ac:dyDescent="0.25">
      <c r="A1613" s="1">
        <v>45319</v>
      </c>
      <c r="B1613" t="s">
        <v>22</v>
      </c>
      <c r="C1613" t="s">
        <v>41</v>
      </c>
      <c r="D1613">
        <v>45155</v>
      </c>
      <c r="E1613">
        <v>34580</v>
      </c>
      <c r="F1613">
        <v>10575</v>
      </c>
      <c r="G1613" t="s">
        <v>38</v>
      </c>
      <c r="H1613" t="s">
        <v>20</v>
      </c>
      <c r="I1613" t="s">
        <v>53</v>
      </c>
      <c r="J1613" s="2">
        <f>Table1[[#This Row],[Profit]]/Table1[[#This Row],[Sales]]*100</f>
        <v>23.41933340715314</v>
      </c>
      <c r="K1613" t="str">
        <f>IF(Table1[[#This Row],[Sales]]&gt;=30000,"High", IF(Table1[[#This Row],[Sales]]&gt;=15000,"Medium","Low"))</f>
        <v>High</v>
      </c>
      <c r="L1613" t="str">
        <f>TEXT(Table1[[#This Row],[Order_Date]],"MMM")</f>
        <v>Jan</v>
      </c>
      <c r="M1613" t="str">
        <f>IF(Table1[[#This Row],[Profit]]&gt;=10000,"Excellent",IF(Table1[[#This Row],[Profit]]&gt;5000,"Good","Low"))</f>
        <v>Excellent</v>
      </c>
      <c r="N1613" t="str">
        <f>TEXT(Table1[[#This Row],[Order_Date]],"YYYY")</f>
        <v>2024</v>
      </c>
    </row>
    <row r="1614" spans="1:14" x14ac:dyDescent="0.25">
      <c r="A1614" s="1">
        <v>45783</v>
      </c>
      <c r="B1614" t="s">
        <v>26</v>
      </c>
      <c r="C1614" t="s">
        <v>41</v>
      </c>
      <c r="D1614">
        <v>43342</v>
      </c>
      <c r="E1614">
        <v>28017</v>
      </c>
      <c r="F1614">
        <v>15325</v>
      </c>
      <c r="G1614" t="s">
        <v>27</v>
      </c>
      <c r="H1614" t="s">
        <v>45</v>
      </c>
      <c r="I1614" t="s">
        <v>15</v>
      </c>
      <c r="J1614" s="2">
        <f>Table1[[#This Row],[Profit]]/Table1[[#This Row],[Sales]]*100</f>
        <v>35.358312952794059</v>
      </c>
      <c r="K1614" t="str">
        <f>IF(Table1[[#This Row],[Sales]]&gt;=30000,"High", IF(Table1[[#This Row],[Sales]]&gt;=15000,"Medium","Low"))</f>
        <v>High</v>
      </c>
      <c r="L1614" t="str">
        <f>TEXT(Table1[[#This Row],[Order_Date]],"MMM")</f>
        <v>May</v>
      </c>
      <c r="M1614" t="str">
        <f>IF(Table1[[#This Row],[Profit]]&gt;=10000,"Excellent",IF(Table1[[#This Row],[Profit]]&gt;5000,"Good","Low"))</f>
        <v>Excellent</v>
      </c>
      <c r="N1614" t="str">
        <f>TEXT(Table1[[#This Row],[Order_Date]],"YYYY")</f>
        <v>2025</v>
      </c>
    </row>
    <row r="1615" spans="1:14" x14ac:dyDescent="0.25">
      <c r="A1615" s="1">
        <v>45683</v>
      </c>
      <c r="B1615" t="s">
        <v>22</v>
      </c>
      <c r="C1615" t="s">
        <v>12</v>
      </c>
      <c r="D1615">
        <v>48952</v>
      </c>
      <c r="E1615">
        <v>41341</v>
      </c>
      <c r="F1615">
        <v>7611</v>
      </c>
      <c r="G1615" t="s">
        <v>19</v>
      </c>
      <c r="H1615" t="s">
        <v>14</v>
      </c>
      <c r="I1615" t="s">
        <v>42</v>
      </c>
      <c r="J1615" s="2">
        <f>Table1[[#This Row],[Profit]]/Table1[[#This Row],[Sales]]*100</f>
        <v>15.54788364111783</v>
      </c>
      <c r="K1615" t="str">
        <f>IF(Table1[[#This Row],[Sales]]&gt;=30000,"High", IF(Table1[[#This Row],[Sales]]&gt;=15000,"Medium","Low"))</f>
        <v>High</v>
      </c>
      <c r="L1615" t="str">
        <f>TEXT(Table1[[#This Row],[Order_Date]],"MMM")</f>
        <v>Jan</v>
      </c>
      <c r="M1615" t="str">
        <f>IF(Table1[[#This Row],[Profit]]&gt;=10000,"Excellent",IF(Table1[[#This Row],[Profit]]&gt;5000,"Good","Low"))</f>
        <v>Good</v>
      </c>
      <c r="N1615" t="str">
        <f>TEXT(Table1[[#This Row],[Order_Date]],"YYYY")</f>
        <v>2025</v>
      </c>
    </row>
    <row r="1616" spans="1:14" x14ac:dyDescent="0.25">
      <c r="A1616" s="1">
        <v>46181</v>
      </c>
      <c r="B1616" t="s">
        <v>17</v>
      </c>
      <c r="C1616" t="s">
        <v>36</v>
      </c>
      <c r="D1616">
        <v>35875</v>
      </c>
      <c r="E1616">
        <v>21306</v>
      </c>
      <c r="F1616">
        <v>14569</v>
      </c>
      <c r="G1616" t="s">
        <v>27</v>
      </c>
      <c r="H1616" t="s">
        <v>78</v>
      </c>
      <c r="I1616" t="s">
        <v>24</v>
      </c>
      <c r="J1616" s="2">
        <f>Table1[[#This Row],[Profit]]/Table1[[#This Row],[Sales]]*100</f>
        <v>40.610452961672472</v>
      </c>
      <c r="K1616" t="str">
        <f>IF(Table1[[#This Row],[Sales]]&gt;=30000,"High", IF(Table1[[#This Row],[Sales]]&gt;=15000,"Medium","Low"))</f>
        <v>High</v>
      </c>
      <c r="L1616" t="str">
        <f>TEXT(Table1[[#This Row],[Order_Date]],"MMM")</f>
        <v>Jun</v>
      </c>
      <c r="M1616" t="str">
        <f>IF(Table1[[#This Row],[Profit]]&gt;=10000,"Excellent",IF(Table1[[#This Row],[Profit]]&gt;5000,"Good","Low"))</f>
        <v>Excellent</v>
      </c>
      <c r="N1616" t="str">
        <f>TEXT(Table1[[#This Row],[Order_Date]],"YYYY")</f>
        <v>2026</v>
      </c>
    </row>
    <row r="1617" spans="1:14" x14ac:dyDescent="0.25">
      <c r="A1617" s="1">
        <v>45179</v>
      </c>
      <c r="B1617" t="s">
        <v>11</v>
      </c>
      <c r="C1617" t="s">
        <v>12</v>
      </c>
      <c r="D1617">
        <v>5977</v>
      </c>
      <c r="E1617">
        <v>5033</v>
      </c>
      <c r="F1617">
        <v>944</v>
      </c>
      <c r="G1617" t="s">
        <v>27</v>
      </c>
      <c r="H1617" t="s">
        <v>45</v>
      </c>
      <c r="I1617" t="s">
        <v>15</v>
      </c>
      <c r="J1617" s="2">
        <f>Table1[[#This Row],[Profit]]/Table1[[#This Row],[Sales]]*100</f>
        <v>15.793876526685629</v>
      </c>
      <c r="K1617" t="str">
        <f>IF(Table1[[#This Row],[Sales]]&gt;=30000,"High", IF(Table1[[#This Row],[Sales]]&gt;=15000,"Medium","Low"))</f>
        <v>Low</v>
      </c>
      <c r="L1617" t="str">
        <f>TEXT(Table1[[#This Row],[Order_Date]],"MMM")</f>
        <v>Sep</v>
      </c>
      <c r="M1617" t="str">
        <f>IF(Table1[[#This Row],[Profit]]&gt;=10000,"Excellent",IF(Table1[[#This Row],[Profit]]&gt;5000,"Good","Low"))</f>
        <v>Low</v>
      </c>
      <c r="N1617" t="str">
        <f>TEXT(Table1[[#This Row],[Order_Date]],"YYYY")</f>
        <v>2023</v>
      </c>
    </row>
    <row r="1618" spans="1:14" x14ac:dyDescent="0.25">
      <c r="A1618" s="1">
        <v>46002</v>
      </c>
      <c r="B1618" t="s">
        <v>22</v>
      </c>
      <c r="C1618" t="s">
        <v>18</v>
      </c>
      <c r="D1618">
        <v>24425</v>
      </c>
      <c r="E1618">
        <v>12253</v>
      </c>
      <c r="F1618">
        <v>12172</v>
      </c>
      <c r="G1618" t="s">
        <v>13</v>
      </c>
      <c r="H1618" t="s">
        <v>14</v>
      </c>
      <c r="I1618" t="s">
        <v>42</v>
      </c>
      <c r="J1618" s="2">
        <f>Table1[[#This Row],[Profit]]/Table1[[#This Row],[Sales]]*100</f>
        <v>49.834186284544522</v>
      </c>
      <c r="K1618" t="str">
        <f>IF(Table1[[#This Row],[Sales]]&gt;=30000,"High", IF(Table1[[#This Row],[Sales]]&gt;=15000,"Medium","Low"))</f>
        <v>Medium</v>
      </c>
      <c r="L1618" t="str">
        <f>TEXT(Table1[[#This Row],[Order_Date]],"MMM")</f>
        <v>Dec</v>
      </c>
      <c r="M1618" t="str">
        <f>IF(Table1[[#This Row],[Profit]]&gt;=10000,"Excellent",IF(Table1[[#This Row],[Profit]]&gt;5000,"Good","Low"))</f>
        <v>Excellent</v>
      </c>
      <c r="N1618" t="str">
        <f>TEXT(Table1[[#This Row],[Order_Date]],"YYYY")</f>
        <v>2025</v>
      </c>
    </row>
    <row r="1619" spans="1:14" x14ac:dyDescent="0.25">
      <c r="A1619" s="1">
        <v>46126</v>
      </c>
      <c r="B1619" t="s">
        <v>22</v>
      </c>
      <c r="C1619" t="s">
        <v>18</v>
      </c>
      <c r="D1619">
        <v>8852</v>
      </c>
      <c r="E1619">
        <v>330</v>
      </c>
      <c r="F1619">
        <v>8522</v>
      </c>
      <c r="G1619" t="s">
        <v>19</v>
      </c>
      <c r="H1619" t="s">
        <v>34</v>
      </c>
      <c r="I1619" t="s">
        <v>42</v>
      </c>
      <c r="J1619" s="2">
        <f>Table1[[#This Row],[Profit]]/Table1[[#This Row],[Sales]]*100</f>
        <v>96.272028920018073</v>
      </c>
      <c r="K1619" t="str">
        <f>IF(Table1[[#This Row],[Sales]]&gt;=30000,"High", IF(Table1[[#This Row],[Sales]]&gt;=15000,"Medium","Low"))</f>
        <v>Low</v>
      </c>
      <c r="L1619" t="str">
        <f>TEXT(Table1[[#This Row],[Order_Date]],"MMM")</f>
        <v>Apr</v>
      </c>
      <c r="M1619" t="str">
        <f>IF(Table1[[#This Row],[Profit]]&gt;=10000,"Excellent",IF(Table1[[#This Row],[Profit]]&gt;5000,"Good","Low"))</f>
        <v>Good</v>
      </c>
      <c r="N1619" t="str">
        <f>TEXT(Table1[[#This Row],[Order_Date]],"YYYY")</f>
        <v>2026</v>
      </c>
    </row>
    <row r="1620" spans="1:14" x14ac:dyDescent="0.25">
      <c r="A1620" s="1">
        <v>45389</v>
      </c>
      <c r="B1620" t="s">
        <v>11</v>
      </c>
      <c r="C1620" t="s">
        <v>41</v>
      </c>
      <c r="D1620">
        <v>24947</v>
      </c>
      <c r="E1620">
        <v>16553</v>
      </c>
      <c r="F1620">
        <v>8394</v>
      </c>
      <c r="G1620" t="s">
        <v>38</v>
      </c>
      <c r="H1620" t="s">
        <v>20</v>
      </c>
      <c r="I1620" t="s">
        <v>24</v>
      </c>
      <c r="J1620" s="2">
        <f>Table1[[#This Row],[Profit]]/Table1[[#This Row],[Sales]]*100</f>
        <v>33.647332344570493</v>
      </c>
      <c r="K1620" t="str">
        <f>IF(Table1[[#This Row],[Sales]]&gt;=30000,"High", IF(Table1[[#This Row],[Sales]]&gt;=15000,"Medium","Low"))</f>
        <v>Medium</v>
      </c>
      <c r="L1620" t="str">
        <f>TEXT(Table1[[#This Row],[Order_Date]],"MMM")</f>
        <v>Apr</v>
      </c>
      <c r="M1620" t="str">
        <f>IF(Table1[[#This Row],[Profit]]&gt;=10000,"Excellent",IF(Table1[[#This Row],[Profit]]&gt;5000,"Good","Low"))</f>
        <v>Good</v>
      </c>
      <c r="N1620" t="str">
        <f>TEXT(Table1[[#This Row],[Order_Date]],"YYYY")</f>
        <v>2024</v>
      </c>
    </row>
    <row r="1621" spans="1:14" x14ac:dyDescent="0.25">
      <c r="A1621" s="1">
        <v>45285</v>
      </c>
      <c r="B1621" t="s">
        <v>22</v>
      </c>
      <c r="C1621" t="s">
        <v>33</v>
      </c>
      <c r="D1621">
        <v>40347</v>
      </c>
      <c r="E1621">
        <v>34490</v>
      </c>
      <c r="F1621">
        <v>5857</v>
      </c>
      <c r="G1621" t="s">
        <v>27</v>
      </c>
      <c r="H1621" t="s">
        <v>28</v>
      </c>
      <c r="I1621" t="s">
        <v>15</v>
      </c>
      <c r="J1621" s="2">
        <f>Table1[[#This Row],[Profit]]/Table1[[#This Row],[Sales]]*100</f>
        <v>14.516568765955338</v>
      </c>
      <c r="K1621" t="str">
        <f>IF(Table1[[#This Row],[Sales]]&gt;=30000,"High", IF(Table1[[#This Row],[Sales]]&gt;=15000,"Medium","Low"))</f>
        <v>High</v>
      </c>
      <c r="L1621" t="str">
        <f>TEXT(Table1[[#This Row],[Order_Date]],"MMM")</f>
        <v>Dec</v>
      </c>
      <c r="M1621" t="str">
        <f>IF(Table1[[#This Row],[Profit]]&gt;=10000,"Excellent",IF(Table1[[#This Row],[Profit]]&gt;5000,"Good","Low"))</f>
        <v>Good</v>
      </c>
      <c r="N1621" t="str">
        <f>TEXT(Table1[[#This Row],[Order_Date]],"YYYY")</f>
        <v>2023</v>
      </c>
    </row>
    <row r="1622" spans="1:14" x14ac:dyDescent="0.25">
      <c r="A1622" s="1">
        <v>45222</v>
      </c>
      <c r="B1622" t="s">
        <v>11</v>
      </c>
      <c r="C1622" t="s">
        <v>12</v>
      </c>
      <c r="D1622">
        <v>37937</v>
      </c>
      <c r="E1622">
        <v>31853</v>
      </c>
      <c r="F1622">
        <v>6084</v>
      </c>
      <c r="G1622" t="s">
        <v>13</v>
      </c>
      <c r="H1622" t="s">
        <v>23</v>
      </c>
      <c r="I1622" t="s">
        <v>24</v>
      </c>
      <c r="J1622" s="2">
        <f>Table1[[#This Row],[Profit]]/Table1[[#This Row],[Sales]]*100</f>
        <v>16.037114162954371</v>
      </c>
      <c r="K1622" t="str">
        <f>IF(Table1[[#This Row],[Sales]]&gt;=30000,"High", IF(Table1[[#This Row],[Sales]]&gt;=15000,"Medium","Low"))</f>
        <v>High</v>
      </c>
      <c r="L1622" t="str">
        <f>TEXT(Table1[[#This Row],[Order_Date]],"MMM")</f>
        <v>Oct</v>
      </c>
      <c r="M1622" t="str">
        <f>IF(Table1[[#This Row],[Profit]]&gt;=10000,"Excellent",IF(Table1[[#This Row],[Profit]]&gt;5000,"Good","Low"))</f>
        <v>Good</v>
      </c>
      <c r="N1622" t="str">
        <f>TEXT(Table1[[#This Row],[Order_Date]],"YYYY")</f>
        <v>2023</v>
      </c>
    </row>
    <row r="1623" spans="1:14" x14ac:dyDescent="0.25">
      <c r="A1623" s="1">
        <v>45605</v>
      </c>
      <c r="B1623" t="s">
        <v>17</v>
      </c>
      <c r="C1623" t="s">
        <v>12</v>
      </c>
      <c r="D1623">
        <v>12146</v>
      </c>
      <c r="E1623">
        <v>1166</v>
      </c>
      <c r="F1623">
        <v>10980</v>
      </c>
      <c r="G1623" t="s">
        <v>19</v>
      </c>
      <c r="H1623" t="s">
        <v>28</v>
      </c>
      <c r="I1623" t="s">
        <v>42</v>
      </c>
      <c r="J1623" s="2">
        <f>Table1[[#This Row],[Profit]]/Table1[[#This Row],[Sales]]*100</f>
        <v>90.400131730610894</v>
      </c>
      <c r="K1623" t="str">
        <f>IF(Table1[[#This Row],[Sales]]&gt;=30000,"High", IF(Table1[[#This Row],[Sales]]&gt;=15000,"Medium","Low"))</f>
        <v>Low</v>
      </c>
      <c r="L1623" t="str">
        <f>TEXT(Table1[[#This Row],[Order_Date]],"MMM")</f>
        <v>Nov</v>
      </c>
      <c r="M1623" t="str">
        <f>IF(Table1[[#This Row],[Profit]]&gt;=10000,"Excellent",IF(Table1[[#This Row],[Profit]]&gt;5000,"Good","Low"))</f>
        <v>Excellent</v>
      </c>
      <c r="N1623" t="str">
        <f>TEXT(Table1[[#This Row],[Order_Date]],"YYYY")</f>
        <v>2024</v>
      </c>
    </row>
    <row r="1624" spans="1:14" x14ac:dyDescent="0.25">
      <c r="A1624" s="1">
        <v>45605</v>
      </c>
      <c r="B1624" t="s">
        <v>11</v>
      </c>
      <c r="C1624" t="s">
        <v>18</v>
      </c>
      <c r="D1624">
        <v>18415</v>
      </c>
      <c r="E1624">
        <v>12478</v>
      </c>
      <c r="F1624">
        <v>5937</v>
      </c>
      <c r="G1624" t="s">
        <v>38</v>
      </c>
      <c r="H1624" t="s">
        <v>78</v>
      </c>
      <c r="I1624" t="s">
        <v>42</v>
      </c>
      <c r="J1624" s="2">
        <f>Table1[[#This Row],[Profit]]/Table1[[#This Row],[Sales]]*100</f>
        <v>32.24002172142275</v>
      </c>
      <c r="K1624" t="str">
        <f>IF(Table1[[#This Row],[Sales]]&gt;=30000,"High", IF(Table1[[#This Row],[Sales]]&gt;=15000,"Medium","Low"))</f>
        <v>Medium</v>
      </c>
      <c r="L1624" t="str">
        <f>TEXT(Table1[[#This Row],[Order_Date]],"MMM")</f>
        <v>Nov</v>
      </c>
      <c r="M1624" t="str">
        <f>IF(Table1[[#This Row],[Profit]]&gt;=10000,"Excellent",IF(Table1[[#This Row],[Profit]]&gt;5000,"Good","Low"))</f>
        <v>Good</v>
      </c>
      <c r="N1624" t="str">
        <f>TEXT(Table1[[#This Row],[Order_Date]],"YYYY")</f>
        <v>2024</v>
      </c>
    </row>
    <row r="1625" spans="1:14" x14ac:dyDescent="0.25">
      <c r="A1625" s="1">
        <v>46015</v>
      </c>
      <c r="B1625" t="s">
        <v>17</v>
      </c>
      <c r="C1625" t="s">
        <v>36</v>
      </c>
      <c r="D1625">
        <v>48377</v>
      </c>
      <c r="E1625">
        <v>33089</v>
      </c>
      <c r="F1625">
        <v>15288</v>
      </c>
      <c r="G1625" t="s">
        <v>27</v>
      </c>
      <c r="H1625" t="s">
        <v>45</v>
      </c>
      <c r="I1625" t="s">
        <v>15</v>
      </c>
      <c r="J1625" s="2">
        <f>Table1[[#This Row],[Profit]]/Table1[[#This Row],[Sales]]*100</f>
        <v>31.601794241064969</v>
      </c>
      <c r="K1625" t="str">
        <f>IF(Table1[[#This Row],[Sales]]&gt;=30000,"High", IF(Table1[[#This Row],[Sales]]&gt;=15000,"Medium","Low"))</f>
        <v>High</v>
      </c>
      <c r="L1625" t="str">
        <f>TEXT(Table1[[#This Row],[Order_Date]],"MMM")</f>
        <v>Dec</v>
      </c>
      <c r="M1625" t="str">
        <f>IF(Table1[[#This Row],[Profit]]&gt;=10000,"Excellent",IF(Table1[[#This Row],[Profit]]&gt;5000,"Good","Low"))</f>
        <v>Excellent</v>
      </c>
      <c r="N1625" t="str">
        <f>TEXT(Table1[[#This Row],[Order_Date]],"YYYY")</f>
        <v>2025</v>
      </c>
    </row>
    <row r="1626" spans="1:14" x14ac:dyDescent="0.25">
      <c r="A1626" s="1">
        <v>45730</v>
      </c>
      <c r="B1626" t="s">
        <v>17</v>
      </c>
      <c r="C1626" t="s">
        <v>36</v>
      </c>
      <c r="D1626">
        <v>36226</v>
      </c>
      <c r="E1626">
        <v>19182</v>
      </c>
      <c r="F1626">
        <v>17044</v>
      </c>
      <c r="G1626" t="s">
        <v>38</v>
      </c>
      <c r="H1626" t="s">
        <v>60</v>
      </c>
      <c r="I1626" t="s">
        <v>29</v>
      </c>
      <c r="J1626" s="2">
        <f>Table1[[#This Row],[Profit]]/Table1[[#This Row],[Sales]]*100</f>
        <v>47.049080770717168</v>
      </c>
      <c r="K1626" t="str">
        <f>IF(Table1[[#This Row],[Sales]]&gt;=30000,"High", IF(Table1[[#This Row],[Sales]]&gt;=15000,"Medium","Low"))</f>
        <v>High</v>
      </c>
      <c r="L1626" t="str">
        <f>TEXT(Table1[[#This Row],[Order_Date]],"MMM")</f>
        <v>Mar</v>
      </c>
      <c r="M1626" t="str">
        <f>IF(Table1[[#This Row],[Profit]]&gt;=10000,"Excellent",IF(Table1[[#This Row],[Profit]]&gt;5000,"Good","Low"))</f>
        <v>Excellent</v>
      </c>
      <c r="N1626" t="str">
        <f>TEXT(Table1[[#This Row],[Order_Date]],"YYYY")</f>
        <v>2025</v>
      </c>
    </row>
    <row r="1627" spans="1:14" x14ac:dyDescent="0.25">
      <c r="A1627" s="1">
        <v>45114</v>
      </c>
      <c r="B1627" t="s">
        <v>22</v>
      </c>
      <c r="C1627" t="s">
        <v>36</v>
      </c>
      <c r="D1627">
        <v>39005</v>
      </c>
      <c r="E1627">
        <v>34464</v>
      </c>
      <c r="F1627">
        <v>4541</v>
      </c>
      <c r="G1627" t="s">
        <v>27</v>
      </c>
      <c r="H1627" t="s">
        <v>45</v>
      </c>
      <c r="I1627" t="s">
        <v>15</v>
      </c>
      <c r="J1627" s="2">
        <f>Table1[[#This Row],[Profit]]/Table1[[#This Row],[Sales]]*100</f>
        <v>11.642097167029867</v>
      </c>
      <c r="K1627" t="str">
        <f>IF(Table1[[#This Row],[Sales]]&gt;=30000,"High", IF(Table1[[#This Row],[Sales]]&gt;=15000,"Medium","Low"))</f>
        <v>High</v>
      </c>
      <c r="L1627" t="str">
        <f>TEXT(Table1[[#This Row],[Order_Date]],"MMM")</f>
        <v>Jul</v>
      </c>
      <c r="M1627" t="str">
        <f>IF(Table1[[#This Row],[Profit]]&gt;=10000,"Excellent",IF(Table1[[#This Row],[Profit]]&gt;5000,"Good","Low"))</f>
        <v>Low</v>
      </c>
      <c r="N1627" t="str">
        <f>TEXT(Table1[[#This Row],[Order_Date]],"YYYY")</f>
        <v>2023</v>
      </c>
    </row>
    <row r="1628" spans="1:14" x14ac:dyDescent="0.25">
      <c r="A1628" s="1">
        <v>45354</v>
      </c>
      <c r="B1628" t="s">
        <v>17</v>
      </c>
      <c r="C1628" t="s">
        <v>41</v>
      </c>
      <c r="D1628">
        <v>42590</v>
      </c>
      <c r="E1628">
        <v>25023</v>
      </c>
      <c r="F1628">
        <v>17567</v>
      </c>
      <c r="G1628" t="s">
        <v>13</v>
      </c>
      <c r="H1628" t="s">
        <v>78</v>
      </c>
      <c r="I1628" t="s">
        <v>29</v>
      </c>
      <c r="J1628" s="2">
        <f>Table1[[#This Row],[Profit]]/Table1[[#This Row],[Sales]]*100</f>
        <v>41.24677154261564</v>
      </c>
      <c r="K1628" t="str">
        <f>IF(Table1[[#This Row],[Sales]]&gt;=30000,"High", IF(Table1[[#This Row],[Sales]]&gt;=15000,"Medium","Low"))</f>
        <v>High</v>
      </c>
      <c r="L1628" t="str">
        <f>TEXT(Table1[[#This Row],[Order_Date]],"MMM")</f>
        <v>Mar</v>
      </c>
      <c r="M1628" t="str">
        <f>IF(Table1[[#This Row],[Profit]]&gt;=10000,"Excellent",IF(Table1[[#This Row],[Profit]]&gt;5000,"Good","Low"))</f>
        <v>Excellent</v>
      </c>
      <c r="N1628" t="str">
        <f>TEXT(Table1[[#This Row],[Order_Date]],"YYYY")</f>
        <v>2024</v>
      </c>
    </row>
    <row r="1629" spans="1:14" x14ac:dyDescent="0.25">
      <c r="A1629" s="1">
        <v>45747</v>
      </c>
      <c r="B1629" t="s">
        <v>22</v>
      </c>
      <c r="C1629" t="s">
        <v>12</v>
      </c>
      <c r="D1629">
        <v>42594</v>
      </c>
      <c r="E1629">
        <v>36712</v>
      </c>
      <c r="F1629">
        <v>5882</v>
      </c>
      <c r="G1629" t="s">
        <v>27</v>
      </c>
      <c r="H1629" t="s">
        <v>14</v>
      </c>
      <c r="I1629" t="s">
        <v>15</v>
      </c>
      <c r="J1629" s="2">
        <f>Table1[[#This Row],[Profit]]/Table1[[#This Row],[Sales]]*100</f>
        <v>13.809456730994976</v>
      </c>
      <c r="K1629" t="str">
        <f>IF(Table1[[#This Row],[Sales]]&gt;=30000,"High", IF(Table1[[#This Row],[Sales]]&gt;=15000,"Medium","Low"))</f>
        <v>High</v>
      </c>
      <c r="L1629" t="str">
        <f>TEXT(Table1[[#This Row],[Order_Date]],"MMM")</f>
        <v>Mar</v>
      </c>
      <c r="M1629" t="str">
        <f>IF(Table1[[#This Row],[Profit]]&gt;=10000,"Excellent",IF(Table1[[#This Row],[Profit]]&gt;5000,"Good","Low"))</f>
        <v>Good</v>
      </c>
      <c r="N1629" t="str">
        <f>TEXT(Table1[[#This Row],[Order_Date]],"YYYY")</f>
        <v>2025</v>
      </c>
    </row>
    <row r="1630" spans="1:14" x14ac:dyDescent="0.25">
      <c r="A1630" s="1">
        <v>45441</v>
      </c>
      <c r="B1630" t="s">
        <v>44</v>
      </c>
      <c r="C1630" t="s">
        <v>18</v>
      </c>
      <c r="D1630">
        <v>28144</v>
      </c>
      <c r="E1630">
        <v>9358</v>
      </c>
      <c r="F1630">
        <v>18786</v>
      </c>
      <c r="G1630" t="s">
        <v>38</v>
      </c>
      <c r="H1630" t="s">
        <v>78</v>
      </c>
      <c r="I1630" t="s">
        <v>15</v>
      </c>
      <c r="J1630" s="2">
        <f>Table1[[#This Row],[Profit]]/Table1[[#This Row],[Sales]]*100</f>
        <v>66.749573621375774</v>
      </c>
      <c r="K1630" t="str">
        <f>IF(Table1[[#This Row],[Sales]]&gt;=30000,"High", IF(Table1[[#This Row],[Sales]]&gt;=15000,"Medium","Low"))</f>
        <v>Medium</v>
      </c>
      <c r="L1630" t="str">
        <f>TEXT(Table1[[#This Row],[Order_Date]],"MMM")</f>
        <v>May</v>
      </c>
      <c r="M1630" t="str">
        <f>IF(Table1[[#This Row],[Profit]]&gt;=10000,"Excellent",IF(Table1[[#This Row],[Profit]]&gt;5000,"Good","Low"))</f>
        <v>Excellent</v>
      </c>
      <c r="N1630" t="str">
        <f>TEXT(Table1[[#This Row],[Order_Date]],"YYYY")</f>
        <v>2024</v>
      </c>
    </row>
    <row r="1631" spans="1:14" x14ac:dyDescent="0.25">
      <c r="A1631" s="1">
        <v>45790</v>
      </c>
      <c r="B1631" t="s">
        <v>26</v>
      </c>
      <c r="C1631" t="s">
        <v>41</v>
      </c>
      <c r="D1631">
        <v>44967</v>
      </c>
      <c r="E1631">
        <v>43104</v>
      </c>
      <c r="F1631">
        <v>1863</v>
      </c>
      <c r="G1631" t="s">
        <v>19</v>
      </c>
      <c r="H1631" t="s">
        <v>31</v>
      </c>
      <c r="I1631" t="s">
        <v>53</v>
      </c>
      <c r="J1631" s="2">
        <f>Table1[[#This Row],[Profit]]/Table1[[#This Row],[Sales]]*100</f>
        <v>4.1430382280338911</v>
      </c>
      <c r="K1631" t="str">
        <f>IF(Table1[[#This Row],[Sales]]&gt;=30000,"High", IF(Table1[[#This Row],[Sales]]&gt;=15000,"Medium","Low"))</f>
        <v>High</v>
      </c>
      <c r="L1631" t="str">
        <f>TEXT(Table1[[#This Row],[Order_Date]],"MMM")</f>
        <v>May</v>
      </c>
      <c r="M1631" t="str">
        <f>IF(Table1[[#This Row],[Profit]]&gt;=10000,"Excellent",IF(Table1[[#This Row],[Profit]]&gt;5000,"Good","Low"))</f>
        <v>Low</v>
      </c>
      <c r="N1631" t="str">
        <f>TEXT(Table1[[#This Row],[Order_Date]],"YYYY")</f>
        <v>2025</v>
      </c>
    </row>
    <row r="1632" spans="1:14" x14ac:dyDescent="0.25">
      <c r="A1632" s="1">
        <v>46039</v>
      </c>
      <c r="B1632" t="s">
        <v>26</v>
      </c>
      <c r="C1632" t="s">
        <v>41</v>
      </c>
      <c r="D1632">
        <v>17689</v>
      </c>
      <c r="E1632">
        <v>3445</v>
      </c>
      <c r="F1632">
        <v>14244</v>
      </c>
      <c r="G1632" t="s">
        <v>38</v>
      </c>
      <c r="H1632" t="s">
        <v>14</v>
      </c>
      <c r="I1632" t="s">
        <v>53</v>
      </c>
      <c r="J1632" s="2">
        <f>Table1[[#This Row],[Profit]]/Table1[[#This Row],[Sales]]*100</f>
        <v>80.524619820227258</v>
      </c>
      <c r="K1632" t="str">
        <f>IF(Table1[[#This Row],[Sales]]&gt;=30000,"High", IF(Table1[[#This Row],[Sales]]&gt;=15000,"Medium","Low"))</f>
        <v>Medium</v>
      </c>
      <c r="L1632" t="str">
        <f>TEXT(Table1[[#This Row],[Order_Date]],"MMM")</f>
        <v>Jan</v>
      </c>
      <c r="M1632" t="str">
        <f>IF(Table1[[#This Row],[Profit]]&gt;=10000,"Excellent",IF(Table1[[#This Row],[Profit]]&gt;5000,"Good","Low"))</f>
        <v>Excellent</v>
      </c>
      <c r="N1632" t="str">
        <f>TEXT(Table1[[#This Row],[Order_Date]],"YYYY")</f>
        <v>2026</v>
      </c>
    </row>
    <row r="1633" spans="1:14" x14ac:dyDescent="0.25">
      <c r="A1633" s="1">
        <v>45940</v>
      </c>
      <c r="B1633" t="s">
        <v>26</v>
      </c>
      <c r="C1633" t="s">
        <v>33</v>
      </c>
      <c r="D1633">
        <v>16253</v>
      </c>
      <c r="E1633">
        <v>11038</v>
      </c>
      <c r="F1633">
        <v>5215</v>
      </c>
      <c r="G1633" t="s">
        <v>38</v>
      </c>
      <c r="H1633" t="s">
        <v>14</v>
      </c>
      <c r="I1633" t="s">
        <v>24</v>
      </c>
      <c r="J1633" s="2">
        <f>Table1[[#This Row],[Profit]]/Table1[[#This Row],[Sales]]*100</f>
        <v>32.086384052174985</v>
      </c>
      <c r="K1633" t="str">
        <f>IF(Table1[[#This Row],[Sales]]&gt;=30000,"High", IF(Table1[[#This Row],[Sales]]&gt;=15000,"Medium","Low"))</f>
        <v>Medium</v>
      </c>
      <c r="L1633" t="str">
        <f>TEXT(Table1[[#This Row],[Order_Date]],"MMM")</f>
        <v>Oct</v>
      </c>
      <c r="M1633" t="str">
        <f>IF(Table1[[#This Row],[Profit]]&gt;=10000,"Excellent",IF(Table1[[#This Row],[Profit]]&gt;5000,"Good","Low"))</f>
        <v>Good</v>
      </c>
      <c r="N1633" t="str">
        <f>TEXT(Table1[[#This Row],[Order_Date]],"YYYY")</f>
        <v>2025</v>
      </c>
    </row>
    <row r="1634" spans="1:14" x14ac:dyDescent="0.25">
      <c r="A1634" s="1">
        <v>46054</v>
      </c>
      <c r="B1634" t="s">
        <v>17</v>
      </c>
      <c r="C1634" t="s">
        <v>12</v>
      </c>
      <c r="D1634">
        <v>35713</v>
      </c>
      <c r="E1634">
        <v>20040</v>
      </c>
      <c r="F1634">
        <v>15673</v>
      </c>
      <c r="G1634" t="s">
        <v>38</v>
      </c>
      <c r="H1634" t="s">
        <v>14</v>
      </c>
      <c r="I1634" t="s">
        <v>29</v>
      </c>
      <c r="J1634" s="2">
        <f>Table1[[#This Row],[Profit]]/Table1[[#This Row],[Sales]]*100</f>
        <v>43.885979895276229</v>
      </c>
      <c r="K1634" t="str">
        <f>IF(Table1[[#This Row],[Sales]]&gt;=30000,"High", IF(Table1[[#This Row],[Sales]]&gt;=15000,"Medium","Low"))</f>
        <v>High</v>
      </c>
      <c r="L1634" t="str">
        <f>TEXT(Table1[[#This Row],[Order_Date]],"MMM")</f>
        <v>Feb</v>
      </c>
      <c r="M1634" t="str">
        <f>IF(Table1[[#This Row],[Profit]]&gt;=10000,"Excellent",IF(Table1[[#This Row],[Profit]]&gt;5000,"Good","Low"))</f>
        <v>Excellent</v>
      </c>
      <c r="N1634" t="str">
        <f>TEXT(Table1[[#This Row],[Order_Date]],"YYYY")</f>
        <v>2026</v>
      </c>
    </row>
    <row r="1635" spans="1:14" x14ac:dyDescent="0.25">
      <c r="A1635" s="1">
        <v>45927</v>
      </c>
      <c r="B1635" t="s">
        <v>11</v>
      </c>
      <c r="C1635" t="s">
        <v>41</v>
      </c>
      <c r="D1635">
        <v>40783</v>
      </c>
      <c r="E1635">
        <v>25907</v>
      </c>
      <c r="F1635">
        <v>14876</v>
      </c>
      <c r="G1635" t="s">
        <v>13</v>
      </c>
      <c r="H1635" t="s">
        <v>63</v>
      </c>
      <c r="I1635" t="s">
        <v>53</v>
      </c>
      <c r="J1635" s="2">
        <f>Table1[[#This Row],[Profit]]/Table1[[#This Row],[Sales]]*100</f>
        <v>36.475982639825418</v>
      </c>
      <c r="K1635" t="str">
        <f>IF(Table1[[#This Row],[Sales]]&gt;=30000,"High", IF(Table1[[#This Row],[Sales]]&gt;=15000,"Medium","Low"))</f>
        <v>High</v>
      </c>
      <c r="L1635" t="str">
        <f>TEXT(Table1[[#This Row],[Order_Date]],"MMM")</f>
        <v>Sep</v>
      </c>
      <c r="M1635" t="str">
        <f>IF(Table1[[#This Row],[Profit]]&gt;=10000,"Excellent",IF(Table1[[#This Row],[Profit]]&gt;5000,"Good","Low"))</f>
        <v>Excellent</v>
      </c>
      <c r="N1635" t="str">
        <f>TEXT(Table1[[#This Row],[Order_Date]],"YYYY")</f>
        <v>2025</v>
      </c>
    </row>
    <row r="1636" spans="1:14" x14ac:dyDescent="0.25">
      <c r="A1636" s="1">
        <v>45973</v>
      </c>
      <c r="B1636" t="s">
        <v>44</v>
      </c>
      <c r="C1636" t="s">
        <v>12</v>
      </c>
      <c r="D1636">
        <v>26712</v>
      </c>
      <c r="E1636">
        <v>25335</v>
      </c>
      <c r="F1636">
        <v>1377</v>
      </c>
      <c r="G1636" t="s">
        <v>19</v>
      </c>
      <c r="H1636" t="s">
        <v>34</v>
      </c>
      <c r="I1636" t="s">
        <v>29</v>
      </c>
      <c r="J1636" s="2">
        <f>Table1[[#This Row],[Profit]]/Table1[[#This Row],[Sales]]*100</f>
        <v>5.1549865229110514</v>
      </c>
      <c r="K1636" t="str">
        <f>IF(Table1[[#This Row],[Sales]]&gt;=30000,"High", IF(Table1[[#This Row],[Sales]]&gt;=15000,"Medium","Low"))</f>
        <v>Medium</v>
      </c>
      <c r="L1636" t="str">
        <f>TEXT(Table1[[#This Row],[Order_Date]],"MMM")</f>
        <v>Nov</v>
      </c>
      <c r="M1636" t="str">
        <f>IF(Table1[[#This Row],[Profit]]&gt;=10000,"Excellent",IF(Table1[[#This Row],[Profit]]&gt;5000,"Good","Low"))</f>
        <v>Low</v>
      </c>
      <c r="N1636" t="str">
        <f>TEXT(Table1[[#This Row],[Order_Date]],"YYYY")</f>
        <v>2025</v>
      </c>
    </row>
    <row r="1637" spans="1:14" x14ac:dyDescent="0.25">
      <c r="A1637" s="1">
        <v>45932</v>
      </c>
      <c r="B1637" t="s">
        <v>17</v>
      </c>
      <c r="C1637" t="s">
        <v>36</v>
      </c>
      <c r="D1637">
        <v>15036</v>
      </c>
      <c r="E1637">
        <v>2149</v>
      </c>
      <c r="F1637">
        <v>12887</v>
      </c>
      <c r="G1637" t="s">
        <v>38</v>
      </c>
      <c r="H1637" t="s">
        <v>14</v>
      </c>
      <c r="I1637" t="s">
        <v>24</v>
      </c>
      <c r="J1637" s="2">
        <f>Table1[[#This Row],[Profit]]/Table1[[#This Row],[Sales]]*100</f>
        <v>85.707635009310991</v>
      </c>
      <c r="K1637" t="str">
        <f>IF(Table1[[#This Row],[Sales]]&gt;=30000,"High", IF(Table1[[#This Row],[Sales]]&gt;=15000,"Medium","Low"))</f>
        <v>Medium</v>
      </c>
      <c r="L1637" t="str">
        <f>TEXT(Table1[[#This Row],[Order_Date]],"MMM")</f>
        <v>Oct</v>
      </c>
      <c r="M1637" t="str">
        <f>IF(Table1[[#This Row],[Profit]]&gt;=10000,"Excellent",IF(Table1[[#This Row],[Profit]]&gt;5000,"Good","Low"))</f>
        <v>Excellent</v>
      </c>
      <c r="N1637" t="str">
        <f>TEXT(Table1[[#This Row],[Order_Date]],"YYYY")</f>
        <v>2025</v>
      </c>
    </row>
    <row r="1638" spans="1:14" x14ac:dyDescent="0.25">
      <c r="A1638" s="1">
        <v>45767</v>
      </c>
      <c r="B1638" t="s">
        <v>26</v>
      </c>
      <c r="C1638" t="s">
        <v>41</v>
      </c>
      <c r="D1638">
        <v>28741</v>
      </c>
      <c r="E1638">
        <v>12010</v>
      </c>
      <c r="F1638">
        <v>16731</v>
      </c>
      <c r="G1638" t="s">
        <v>19</v>
      </c>
      <c r="H1638" t="s">
        <v>23</v>
      </c>
      <c r="I1638" t="s">
        <v>29</v>
      </c>
      <c r="J1638" s="2">
        <f>Table1[[#This Row],[Profit]]/Table1[[#This Row],[Sales]]*100</f>
        <v>58.213005810514595</v>
      </c>
      <c r="K1638" t="str">
        <f>IF(Table1[[#This Row],[Sales]]&gt;=30000,"High", IF(Table1[[#This Row],[Sales]]&gt;=15000,"Medium","Low"))</f>
        <v>Medium</v>
      </c>
      <c r="L1638" t="str">
        <f>TEXT(Table1[[#This Row],[Order_Date]],"MMM")</f>
        <v>Apr</v>
      </c>
      <c r="M1638" t="str">
        <f>IF(Table1[[#This Row],[Profit]]&gt;=10000,"Excellent",IF(Table1[[#This Row],[Profit]]&gt;5000,"Good","Low"))</f>
        <v>Excellent</v>
      </c>
      <c r="N1638" t="str">
        <f>TEXT(Table1[[#This Row],[Order_Date]],"YYYY")</f>
        <v>2025</v>
      </c>
    </row>
    <row r="1639" spans="1:14" x14ac:dyDescent="0.25">
      <c r="A1639" s="1">
        <v>45926</v>
      </c>
      <c r="B1639" t="s">
        <v>11</v>
      </c>
      <c r="C1639" t="s">
        <v>36</v>
      </c>
      <c r="D1639">
        <v>24638</v>
      </c>
      <c r="E1639">
        <v>22281</v>
      </c>
      <c r="F1639">
        <v>2357</v>
      </c>
      <c r="G1639" t="s">
        <v>13</v>
      </c>
      <c r="H1639" t="s">
        <v>60</v>
      </c>
      <c r="I1639" t="s">
        <v>42</v>
      </c>
      <c r="J1639" s="2">
        <f>Table1[[#This Row],[Profit]]/Table1[[#This Row],[Sales]]*100</f>
        <v>9.5665232567578542</v>
      </c>
      <c r="K1639" t="str">
        <f>IF(Table1[[#This Row],[Sales]]&gt;=30000,"High", IF(Table1[[#This Row],[Sales]]&gt;=15000,"Medium","Low"))</f>
        <v>Medium</v>
      </c>
      <c r="L1639" t="str">
        <f>TEXT(Table1[[#This Row],[Order_Date]],"MMM")</f>
        <v>Sep</v>
      </c>
      <c r="M1639" t="str">
        <f>IF(Table1[[#This Row],[Profit]]&gt;=10000,"Excellent",IF(Table1[[#This Row],[Profit]]&gt;5000,"Good","Low"))</f>
        <v>Low</v>
      </c>
      <c r="N1639" t="str">
        <f>TEXT(Table1[[#This Row],[Order_Date]],"YYYY")</f>
        <v>2025</v>
      </c>
    </row>
    <row r="1640" spans="1:14" x14ac:dyDescent="0.25">
      <c r="A1640" s="1">
        <v>45442</v>
      </c>
      <c r="B1640" t="s">
        <v>17</v>
      </c>
      <c r="C1640" t="s">
        <v>41</v>
      </c>
      <c r="D1640">
        <v>45532</v>
      </c>
      <c r="E1640">
        <v>33338</v>
      </c>
      <c r="F1640">
        <v>12194</v>
      </c>
      <c r="G1640" t="s">
        <v>19</v>
      </c>
      <c r="H1640" t="s">
        <v>23</v>
      </c>
      <c r="I1640" t="s">
        <v>53</v>
      </c>
      <c r="J1640" s="2">
        <f>Table1[[#This Row],[Profit]]/Table1[[#This Row],[Sales]]*100</f>
        <v>26.78116489501889</v>
      </c>
      <c r="K1640" t="str">
        <f>IF(Table1[[#This Row],[Sales]]&gt;=30000,"High", IF(Table1[[#This Row],[Sales]]&gt;=15000,"Medium","Low"))</f>
        <v>High</v>
      </c>
      <c r="L1640" t="str">
        <f>TEXT(Table1[[#This Row],[Order_Date]],"MMM")</f>
        <v>May</v>
      </c>
      <c r="M1640" t="str">
        <f>IF(Table1[[#This Row],[Profit]]&gt;=10000,"Excellent",IF(Table1[[#This Row],[Profit]]&gt;5000,"Good","Low"))</f>
        <v>Excellent</v>
      </c>
      <c r="N1640" t="str">
        <f>TEXT(Table1[[#This Row],[Order_Date]],"YYYY")</f>
        <v>2024</v>
      </c>
    </row>
    <row r="1641" spans="1:14" x14ac:dyDescent="0.25">
      <c r="A1641" s="1">
        <v>45447</v>
      </c>
      <c r="B1641" t="s">
        <v>17</v>
      </c>
      <c r="C1641" t="s">
        <v>36</v>
      </c>
      <c r="D1641">
        <v>38250</v>
      </c>
      <c r="E1641">
        <v>29019</v>
      </c>
      <c r="F1641">
        <v>9231</v>
      </c>
      <c r="G1641" t="s">
        <v>38</v>
      </c>
      <c r="H1641" t="s">
        <v>28</v>
      </c>
      <c r="I1641" t="s">
        <v>29</v>
      </c>
      <c r="J1641" s="2">
        <f>Table1[[#This Row],[Profit]]/Table1[[#This Row],[Sales]]*100</f>
        <v>24.133333333333333</v>
      </c>
      <c r="K1641" t="str">
        <f>IF(Table1[[#This Row],[Sales]]&gt;=30000,"High", IF(Table1[[#This Row],[Sales]]&gt;=15000,"Medium","Low"))</f>
        <v>High</v>
      </c>
      <c r="L1641" t="str">
        <f>TEXT(Table1[[#This Row],[Order_Date]],"MMM")</f>
        <v>Jun</v>
      </c>
      <c r="M1641" t="str">
        <f>IF(Table1[[#This Row],[Profit]]&gt;=10000,"Excellent",IF(Table1[[#This Row],[Profit]]&gt;5000,"Good","Low"))</f>
        <v>Good</v>
      </c>
      <c r="N1641" t="str">
        <f>TEXT(Table1[[#This Row],[Order_Date]],"YYYY")</f>
        <v>2024</v>
      </c>
    </row>
    <row r="1642" spans="1:14" x14ac:dyDescent="0.25">
      <c r="A1642" s="1">
        <v>45178</v>
      </c>
      <c r="B1642" t="s">
        <v>44</v>
      </c>
      <c r="C1642" t="s">
        <v>36</v>
      </c>
      <c r="D1642">
        <v>31005</v>
      </c>
      <c r="E1642">
        <v>24390</v>
      </c>
      <c r="F1642">
        <v>6615</v>
      </c>
      <c r="G1642" t="s">
        <v>19</v>
      </c>
      <c r="H1642" t="s">
        <v>45</v>
      </c>
      <c r="I1642" t="s">
        <v>15</v>
      </c>
      <c r="J1642" s="2">
        <f>Table1[[#This Row],[Profit]]/Table1[[#This Row],[Sales]]*100</f>
        <v>21.335268505079828</v>
      </c>
      <c r="K1642" t="str">
        <f>IF(Table1[[#This Row],[Sales]]&gt;=30000,"High", IF(Table1[[#This Row],[Sales]]&gt;=15000,"Medium","Low"))</f>
        <v>High</v>
      </c>
      <c r="L1642" t="str">
        <f>TEXT(Table1[[#This Row],[Order_Date]],"MMM")</f>
        <v>Sep</v>
      </c>
      <c r="M1642" t="str">
        <f>IF(Table1[[#This Row],[Profit]]&gt;=10000,"Excellent",IF(Table1[[#This Row],[Profit]]&gt;5000,"Good","Low"))</f>
        <v>Good</v>
      </c>
      <c r="N1642" t="str">
        <f>TEXT(Table1[[#This Row],[Order_Date]],"YYYY")</f>
        <v>2023</v>
      </c>
    </row>
    <row r="1643" spans="1:14" x14ac:dyDescent="0.25">
      <c r="A1643" s="1">
        <v>45530</v>
      </c>
      <c r="B1643" t="s">
        <v>44</v>
      </c>
      <c r="C1643" t="s">
        <v>36</v>
      </c>
      <c r="D1643">
        <v>6409</v>
      </c>
      <c r="E1643">
        <v>3077</v>
      </c>
      <c r="F1643">
        <v>3332</v>
      </c>
      <c r="G1643" t="s">
        <v>27</v>
      </c>
      <c r="H1643" t="s">
        <v>78</v>
      </c>
      <c r="I1643" t="s">
        <v>15</v>
      </c>
      <c r="J1643" s="2">
        <f>Table1[[#This Row],[Profit]]/Table1[[#This Row],[Sales]]*100</f>
        <v>51.989389920424401</v>
      </c>
      <c r="K1643" t="str">
        <f>IF(Table1[[#This Row],[Sales]]&gt;=30000,"High", IF(Table1[[#This Row],[Sales]]&gt;=15000,"Medium","Low"))</f>
        <v>Low</v>
      </c>
      <c r="L1643" t="str">
        <f>TEXT(Table1[[#This Row],[Order_Date]],"MMM")</f>
        <v>Aug</v>
      </c>
      <c r="M1643" t="str">
        <f>IF(Table1[[#This Row],[Profit]]&gt;=10000,"Excellent",IF(Table1[[#This Row],[Profit]]&gt;5000,"Good","Low"))</f>
        <v>Low</v>
      </c>
      <c r="N1643" t="str">
        <f>TEXT(Table1[[#This Row],[Order_Date]],"YYYY")</f>
        <v>2024</v>
      </c>
    </row>
    <row r="1644" spans="1:14" x14ac:dyDescent="0.25">
      <c r="A1644" s="1">
        <v>45286</v>
      </c>
      <c r="B1644" t="s">
        <v>22</v>
      </c>
      <c r="C1644" t="s">
        <v>18</v>
      </c>
      <c r="D1644">
        <v>32804</v>
      </c>
      <c r="E1644">
        <v>31965</v>
      </c>
      <c r="F1644">
        <v>839</v>
      </c>
      <c r="G1644" t="s">
        <v>38</v>
      </c>
      <c r="H1644" t="s">
        <v>78</v>
      </c>
      <c r="I1644" t="s">
        <v>29</v>
      </c>
      <c r="J1644" s="2">
        <f>Table1[[#This Row],[Profit]]/Table1[[#This Row],[Sales]]*100</f>
        <v>2.5576149250091453</v>
      </c>
      <c r="K1644" t="str">
        <f>IF(Table1[[#This Row],[Sales]]&gt;=30000,"High", IF(Table1[[#This Row],[Sales]]&gt;=15000,"Medium","Low"))</f>
        <v>High</v>
      </c>
      <c r="L1644" t="str">
        <f>TEXT(Table1[[#This Row],[Order_Date]],"MMM")</f>
        <v>Dec</v>
      </c>
      <c r="M1644" t="str">
        <f>IF(Table1[[#This Row],[Profit]]&gt;=10000,"Excellent",IF(Table1[[#This Row],[Profit]]&gt;5000,"Good","Low"))</f>
        <v>Low</v>
      </c>
      <c r="N1644" t="str">
        <f>TEXT(Table1[[#This Row],[Order_Date]],"YYYY")</f>
        <v>2023</v>
      </c>
    </row>
    <row r="1645" spans="1:14" x14ac:dyDescent="0.25">
      <c r="A1645" s="1">
        <v>45496</v>
      </c>
      <c r="B1645" t="s">
        <v>26</v>
      </c>
      <c r="C1645" t="s">
        <v>33</v>
      </c>
      <c r="D1645">
        <v>14407</v>
      </c>
      <c r="E1645">
        <v>13285</v>
      </c>
      <c r="F1645">
        <v>1122</v>
      </c>
      <c r="G1645" t="s">
        <v>27</v>
      </c>
      <c r="H1645" t="s">
        <v>34</v>
      </c>
      <c r="I1645" t="s">
        <v>24</v>
      </c>
      <c r="J1645" s="2">
        <f>Table1[[#This Row],[Profit]]/Table1[[#This Row],[Sales]]*100</f>
        <v>7.7878808912334287</v>
      </c>
      <c r="K1645" t="str">
        <f>IF(Table1[[#This Row],[Sales]]&gt;=30000,"High", IF(Table1[[#This Row],[Sales]]&gt;=15000,"Medium","Low"))</f>
        <v>Low</v>
      </c>
      <c r="L1645" t="str">
        <f>TEXT(Table1[[#This Row],[Order_Date]],"MMM")</f>
        <v>Jul</v>
      </c>
      <c r="M1645" t="str">
        <f>IF(Table1[[#This Row],[Profit]]&gt;=10000,"Excellent",IF(Table1[[#This Row],[Profit]]&gt;5000,"Good","Low"))</f>
        <v>Low</v>
      </c>
      <c r="N1645" t="str">
        <f>TEXT(Table1[[#This Row],[Order_Date]],"YYYY")</f>
        <v>2024</v>
      </c>
    </row>
    <row r="1646" spans="1:14" x14ac:dyDescent="0.25">
      <c r="A1646" s="1">
        <v>45742</v>
      </c>
      <c r="B1646" t="s">
        <v>22</v>
      </c>
      <c r="C1646" t="s">
        <v>33</v>
      </c>
      <c r="D1646">
        <v>39816</v>
      </c>
      <c r="E1646">
        <v>21978</v>
      </c>
      <c r="F1646">
        <v>17838</v>
      </c>
      <c r="G1646" t="s">
        <v>27</v>
      </c>
      <c r="H1646" t="s">
        <v>60</v>
      </c>
      <c r="I1646" t="s">
        <v>24</v>
      </c>
      <c r="J1646" s="2">
        <f>Table1[[#This Row],[Profit]]/Table1[[#This Row],[Sales]]*100</f>
        <v>44.801084990958408</v>
      </c>
      <c r="K1646" t="str">
        <f>IF(Table1[[#This Row],[Sales]]&gt;=30000,"High", IF(Table1[[#This Row],[Sales]]&gt;=15000,"Medium","Low"))</f>
        <v>High</v>
      </c>
      <c r="L1646" t="str">
        <f>TEXT(Table1[[#This Row],[Order_Date]],"MMM")</f>
        <v>Mar</v>
      </c>
      <c r="M1646" t="str">
        <f>IF(Table1[[#This Row],[Profit]]&gt;=10000,"Excellent",IF(Table1[[#This Row],[Profit]]&gt;5000,"Good","Low"))</f>
        <v>Excellent</v>
      </c>
      <c r="N1646" t="str">
        <f>TEXT(Table1[[#This Row],[Order_Date]],"YYYY")</f>
        <v>2025</v>
      </c>
    </row>
    <row r="1647" spans="1:14" x14ac:dyDescent="0.25">
      <c r="A1647" s="1">
        <v>46191</v>
      </c>
      <c r="B1647" t="s">
        <v>26</v>
      </c>
      <c r="C1647" t="s">
        <v>12</v>
      </c>
      <c r="D1647">
        <v>17926</v>
      </c>
      <c r="E1647">
        <v>1814</v>
      </c>
      <c r="F1647">
        <v>16112</v>
      </c>
      <c r="G1647" t="s">
        <v>38</v>
      </c>
      <c r="H1647" t="s">
        <v>34</v>
      </c>
      <c r="I1647" t="s">
        <v>24</v>
      </c>
      <c r="J1647" s="2">
        <f>Table1[[#This Row],[Profit]]/Table1[[#This Row],[Sales]]*100</f>
        <v>89.880620328015169</v>
      </c>
      <c r="K1647" t="str">
        <f>IF(Table1[[#This Row],[Sales]]&gt;=30000,"High", IF(Table1[[#This Row],[Sales]]&gt;=15000,"Medium","Low"))</f>
        <v>Medium</v>
      </c>
      <c r="L1647" t="str">
        <f>TEXT(Table1[[#This Row],[Order_Date]],"MMM")</f>
        <v>Jun</v>
      </c>
      <c r="M1647" t="str">
        <f>IF(Table1[[#This Row],[Profit]]&gt;=10000,"Excellent",IF(Table1[[#This Row],[Profit]]&gt;5000,"Good","Low"))</f>
        <v>Excellent</v>
      </c>
      <c r="N1647" t="str">
        <f>TEXT(Table1[[#This Row],[Order_Date]],"YYYY")</f>
        <v>2026</v>
      </c>
    </row>
    <row r="1648" spans="1:14" x14ac:dyDescent="0.25">
      <c r="A1648" s="1">
        <v>45331</v>
      </c>
      <c r="B1648" t="s">
        <v>26</v>
      </c>
      <c r="C1648" t="s">
        <v>12</v>
      </c>
      <c r="D1648">
        <v>21935</v>
      </c>
      <c r="E1648">
        <v>14437</v>
      </c>
      <c r="F1648">
        <v>7498</v>
      </c>
      <c r="G1648" t="s">
        <v>19</v>
      </c>
      <c r="H1648" t="s">
        <v>34</v>
      </c>
      <c r="I1648" t="s">
        <v>29</v>
      </c>
      <c r="J1648" s="2">
        <f>Table1[[#This Row],[Profit]]/Table1[[#This Row],[Sales]]*100</f>
        <v>34.182812856165945</v>
      </c>
      <c r="K1648" t="str">
        <f>IF(Table1[[#This Row],[Sales]]&gt;=30000,"High", IF(Table1[[#This Row],[Sales]]&gt;=15000,"Medium","Low"))</f>
        <v>Medium</v>
      </c>
      <c r="L1648" t="str">
        <f>TEXT(Table1[[#This Row],[Order_Date]],"MMM")</f>
        <v>Feb</v>
      </c>
      <c r="M1648" t="str">
        <f>IF(Table1[[#This Row],[Profit]]&gt;=10000,"Excellent",IF(Table1[[#This Row],[Profit]]&gt;5000,"Good","Low"))</f>
        <v>Good</v>
      </c>
      <c r="N1648" t="str">
        <f>TEXT(Table1[[#This Row],[Order_Date]],"YYYY")</f>
        <v>2024</v>
      </c>
    </row>
    <row r="1649" spans="1:14" x14ac:dyDescent="0.25">
      <c r="A1649" s="1">
        <v>45360</v>
      </c>
      <c r="B1649" t="s">
        <v>22</v>
      </c>
      <c r="C1649" t="s">
        <v>12</v>
      </c>
      <c r="D1649">
        <v>5800</v>
      </c>
      <c r="E1649">
        <v>935</v>
      </c>
      <c r="F1649">
        <v>4865</v>
      </c>
      <c r="G1649" t="s">
        <v>27</v>
      </c>
      <c r="H1649" t="s">
        <v>60</v>
      </c>
      <c r="I1649" t="s">
        <v>29</v>
      </c>
      <c r="J1649" s="2">
        <f>Table1[[#This Row],[Profit]]/Table1[[#This Row],[Sales]]*100</f>
        <v>83.879310344827587</v>
      </c>
      <c r="K1649" t="str">
        <f>IF(Table1[[#This Row],[Sales]]&gt;=30000,"High", IF(Table1[[#This Row],[Sales]]&gt;=15000,"Medium","Low"))</f>
        <v>Low</v>
      </c>
      <c r="L1649" t="str">
        <f>TEXT(Table1[[#This Row],[Order_Date]],"MMM")</f>
        <v>Mar</v>
      </c>
      <c r="M1649" t="str">
        <f>IF(Table1[[#This Row],[Profit]]&gt;=10000,"Excellent",IF(Table1[[#This Row],[Profit]]&gt;5000,"Good","Low"))</f>
        <v>Low</v>
      </c>
      <c r="N1649" t="str">
        <f>TEXT(Table1[[#This Row],[Order_Date]],"YYYY")</f>
        <v>2024</v>
      </c>
    </row>
    <row r="1650" spans="1:14" x14ac:dyDescent="0.25">
      <c r="A1650" s="1">
        <v>45309</v>
      </c>
      <c r="B1650" t="s">
        <v>11</v>
      </c>
      <c r="C1650" t="s">
        <v>18</v>
      </c>
      <c r="D1650">
        <v>41325</v>
      </c>
      <c r="E1650">
        <v>34796</v>
      </c>
      <c r="F1650">
        <v>6529</v>
      </c>
      <c r="G1650" t="s">
        <v>19</v>
      </c>
      <c r="H1650" t="s">
        <v>31</v>
      </c>
      <c r="I1650" t="s">
        <v>29</v>
      </c>
      <c r="J1650" s="2">
        <f>Table1[[#This Row],[Profit]]/Table1[[#This Row],[Sales]]*100</f>
        <v>15.799153055051422</v>
      </c>
      <c r="K1650" t="str">
        <f>IF(Table1[[#This Row],[Sales]]&gt;=30000,"High", IF(Table1[[#This Row],[Sales]]&gt;=15000,"Medium","Low"))</f>
        <v>High</v>
      </c>
      <c r="L1650" t="str">
        <f>TEXT(Table1[[#This Row],[Order_Date]],"MMM")</f>
        <v>Jan</v>
      </c>
      <c r="M1650" t="str">
        <f>IF(Table1[[#This Row],[Profit]]&gt;=10000,"Excellent",IF(Table1[[#This Row],[Profit]]&gt;5000,"Good","Low"))</f>
        <v>Good</v>
      </c>
      <c r="N1650" t="str">
        <f>TEXT(Table1[[#This Row],[Order_Date]],"YYYY")</f>
        <v>2024</v>
      </c>
    </row>
    <row r="1651" spans="1:14" x14ac:dyDescent="0.25">
      <c r="A1651" s="1">
        <v>45334</v>
      </c>
      <c r="B1651" t="s">
        <v>11</v>
      </c>
      <c r="C1651" t="s">
        <v>33</v>
      </c>
      <c r="D1651">
        <v>33061</v>
      </c>
      <c r="E1651">
        <v>28797</v>
      </c>
      <c r="F1651">
        <v>4264</v>
      </c>
      <c r="G1651" t="s">
        <v>13</v>
      </c>
      <c r="H1651" t="s">
        <v>23</v>
      </c>
      <c r="I1651" t="s">
        <v>29</v>
      </c>
      <c r="J1651" s="2">
        <f>Table1[[#This Row],[Profit]]/Table1[[#This Row],[Sales]]*100</f>
        <v>12.897371525362209</v>
      </c>
      <c r="K1651" t="str">
        <f>IF(Table1[[#This Row],[Sales]]&gt;=30000,"High", IF(Table1[[#This Row],[Sales]]&gt;=15000,"Medium","Low"))</f>
        <v>High</v>
      </c>
      <c r="L1651" t="str">
        <f>TEXT(Table1[[#This Row],[Order_Date]],"MMM")</f>
        <v>Feb</v>
      </c>
      <c r="M1651" t="str">
        <f>IF(Table1[[#This Row],[Profit]]&gt;=10000,"Excellent",IF(Table1[[#This Row],[Profit]]&gt;5000,"Good","Low"))</f>
        <v>Low</v>
      </c>
      <c r="N1651" t="str">
        <f>TEXT(Table1[[#This Row],[Order_Date]],"YYYY")</f>
        <v>2024</v>
      </c>
    </row>
    <row r="1652" spans="1:14" x14ac:dyDescent="0.25">
      <c r="A1652" s="1">
        <v>45759</v>
      </c>
      <c r="B1652" t="s">
        <v>17</v>
      </c>
      <c r="C1652" t="s">
        <v>18</v>
      </c>
      <c r="D1652">
        <v>31620</v>
      </c>
      <c r="E1652">
        <v>27711</v>
      </c>
      <c r="F1652">
        <v>3909</v>
      </c>
      <c r="G1652" t="s">
        <v>13</v>
      </c>
      <c r="H1652" t="s">
        <v>63</v>
      </c>
      <c r="I1652" t="s">
        <v>42</v>
      </c>
      <c r="J1652" s="2">
        <f>Table1[[#This Row],[Profit]]/Table1[[#This Row],[Sales]]*100</f>
        <v>12.362428842504745</v>
      </c>
      <c r="K1652" t="str">
        <f>IF(Table1[[#This Row],[Sales]]&gt;=30000,"High", IF(Table1[[#This Row],[Sales]]&gt;=15000,"Medium","Low"))</f>
        <v>High</v>
      </c>
      <c r="L1652" t="str">
        <f>TEXT(Table1[[#This Row],[Order_Date]],"MMM")</f>
        <v>Apr</v>
      </c>
      <c r="M1652" t="str">
        <f>IF(Table1[[#This Row],[Profit]]&gt;=10000,"Excellent",IF(Table1[[#This Row],[Profit]]&gt;5000,"Good","Low"))</f>
        <v>Low</v>
      </c>
      <c r="N1652" t="str">
        <f>TEXT(Table1[[#This Row],[Order_Date]],"YYYY")</f>
        <v>2025</v>
      </c>
    </row>
    <row r="1653" spans="1:14" x14ac:dyDescent="0.25">
      <c r="A1653" s="1">
        <v>45845</v>
      </c>
      <c r="B1653" t="s">
        <v>11</v>
      </c>
      <c r="C1653" t="s">
        <v>36</v>
      </c>
      <c r="D1653">
        <v>18071</v>
      </c>
      <c r="E1653">
        <v>1139</v>
      </c>
      <c r="F1653">
        <v>16932</v>
      </c>
      <c r="G1653" t="s">
        <v>13</v>
      </c>
      <c r="H1653" t="s">
        <v>60</v>
      </c>
      <c r="I1653" t="s">
        <v>29</v>
      </c>
      <c r="J1653" s="2">
        <f>Table1[[#This Row],[Profit]]/Table1[[#This Row],[Sales]]*100</f>
        <v>93.697083725305745</v>
      </c>
      <c r="K1653" t="str">
        <f>IF(Table1[[#This Row],[Sales]]&gt;=30000,"High", IF(Table1[[#This Row],[Sales]]&gt;=15000,"Medium","Low"))</f>
        <v>Medium</v>
      </c>
      <c r="L1653" t="str">
        <f>TEXT(Table1[[#This Row],[Order_Date]],"MMM")</f>
        <v>Jul</v>
      </c>
      <c r="M1653" t="str">
        <f>IF(Table1[[#This Row],[Profit]]&gt;=10000,"Excellent",IF(Table1[[#This Row],[Profit]]&gt;5000,"Good","Low"))</f>
        <v>Excellent</v>
      </c>
      <c r="N1653" t="str">
        <f>TEXT(Table1[[#This Row],[Order_Date]],"YYYY")</f>
        <v>2025</v>
      </c>
    </row>
    <row r="1654" spans="1:14" x14ac:dyDescent="0.25">
      <c r="A1654" s="1">
        <v>45334</v>
      </c>
      <c r="B1654" t="s">
        <v>26</v>
      </c>
      <c r="C1654" t="s">
        <v>33</v>
      </c>
      <c r="D1654">
        <v>9501</v>
      </c>
      <c r="E1654">
        <v>8425</v>
      </c>
      <c r="F1654">
        <v>1076</v>
      </c>
      <c r="G1654" t="s">
        <v>27</v>
      </c>
      <c r="H1654" t="s">
        <v>45</v>
      </c>
      <c r="I1654" t="s">
        <v>29</v>
      </c>
      <c r="J1654" s="2">
        <f>Table1[[#This Row],[Profit]]/Table1[[#This Row],[Sales]]*100</f>
        <v>11.325123671192507</v>
      </c>
      <c r="K1654" t="str">
        <f>IF(Table1[[#This Row],[Sales]]&gt;=30000,"High", IF(Table1[[#This Row],[Sales]]&gt;=15000,"Medium","Low"))</f>
        <v>Low</v>
      </c>
      <c r="L1654" t="str">
        <f>TEXT(Table1[[#This Row],[Order_Date]],"MMM")</f>
        <v>Feb</v>
      </c>
      <c r="M1654" t="str">
        <f>IF(Table1[[#This Row],[Profit]]&gt;=10000,"Excellent",IF(Table1[[#This Row],[Profit]]&gt;5000,"Good","Low"))</f>
        <v>Low</v>
      </c>
      <c r="N1654" t="str">
        <f>TEXT(Table1[[#This Row],[Order_Date]],"YYYY")</f>
        <v>2024</v>
      </c>
    </row>
    <row r="1655" spans="1:14" x14ac:dyDescent="0.25">
      <c r="A1655" s="1">
        <v>45578</v>
      </c>
      <c r="B1655" t="s">
        <v>17</v>
      </c>
      <c r="C1655" t="s">
        <v>18</v>
      </c>
      <c r="D1655">
        <v>31113</v>
      </c>
      <c r="E1655">
        <v>16462</v>
      </c>
      <c r="F1655">
        <v>14651</v>
      </c>
      <c r="G1655" t="s">
        <v>38</v>
      </c>
      <c r="H1655" t="s">
        <v>23</v>
      </c>
      <c r="I1655" t="s">
        <v>42</v>
      </c>
      <c r="J1655" s="2">
        <f>Table1[[#This Row],[Profit]]/Table1[[#This Row],[Sales]]*100</f>
        <v>47.089640986082983</v>
      </c>
      <c r="K1655" t="str">
        <f>IF(Table1[[#This Row],[Sales]]&gt;=30000,"High", IF(Table1[[#This Row],[Sales]]&gt;=15000,"Medium","Low"))</f>
        <v>High</v>
      </c>
      <c r="L1655" t="str">
        <f>TEXT(Table1[[#This Row],[Order_Date]],"MMM")</f>
        <v>Oct</v>
      </c>
      <c r="M1655" t="str">
        <f>IF(Table1[[#This Row],[Profit]]&gt;=10000,"Excellent",IF(Table1[[#This Row],[Profit]]&gt;5000,"Good","Low"))</f>
        <v>Excellent</v>
      </c>
      <c r="N1655" t="str">
        <f>TEXT(Table1[[#This Row],[Order_Date]],"YYYY")</f>
        <v>2024</v>
      </c>
    </row>
    <row r="1656" spans="1:14" x14ac:dyDescent="0.25">
      <c r="A1656" s="1">
        <v>45141</v>
      </c>
      <c r="B1656" t="s">
        <v>11</v>
      </c>
      <c r="C1656" t="s">
        <v>33</v>
      </c>
      <c r="D1656">
        <v>40977</v>
      </c>
      <c r="E1656">
        <v>29033</v>
      </c>
      <c r="F1656">
        <v>11944</v>
      </c>
      <c r="G1656" t="s">
        <v>27</v>
      </c>
      <c r="H1656" t="s">
        <v>31</v>
      </c>
      <c r="I1656" t="s">
        <v>53</v>
      </c>
      <c r="J1656" s="2">
        <f>Table1[[#This Row],[Profit]]/Table1[[#This Row],[Sales]]*100</f>
        <v>29.148058667057132</v>
      </c>
      <c r="K1656" t="str">
        <f>IF(Table1[[#This Row],[Sales]]&gt;=30000,"High", IF(Table1[[#This Row],[Sales]]&gt;=15000,"Medium","Low"))</f>
        <v>High</v>
      </c>
      <c r="L1656" t="str">
        <f>TEXT(Table1[[#This Row],[Order_Date]],"MMM")</f>
        <v>Aug</v>
      </c>
      <c r="M1656" t="str">
        <f>IF(Table1[[#This Row],[Profit]]&gt;=10000,"Excellent",IF(Table1[[#This Row],[Profit]]&gt;5000,"Good","Low"))</f>
        <v>Excellent</v>
      </c>
      <c r="N1656" t="str">
        <f>TEXT(Table1[[#This Row],[Order_Date]],"YYYY")</f>
        <v>2023</v>
      </c>
    </row>
    <row r="1657" spans="1:14" x14ac:dyDescent="0.25">
      <c r="A1657" s="1">
        <v>45685</v>
      </c>
      <c r="B1657" t="s">
        <v>11</v>
      </c>
      <c r="C1657" t="s">
        <v>36</v>
      </c>
      <c r="D1657">
        <v>29547</v>
      </c>
      <c r="E1657">
        <v>15710</v>
      </c>
      <c r="F1657">
        <v>13837</v>
      </c>
      <c r="G1657" t="s">
        <v>19</v>
      </c>
      <c r="H1657" t="s">
        <v>63</v>
      </c>
      <c r="I1657" t="s">
        <v>42</v>
      </c>
      <c r="J1657" s="2">
        <f>Table1[[#This Row],[Profit]]/Table1[[#This Row],[Sales]]*100</f>
        <v>46.830473482925512</v>
      </c>
      <c r="K1657" t="str">
        <f>IF(Table1[[#This Row],[Sales]]&gt;=30000,"High", IF(Table1[[#This Row],[Sales]]&gt;=15000,"Medium","Low"))</f>
        <v>Medium</v>
      </c>
      <c r="L1657" t="str">
        <f>TEXT(Table1[[#This Row],[Order_Date]],"MMM")</f>
        <v>Jan</v>
      </c>
      <c r="M1657" t="str">
        <f>IF(Table1[[#This Row],[Profit]]&gt;=10000,"Excellent",IF(Table1[[#This Row],[Profit]]&gt;5000,"Good","Low"))</f>
        <v>Excellent</v>
      </c>
      <c r="N1657" t="str">
        <f>TEXT(Table1[[#This Row],[Order_Date]],"YYYY")</f>
        <v>2025</v>
      </c>
    </row>
    <row r="1658" spans="1:14" x14ac:dyDescent="0.25">
      <c r="A1658" s="1">
        <v>45679</v>
      </c>
      <c r="B1658" t="s">
        <v>22</v>
      </c>
      <c r="C1658" t="s">
        <v>41</v>
      </c>
      <c r="D1658">
        <v>23076</v>
      </c>
      <c r="E1658">
        <v>15100</v>
      </c>
      <c r="F1658">
        <v>7976</v>
      </c>
      <c r="G1658" t="s">
        <v>19</v>
      </c>
      <c r="H1658" t="s">
        <v>23</v>
      </c>
      <c r="I1658" t="s">
        <v>15</v>
      </c>
      <c r="J1658" s="2">
        <f>Table1[[#This Row],[Profit]]/Table1[[#This Row],[Sales]]*100</f>
        <v>34.56404922863581</v>
      </c>
      <c r="K1658" t="str">
        <f>IF(Table1[[#This Row],[Sales]]&gt;=30000,"High", IF(Table1[[#This Row],[Sales]]&gt;=15000,"Medium","Low"))</f>
        <v>Medium</v>
      </c>
      <c r="L1658" t="str">
        <f>TEXT(Table1[[#This Row],[Order_Date]],"MMM")</f>
        <v>Jan</v>
      </c>
      <c r="M1658" t="str">
        <f>IF(Table1[[#This Row],[Profit]]&gt;=10000,"Excellent",IF(Table1[[#This Row],[Profit]]&gt;5000,"Good","Low"))</f>
        <v>Good</v>
      </c>
      <c r="N1658" t="str">
        <f>TEXT(Table1[[#This Row],[Order_Date]],"YYYY")</f>
        <v>2025</v>
      </c>
    </row>
    <row r="1659" spans="1:14" x14ac:dyDescent="0.25">
      <c r="A1659" s="1">
        <v>45934</v>
      </c>
      <c r="B1659" t="s">
        <v>11</v>
      </c>
      <c r="C1659" t="s">
        <v>18</v>
      </c>
      <c r="D1659">
        <v>44971</v>
      </c>
      <c r="E1659">
        <v>44128</v>
      </c>
      <c r="F1659">
        <v>843</v>
      </c>
      <c r="G1659" t="s">
        <v>13</v>
      </c>
      <c r="H1659" t="s">
        <v>28</v>
      </c>
      <c r="I1659" t="s">
        <v>15</v>
      </c>
      <c r="J1659" s="2">
        <f>Table1[[#This Row],[Profit]]/Table1[[#This Row],[Sales]]*100</f>
        <v>1.8745413711058239</v>
      </c>
      <c r="K1659" t="str">
        <f>IF(Table1[[#This Row],[Sales]]&gt;=30000,"High", IF(Table1[[#This Row],[Sales]]&gt;=15000,"Medium","Low"))</f>
        <v>High</v>
      </c>
      <c r="L1659" t="str">
        <f>TEXT(Table1[[#This Row],[Order_Date]],"MMM")</f>
        <v>Oct</v>
      </c>
      <c r="M1659" t="str">
        <f>IF(Table1[[#This Row],[Profit]]&gt;=10000,"Excellent",IF(Table1[[#This Row],[Profit]]&gt;5000,"Good","Low"))</f>
        <v>Low</v>
      </c>
      <c r="N1659" t="str">
        <f>TEXT(Table1[[#This Row],[Order_Date]],"YYYY")</f>
        <v>2025</v>
      </c>
    </row>
    <row r="1660" spans="1:14" x14ac:dyDescent="0.25">
      <c r="A1660" s="1">
        <v>45473</v>
      </c>
      <c r="B1660" t="s">
        <v>26</v>
      </c>
      <c r="C1660" t="s">
        <v>18</v>
      </c>
      <c r="D1660">
        <v>31728</v>
      </c>
      <c r="E1660">
        <v>28427</v>
      </c>
      <c r="F1660">
        <v>3301</v>
      </c>
      <c r="G1660" t="s">
        <v>38</v>
      </c>
      <c r="H1660" t="s">
        <v>14</v>
      </c>
      <c r="I1660" t="s">
        <v>15</v>
      </c>
      <c r="J1660" s="2">
        <f>Table1[[#This Row],[Profit]]/Table1[[#This Row],[Sales]]*100</f>
        <v>10.404059505799294</v>
      </c>
      <c r="K1660" t="str">
        <f>IF(Table1[[#This Row],[Sales]]&gt;=30000,"High", IF(Table1[[#This Row],[Sales]]&gt;=15000,"Medium","Low"))</f>
        <v>High</v>
      </c>
      <c r="L1660" t="str">
        <f>TEXT(Table1[[#This Row],[Order_Date]],"MMM")</f>
        <v>Jun</v>
      </c>
      <c r="M1660" t="str">
        <f>IF(Table1[[#This Row],[Profit]]&gt;=10000,"Excellent",IF(Table1[[#This Row],[Profit]]&gt;5000,"Good","Low"))</f>
        <v>Low</v>
      </c>
      <c r="N1660" t="str">
        <f>TEXT(Table1[[#This Row],[Order_Date]],"YYYY")</f>
        <v>2024</v>
      </c>
    </row>
    <row r="1661" spans="1:14" x14ac:dyDescent="0.25">
      <c r="A1661" s="1">
        <v>45215</v>
      </c>
      <c r="B1661" t="s">
        <v>44</v>
      </c>
      <c r="C1661" t="s">
        <v>18</v>
      </c>
      <c r="D1661">
        <v>13766</v>
      </c>
      <c r="E1661">
        <v>6185</v>
      </c>
      <c r="F1661">
        <v>7581</v>
      </c>
      <c r="G1661" t="s">
        <v>38</v>
      </c>
      <c r="H1661" t="s">
        <v>60</v>
      </c>
      <c r="I1661" t="s">
        <v>29</v>
      </c>
      <c r="J1661" s="2">
        <f>Table1[[#This Row],[Profit]]/Table1[[#This Row],[Sales]]*100</f>
        <v>55.070463460700282</v>
      </c>
      <c r="K1661" t="str">
        <f>IF(Table1[[#This Row],[Sales]]&gt;=30000,"High", IF(Table1[[#This Row],[Sales]]&gt;=15000,"Medium","Low"))</f>
        <v>Low</v>
      </c>
      <c r="L1661" t="str">
        <f>TEXT(Table1[[#This Row],[Order_Date]],"MMM")</f>
        <v>Oct</v>
      </c>
      <c r="M1661" t="str">
        <f>IF(Table1[[#This Row],[Profit]]&gt;=10000,"Excellent",IF(Table1[[#This Row],[Profit]]&gt;5000,"Good","Low"))</f>
        <v>Good</v>
      </c>
      <c r="N1661" t="str">
        <f>TEXT(Table1[[#This Row],[Order_Date]],"YYYY")</f>
        <v>2023</v>
      </c>
    </row>
    <row r="1662" spans="1:14" x14ac:dyDescent="0.25">
      <c r="A1662" s="1">
        <v>45560</v>
      </c>
      <c r="B1662" t="s">
        <v>17</v>
      </c>
      <c r="C1662" t="s">
        <v>18</v>
      </c>
      <c r="D1662">
        <v>32519</v>
      </c>
      <c r="E1662">
        <v>24055</v>
      </c>
      <c r="F1662">
        <v>8464</v>
      </c>
      <c r="G1662" t="s">
        <v>27</v>
      </c>
      <c r="H1662" t="s">
        <v>63</v>
      </c>
      <c r="I1662" t="s">
        <v>53</v>
      </c>
      <c r="J1662" s="2">
        <f>Table1[[#This Row],[Profit]]/Table1[[#This Row],[Sales]]*100</f>
        <v>26.027860635320888</v>
      </c>
      <c r="K1662" t="str">
        <f>IF(Table1[[#This Row],[Sales]]&gt;=30000,"High", IF(Table1[[#This Row],[Sales]]&gt;=15000,"Medium","Low"))</f>
        <v>High</v>
      </c>
      <c r="L1662" t="str">
        <f>TEXT(Table1[[#This Row],[Order_Date]],"MMM")</f>
        <v>Sep</v>
      </c>
      <c r="M1662" t="str">
        <f>IF(Table1[[#This Row],[Profit]]&gt;=10000,"Excellent",IF(Table1[[#This Row],[Profit]]&gt;5000,"Good","Low"))</f>
        <v>Good</v>
      </c>
      <c r="N1662" t="str">
        <f>TEXT(Table1[[#This Row],[Order_Date]],"YYYY")</f>
        <v>2024</v>
      </c>
    </row>
    <row r="1663" spans="1:14" x14ac:dyDescent="0.25">
      <c r="A1663" s="1">
        <v>45130</v>
      </c>
      <c r="B1663" t="s">
        <v>11</v>
      </c>
      <c r="C1663" t="s">
        <v>33</v>
      </c>
      <c r="D1663">
        <v>47542</v>
      </c>
      <c r="E1663">
        <v>39720</v>
      </c>
      <c r="F1663">
        <v>7822</v>
      </c>
      <c r="G1663" t="s">
        <v>19</v>
      </c>
      <c r="H1663" t="s">
        <v>63</v>
      </c>
      <c r="I1663" t="s">
        <v>24</v>
      </c>
      <c r="J1663" s="2">
        <f>Table1[[#This Row],[Profit]]/Table1[[#This Row],[Sales]]*100</f>
        <v>16.452820663834082</v>
      </c>
      <c r="K1663" t="str">
        <f>IF(Table1[[#This Row],[Sales]]&gt;=30000,"High", IF(Table1[[#This Row],[Sales]]&gt;=15000,"Medium","Low"))</f>
        <v>High</v>
      </c>
      <c r="L1663" t="str">
        <f>TEXT(Table1[[#This Row],[Order_Date]],"MMM")</f>
        <v>Jul</v>
      </c>
      <c r="M1663" t="str">
        <f>IF(Table1[[#This Row],[Profit]]&gt;=10000,"Excellent",IF(Table1[[#This Row],[Profit]]&gt;5000,"Good","Low"))</f>
        <v>Good</v>
      </c>
      <c r="N1663" t="str">
        <f>TEXT(Table1[[#This Row],[Order_Date]],"YYYY")</f>
        <v>2023</v>
      </c>
    </row>
    <row r="1664" spans="1:14" x14ac:dyDescent="0.25">
      <c r="A1664" s="1">
        <v>46140</v>
      </c>
      <c r="B1664" t="s">
        <v>17</v>
      </c>
      <c r="C1664" t="s">
        <v>41</v>
      </c>
      <c r="D1664">
        <v>30827</v>
      </c>
      <c r="E1664">
        <v>18359</v>
      </c>
      <c r="F1664">
        <v>12468</v>
      </c>
      <c r="G1664" t="s">
        <v>38</v>
      </c>
      <c r="H1664" t="s">
        <v>63</v>
      </c>
      <c r="I1664" t="s">
        <v>15</v>
      </c>
      <c r="J1664" s="2">
        <f>Table1[[#This Row],[Profit]]/Table1[[#This Row],[Sales]]*100</f>
        <v>40.44506439160476</v>
      </c>
      <c r="K1664" t="str">
        <f>IF(Table1[[#This Row],[Sales]]&gt;=30000,"High", IF(Table1[[#This Row],[Sales]]&gt;=15000,"Medium","Low"))</f>
        <v>High</v>
      </c>
      <c r="L1664" t="str">
        <f>TEXT(Table1[[#This Row],[Order_Date]],"MMM")</f>
        <v>Apr</v>
      </c>
      <c r="M1664" t="str">
        <f>IF(Table1[[#This Row],[Profit]]&gt;=10000,"Excellent",IF(Table1[[#This Row],[Profit]]&gt;5000,"Good","Low"))</f>
        <v>Excellent</v>
      </c>
      <c r="N1664" t="str">
        <f>TEXT(Table1[[#This Row],[Order_Date]],"YYYY")</f>
        <v>2026</v>
      </c>
    </row>
    <row r="1665" spans="1:14" x14ac:dyDescent="0.25">
      <c r="A1665" s="1">
        <v>45844</v>
      </c>
      <c r="B1665" t="s">
        <v>17</v>
      </c>
      <c r="C1665" t="s">
        <v>41</v>
      </c>
      <c r="D1665">
        <v>41893</v>
      </c>
      <c r="E1665">
        <v>26081</v>
      </c>
      <c r="F1665">
        <v>15812</v>
      </c>
      <c r="G1665" t="s">
        <v>38</v>
      </c>
      <c r="H1665" t="s">
        <v>20</v>
      </c>
      <c r="I1665" t="s">
        <v>42</v>
      </c>
      <c r="J1665" s="2">
        <f>Table1[[#This Row],[Profit]]/Table1[[#This Row],[Sales]]*100</f>
        <v>37.743775809801164</v>
      </c>
      <c r="K1665" t="str">
        <f>IF(Table1[[#This Row],[Sales]]&gt;=30000,"High", IF(Table1[[#This Row],[Sales]]&gt;=15000,"Medium","Low"))</f>
        <v>High</v>
      </c>
      <c r="L1665" t="str">
        <f>TEXT(Table1[[#This Row],[Order_Date]],"MMM")</f>
        <v>Jul</v>
      </c>
      <c r="M1665" t="str">
        <f>IF(Table1[[#This Row],[Profit]]&gt;=10000,"Excellent",IF(Table1[[#This Row],[Profit]]&gt;5000,"Good","Low"))</f>
        <v>Excellent</v>
      </c>
      <c r="N1665" t="str">
        <f>TEXT(Table1[[#This Row],[Order_Date]],"YYYY")</f>
        <v>2025</v>
      </c>
    </row>
    <row r="1666" spans="1:14" x14ac:dyDescent="0.25">
      <c r="A1666" s="1">
        <v>46207</v>
      </c>
      <c r="B1666" t="s">
        <v>22</v>
      </c>
      <c r="C1666" t="s">
        <v>12</v>
      </c>
      <c r="D1666">
        <v>44968</v>
      </c>
      <c r="E1666">
        <v>34203</v>
      </c>
      <c r="F1666">
        <v>10765</v>
      </c>
      <c r="G1666" t="s">
        <v>19</v>
      </c>
      <c r="H1666" t="s">
        <v>45</v>
      </c>
      <c r="I1666" t="s">
        <v>24</v>
      </c>
      <c r="J1666" s="2">
        <f>Table1[[#This Row],[Profit]]/Table1[[#This Row],[Sales]]*100</f>
        <v>23.939245685821028</v>
      </c>
      <c r="K1666" t="str">
        <f>IF(Table1[[#This Row],[Sales]]&gt;=30000,"High", IF(Table1[[#This Row],[Sales]]&gt;=15000,"Medium","Low"))</f>
        <v>High</v>
      </c>
      <c r="L1666" t="str">
        <f>TEXT(Table1[[#This Row],[Order_Date]],"MMM")</f>
        <v>Jul</v>
      </c>
      <c r="M1666" t="str">
        <f>IF(Table1[[#This Row],[Profit]]&gt;=10000,"Excellent",IF(Table1[[#This Row],[Profit]]&gt;5000,"Good","Low"))</f>
        <v>Excellent</v>
      </c>
      <c r="N1666" t="str">
        <f>TEXT(Table1[[#This Row],[Order_Date]],"YYYY")</f>
        <v>2026</v>
      </c>
    </row>
    <row r="1667" spans="1:14" x14ac:dyDescent="0.25">
      <c r="A1667" s="1">
        <v>45293</v>
      </c>
      <c r="B1667" t="s">
        <v>11</v>
      </c>
      <c r="C1667" t="s">
        <v>41</v>
      </c>
      <c r="D1667">
        <v>40405</v>
      </c>
      <c r="E1667">
        <v>36998</v>
      </c>
      <c r="F1667">
        <v>3407</v>
      </c>
      <c r="G1667" t="s">
        <v>27</v>
      </c>
      <c r="H1667" t="s">
        <v>45</v>
      </c>
      <c r="I1667" t="s">
        <v>24</v>
      </c>
      <c r="J1667" s="2">
        <f>Table1[[#This Row],[Profit]]/Table1[[#This Row],[Sales]]*100</f>
        <v>8.4321247370374959</v>
      </c>
      <c r="K1667" t="str">
        <f>IF(Table1[[#This Row],[Sales]]&gt;=30000,"High", IF(Table1[[#This Row],[Sales]]&gt;=15000,"Medium","Low"))</f>
        <v>High</v>
      </c>
      <c r="L1667" t="str">
        <f>TEXT(Table1[[#This Row],[Order_Date]],"MMM")</f>
        <v>Jan</v>
      </c>
      <c r="M1667" t="str">
        <f>IF(Table1[[#This Row],[Profit]]&gt;=10000,"Excellent",IF(Table1[[#This Row],[Profit]]&gt;5000,"Good","Low"))</f>
        <v>Low</v>
      </c>
      <c r="N1667" t="str">
        <f>TEXT(Table1[[#This Row],[Order_Date]],"YYYY")</f>
        <v>2024</v>
      </c>
    </row>
    <row r="1668" spans="1:14" x14ac:dyDescent="0.25">
      <c r="A1668" s="1">
        <v>45892</v>
      </c>
      <c r="B1668" t="s">
        <v>22</v>
      </c>
      <c r="C1668" t="s">
        <v>36</v>
      </c>
      <c r="D1668">
        <v>14394</v>
      </c>
      <c r="E1668">
        <v>13314</v>
      </c>
      <c r="F1668">
        <v>1080</v>
      </c>
      <c r="G1668" t="s">
        <v>19</v>
      </c>
      <c r="H1668" t="s">
        <v>28</v>
      </c>
      <c r="I1668" t="s">
        <v>15</v>
      </c>
      <c r="J1668" s="2">
        <f>Table1[[#This Row],[Profit]]/Table1[[#This Row],[Sales]]*100</f>
        <v>7.5031263026260939</v>
      </c>
      <c r="K1668" t="str">
        <f>IF(Table1[[#This Row],[Sales]]&gt;=30000,"High", IF(Table1[[#This Row],[Sales]]&gt;=15000,"Medium","Low"))</f>
        <v>Low</v>
      </c>
      <c r="L1668" t="str">
        <f>TEXT(Table1[[#This Row],[Order_Date]],"MMM")</f>
        <v>Aug</v>
      </c>
      <c r="M1668" t="str">
        <f>IF(Table1[[#This Row],[Profit]]&gt;=10000,"Excellent",IF(Table1[[#This Row],[Profit]]&gt;5000,"Good","Low"))</f>
        <v>Low</v>
      </c>
      <c r="N1668" t="str">
        <f>TEXT(Table1[[#This Row],[Order_Date]],"YYYY")</f>
        <v>2025</v>
      </c>
    </row>
    <row r="1669" spans="1:14" x14ac:dyDescent="0.25">
      <c r="A1669" s="1">
        <v>45412</v>
      </c>
      <c r="B1669" t="s">
        <v>26</v>
      </c>
      <c r="C1669" t="s">
        <v>33</v>
      </c>
      <c r="D1669">
        <v>8740</v>
      </c>
      <c r="E1669">
        <v>7909</v>
      </c>
      <c r="F1669">
        <v>831</v>
      </c>
      <c r="G1669" t="s">
        <v>13</v>
      </c>
      <c r="H1669" t="s">
        <v>60</v>
      </c>
      <c r="I1669" t="s">
        <v>29</v>
      </c>
      <c r="J1669" s="2">
        <f>Table1[[#This Row],[Profit]]/Table1[[#This Row],[Sales]]*100</f>
        <v>9.5080091533180777</v>
      </c>
      <c r="K1669" t="str">
        <f>IF(Table1[[#This Row],[Sales]]&gt;=30000,"High", IF(Table1[[#This Row],[Sales]]&gt;=15000,"Medium","Low"))</f>
        <v>Low</v>
      </c>
      <c r="L1669" t="str">
        <f>TEXT(Table1[[#This Row],[Order_Date]],"MMM")</f>
        <v>Apr</v>
      </c>
      <c r="M1669" t="str">
        <f>IF(Table1[[#This Row],[Profit]]&gt;=10000,"Excellent",IF(Table1[[#This Row],[Profit]]&gt;5000,"Good","Low"))</f>
        <v>Low</v>
      </c>
      <c r="N1669" t="str">
        <f>TEXT(Table1[[#This Row],[Order_Date]],"YYYY")</f>
        <v>2024</v>
      </c>
    </row>
    <row r="1670" spans="1:14" x14ac:dyDescent="0.25">
      <c r="A1670" s="1">
        <v>45582</v>
      </c>
      <c r="B1670" t="s">
        <v>22</v>
      </c>
      <c r="C1670" t="s">
        <v>18</v>
      </c>
      <c r="D1670">
        <v>25322</v>
      </c>
      <c r="E1670">
        <v>17164</v>
      </c>
      <c r="F1670">
        <v>8158</v>
      </c>
      <c r="G1670" t="s">
        <v>27</v>
      </c>
      <c r="H1670" t="s">
        <v>28</v>
      </c>
      <c r="I1670" t="s">
        <v>24</v>
      </c>
      <c r="J1670" s="2">
        <f>Table1[[#This Row],[Profit]]/Table1[[#This Row],[Sales]]*100</f>
        <v>32.217044467261665</v>
      </c>
      <c r="K1670" t="str">
        <f>IF(Table1[[#This Row],[Sales]]&gt;=30000,"High", IF(Table1[[#This Row],[Sales]]&gt;=15000,"Medium","Low"))</f>
        <v>Medium</v>
      </c>
      <c r="L1670" t="str">
        <f>TEXT(Table1[[#This Row],[Order_Date]],"MMM")</f>
        <v>Oct</v>
      </c>
      <c r="M1670" t="str">
        <f>IF(Table1[[#This Row],[Profit]]&gt;=10000,"Excellent",IF(Table1[[#This Row],[Profit]]&gt;5000,"Good","Low"))</f>
        <v>Good</v>
      </c>
      <c r="N1670" t="str">
        <f>TEXT(Table1[[#This Row],[Order_Date]],"YYYY")</f>
        <v>2024</v>
      </c>
    </row>
    <row r="1671" spans="1:14" x14ac:dyDescent="0.25">
      <c r="A1671" s="1">
        <v>45710</v>
      </c>
      <c r="B1671" t="s">
        <v>22</v>
      </c>
      <c r="C1671" t="s">
        <v>33</v>
      </c>
      <c r="D1671">
        <v>45674</v>
      </c>
      <c r="E1671">
        <v>44106</v>
      </c>
      <c r="F1671">
        <v>1568</v>
      </c>
      <c r="G1671" t="s">
        <v>13</v>
      </c>
      <c r="H1671" t="s">
        <v>14</v>
      </c>
      <c r="I1671" t="s">
        <v>15</v>
      </c>
      <c r="J1671" s="2">
        <f>Table1[[#This Row],[Profit]]/Table1[[#This Row],[Sales]]*100</f>
        <v>3.4330253535928534</v>
      </c>
      <c r="K1671" t="str">
        <f>IF(Table1[[#This Row],[Sales]]&gt;=30000,"High", IF(Table1[[#This Row],[Sales]]&gt;=15000,"Medium","Low"))</f>
        <v>High</v>
      </c>
      <c r="L1671" t="str">
        <f>TEXT(Table1[[#This Row],[Order_Date]],"MMM")</f>
        <v>Feb</v>
      </c>
      <c r="M1671" t="str">
        <f>IF(Table1[[#This Row],[Profit]]&gt;=10000,"Excellent",IF(Table1[[#This Row],[Profit]]&gt;5000,"Good","Low"))</f>
        <v>Low</v>
      </c>
      <c r="N1671" t="str">
        <f>TEXT(Table1[[#This Row],[Order_Date]],"YYYY")</f>
        <v>2025</v>
      </c>
    </row>
    <row r="1672" spans="1:14" x14ac:dyDescent="0.25">
      <c r="A1672" s="1">
        <v>45178</v>
      </c>
      <c r="B1672" t="s">
        <v>26</v>
      </c>
      <c r="C1672" t="s">
        <v>12</v>
      </c>
      <c r="D1672">
        <v>43462</v>
      </c>
      <c r="E1672">
        <v>42165</v>
      </c>
      <c r="F1672">
        <v>1297</v>
      </c>
      <c r="G1672" t="s">
        <v>19</v>
      </c>
      <c r="H1672" t="s">
        <v>78</v>
      </c>
      <c r="I1672" t="s">
        <v>15</v>
      </c>
      <c r="J1672" s="2">
        <f>Table1[[#This Row],[Profit]]/Table1[[#This Row],[Sales]]*100</f>
        <v>2.9842160968202109</v>
      </c>
      <c r="K1672" t="str">
        <f>IF(Table1[[#This Row],[Sales]]&gt;=30000,"High", IF(Table1[[#This Row],[Sales]]&gt;=15000,"Medium","Low"))</f>
        <v>High</v>
      </c>
      <c r="L1672" t="str">
        <f>TEXT(Table1[[#This Row],[Order_Date]],"MMM")</f>
        <v>Sep</v>
      </c>
      <c r="M1672" t="str">
        <f>IF(Table1[[#This Row],[Profit]]&gt;=10000,"Excellent",IF(Table1[[#This Row],[Profit]]&gt;5000,"Good","Low"))</f>
        <v>Low</v>
      </c>
      <c r="N1672" t="str">
        <f>TEXT(Table1[[#This Row],[Order_Date]],"YYYY")</f>
        <v>2023</v>
      </c>
    </row>
    <row r="1673" spans="1:14" x14ac:dyDescent="0.25">
      <c r="A1673" s="1">
        <v>45824</v>
      </c>
      <c r="B1673" t="s">
        <v>17</v>
      </c>
      <c r="C1673" t="s">
        <v>18</v>
      </c>
      <c r="D1673">
        <v>9878</v>
      </c>
      <c r="E1673">
        <v>5752</v>
      </c>
      <c r="F1673">
        <v>4126</v>
      </c>
      <c r="G1673" t="s">
        <v>13</v>
      </c>
      <c r="H1673" t="s">
        <v>34</v>
      </c>
      <c r="I1673" t="s">
        <v>29</v>
      </c>
      <c r="J1673" s="2">
        <f>Table1[[#This Row],[Profit]]/Table1[[#This Row],[Sales]]*100</f>
        <v>41.769588985624623</v>
      </c>
      <c r="K1673" t="str">
        <f>IF(Table1[[#This Row],[Sales]]&gt;=30000,"High", IF(Table1[[#This Row],[Sales]]&gt;=15000,"Medium","Low"))</f>
        <v>Low</v>
      </c>
      <c r="L1673" t="str">
        <f>TEXT(Table1[[#This Row],[Order_Date]],"MMM")</f>
        <v>Jun</v>
      </c>
      <c r="M1673" t="str">
        <f>IF(Table1[[#This Row],[Profit]]&gt;=10000,"Excellent",IF(Table1[[#This Row],[Profit]]&gt;5000,"Good","Low"))</f>
        <v>Low</v>
      </c>
      <c r="N1673" t="str">
        <f>TEXT(Table1[[#This Row],[Order_Date]],"YYYY")</f>
        <v>2025</v>
      </c>
    </row>
    <row r="1674" spans="1:14" x14ac:dyDescent="0.25">
      <c r="A1674" s="1">
        <v>45963</v>
      </c>
      <c r="B1674" t="s">
        <v>44</v>
      </c>
      <c r="C1674" t="s">
        <v>41</v>
      </c>
      <c r="D1674">
        <v>22698</v>
      </c>
      <c r="E1674">
        <v>3083</v>
      </c>
      <c r="F1674">
        <v>19615</v>
      </c>
      <c r="G1674" t="s">
        <v>27</v>
      </c>
      <c r="H1674" t="s">
        <v>14</v>
      </c>
      <c r="I1674" t="s">
        <v>24</v>
      </c>
      <c r="J1674" s="2">
        <f>Table1[[#This Row],[Profit]]/Table1[[#This Row],[Sales]]*100</f>
        <v>86.417305489470436</v>
      </c>
      <c r="K1674" t="str">
        <f>IF(Table1[[#This Row],[Sales]]&gt;=30000,"High", IF(Table1[[#This Row],[Sales]]&gt;=15000,"Medium","Low"))</f>
        <v>Medium</v>
      </c>
      <c r="L1674" t="str">
        <f>TEXT(Table1[[#This Row],[Order_Date]],"MMM")</f>
        <v>Nov</v>
      </c>
      <c r="M1674" t="str">
        <f>IF(Table1[[#This Row],[Profit]]&gt;=10000,"Excellent",IF(Table1[[#This Row],[Profit]]&gt;5000,"Good","Low"))</f>
        <v>Excellent</v>
      </c>
      <c r="N1674" t="str">
        <f>TEXT(Table1[[#This Row],[Order_Date]],"YYYY")</f>
        <v>2025</v>
      </c>
    </row>
    <row r="1675" spans="1:14" x14ac:dyDescent="0.25">
      <c r="A1675" s="1">
        <v>46062</v>
      </c>
      <c r="B1675" t="s">
        <v>26</v>
      </c>
      <c r="C1675" t="s">
        <v>12</v>
      </c>
      <c r="D1675">
        <v>10251</v>
      </c>
      <c r="E1675">
        <v>3552</v>
      </c>
      <c r="F1675">
        <v>6699</v>
      </c>
      <c r="G1675" t="s">
        <v>38</v>
      </c>
      <c r="H1675" t="s">
        <v>34</v>
      </c>
      <c r="I1675" t="s">
        <v>15</v>
      </c>
      <c r="J1675" s="2">
        <f>Table1[[#This Row],[Profit]]/Table1[[#This Row],[Sales]]*100</f>
        <v>65.349721978343581</v>
      </c>
      <c r="K1675" t="str">
        <f>IF(Table1[[#This Row],[Sales]]&gt;=30000,"High", IF(Table1[[#This Row],[Sales]]&gt;=15000,"Medium","Low"))</f>
        <v>Low</v>
      </c>
      <c r="L1675" t="str">
        <f>TEXT(Table1[[#This Row],[Order_Date]],"MMM")</f>
        <v>Feb</v>
      </c>
      <c r="M1675" t="str">
        <f>IF(Table1[[#This Row],[Profit]]&gt;=10000,"Excellent",IF(Table1[[#This Row],[Profit]]&gt;5000,"Good","Low"))</f>
        <v>Good</v>
      </c>
      <c r="N1675" t="str">
        <f>TEXT(Table1[[#This Row],[Order_Date]],"YYYY")</f>
        <v>2026</v>
      </c>
    </row>
    <row r="1676" spans="1:14" x14ac:dyDescent="0.25">
      <c r="A1676" s="1">
        <v>45980</v>
      </c>
      <c r="B1676" t="s">
        <v>11</v>
      </c>
      <c r="C1676" t="s">
        <v>33</v>
      </c>
      <c r="D1676">
        <v>47800</v>
      </c>
      <c r="E1676">
        <v>40763</v>
      </c>
      <c r="F1676">
        <v>7037</v>
      </c>
      <c r="G1676" t="s">
        <v>38</v>
      </c>
      <c r="H1676" t="s">
        <v>23</v>
      </c>
      <c r="I1676" t="s">
        <v>42</v>
      </c>
      <c r="J1676" s="2">
        <f>Table1[[#This Row],[Profit]]/Table1[[#This Row],[Sales]]*100</f>
        <v>14.721757322175733</v>
      </c>
      <c r="K1676" t="str">
        <f>IF(Table1[[#This Row],[Sales]]&gt;=30000,"High", IF(Table1[[#This Row],[Sales]]&gt;=15000,"Medium","Low"))</f>
        <v>High</v>
      </c>
      <c r="L1676" t="str">
        <f>TEXT(Table1[[#This Row],[Order_Date]],"MMM")</f>
        <v>Nov</v>
      </c>
      <c r="M1676" t="str">
        <f>IF(Table1[[#This Row],[Profit]]&gt;=10000,"Excellent",IF(Table1[[#This Row],[Profit]]&gt;5000,"Good","Low"))</f>
        <v>Good</v>
      </c>
      <c r="N1676" t="str">
        <f>TEXT(Table1[[#This Row],[Order_Date]],"YYYY")</f>
        <v>2025</v>
      </c>
    </row>
    <row r="1677" spans="1:14" x14ac:dyDescent="0.25">
      <c r="A1677" s="1">
        <v>46122</v>
      </c>
      <c r="B1677" t="s">
        <v>17</v>
      </c>
      <c r="C1677" t="s">
        <v>12</v>
      </c>
      <c r="D1677">
        <v>36554</v>
      </c>
      <c r="E1677">
        <v>16625</v>
      </c>
      <c r="F1677">
        <v>19929</v>
      </c>
      <c r="G1677" t="s">
        <v>38</v>
      </c>
      <c r="H1677" t="s">
        <v>45</v>
      </c>
      <c r="I1677" t="s">
        <v>29</v>
      </c>
      <c r="J1677" s="2">
        <f>Table1[[#This Row],[Profit]]/Table1[[#This Row],[Sales]]*100</f>
        <v>54.519341248563769</v>
      </c>
      <c r="K1677" t="str">
        <f>IF(Table1[[#This Row],[Sales]]&gt;=30000,"High", IF(Table1[[#This Row],[Sales]]&gt;=15000,"Medium","Low"))</f>
        <v>High</v>
      </c>
      <c r="L1677" t="str">
        <f>TEXT(Table1[[#This Row],[Order_Date]],"MMM")</f>
        <v>Apr</v>
      </c>
      <c r="M1677" t="str">
        <f>IF(Table1[[#This Row],[Profit]]&gt;=10000,"Excellent",IF(Table1[[#This Row],[Profit]]&gt;5000,"Good","Low"))</f>
        <v>Excellent</v>
      </c>
      <c r="N1677" t="str">
        <f>TEXT(Table1[[#This Row],[Order_Date]],"YYYY")</f>
        <v>2026</v>
      </c>
    </row>
    <row r="1678" spans="1:14" x14ac:dyDescent="0.25">
      <c r="A1678" s="1">
        <v>45362</v>
      </c>
      <c r="B1678" t="s">
        <v>11</v>
      </c>
      <c r="C1678" t="s">
        <v>33</v>
      </c>
      <c r="D1678">
        <v>11116</v>
      </c>
      <c r="E1678">
        <v>9365</v>
      </c>
      <c r="F1678">
        <v>1751</v>
      </c>
      <c r="G1678" t="s">
        <v>19</v>
      </c>
      <c r="H1678" t="s">
        <v>34</v>
      </c>
      <c r="I1678" t="s">
        <v>42</v>
      </c>
      <c r="J1678" s="2">
        <f>Table1[[#This Row],[Profit]]/Table1[[#This Row],[Sales]]*100</f>
        <v>15.752069089600576</v>
      </c>
      <c r="K1678" t="str">
        <f>IF(Table1[[#This Row],[Sales]]&gt;=30000,"High", IF(Table1[[#This Row],[Sales]]&gt;=15000,"Medium","Low"))</f>
        <v>Low</v>
      </c>
      <c r="L1678" t="str">
        <f>TEXT(Table1[[#This Row],[Order_Date]],"MMM")</f>
        <v>Mar</v>
      </c>
      <c r="M1678" t="str">
        <f>IF(Table1[[#This Row],[Profit]]&gt;=10000,"Excellent",IF(Table1[[#This Row],[Profit]]&gt;5000,"Good","Low"))</f>
        <v>Low</v>
      </c>
      <c r="N1678" t="str">
        <f>TEXT(Table1[[#This Row],[Order_Date]],"YYYY")</f>
        <v>2024</v>
      </c>
    </row>
    <row r="1679" spans="1:14" x14ac:dyDescent="0.25">
      <c r="A1679" s="1">
        <v>45159</v>
      </c>
      <c r="B1679" t="s">
        <v>26</v>
      </c>
      <c r="C1679" t="s">
        <v>36</v>
      </c>
      <c r="D1679">
        <v>42796</v>
      </c>
      <c r="E1679">
        <v>42188</v>
      </c>
      <c r="F1679">
        <v>608</v>
      </c>
      <c r="G1679" t="s">
        <v>13</v>
      </c>
      <c r="H1679" t="s">
        <v>23</v>
      </c>
      <c r="I1679" t="s">
        <v>24</v>
      </c>
      <c r="J1679" s="2">
        <f>Table1[[#This Row],[Profit]]/Table1[[#This Row],[Sales]]*100</f>
        <v>1.4206935227591362</v>
      </c>
      <c r="K1679" t="str">
        <f>IF(Table1[[#This Row],[Sales]]&gt;=30000,"High", IF(Table1[[#This Row],[Sales]]&gt;=15000,"Medium","Low"))</f>
        <v>High</v>
      </c>
      <c r="L1679" t="str">
        <f>TEXT(Table1[[#This Row],[Order_Date]],"MMM")</f>
        <v>Aug</v>
      </c>
      <c r="M1679" t="str">
        <f>IF(Table1[[#This Row],[Profit]]&gt;=10000,"Excellent",IF(Table1[[#This Row],[Profit]]&gt;5000,"Good","Low"))</f>
        <v>Low</v>
      </c>
      <c r="N1679" t="str">
        <f>TEXT(Table1[[#This Row],[Order_Date]],"YYYY")</f>
        <v>2023</v>
      </c>
    </row>
    <row r="1680" spans="1:14" x14ac:dyDescent="0.25">
      <c r="A1680" s="1">
        <v>45741</v>
      </c>
      <c r="B1680" t="s">
        <v>22</v>
      </c>
      <c r="C1680" t="s">
        <v>18</v>
      </c>
      <c r="D1680">
        <v>22590</v>
      </c>
      <c r="E1680">
        <v>13167</v>
      </c>
      <c r="F1680">
        <v>9423</v>
      </c>
      <c r="G1680" t="s">
        <v>13</v>
      </c>
      <c r="H1680" t="s">
        <v>78</v>
      </c>
      <c r="I1680" t="s">
        <v>29</v>
      </c>
      <c r="J1680" s="2">
        <f>Table1[[#This Row],[Profit]]/Table1[[#This Row],[Sales]]*100</f>
        <v>41.713147410358566</v>
      </c>
      <c r="K1680" t="str">
        <f>IF(Table1[[#This Row],[Sales]]&gt;=30000,"High", IF(Table1[[#This Row],[Sales]]&gt;=15000,"Medium","Low"))</f>
        <v>Medium</v>
      </c>
      <c r="L1680" t="str">
        <f>TEXT(Table1[[#This Row],[Order_Date]],"MMM")</f>
        <v>Mar</v>
      </c>
      <c r="M1680" t="str">
        <f>IF(Table1[[#This Row],[Profit]]&gt;=10000,"Excellent",IF(Table1[[#This Row],[Profit]]&gt;5000,"Good","Low"))</f>
        <v>Good</v>
      </c>
      <c r="N1680" t="str">
        <f>TEXT(Table1[[#This Row],[Order_Date]],"YYYY")</f>
        <v>2025</v>
      </c>
    </row>
    <row r="1681" spans="1:14" x14ac:dyDescent="0.25">
      <c r="A1681" s="1">
        <v>46056</v>
      </c>
      <c r="B1681" t="s">
        <v>44</v>
      </c>
      <c r="C1681" t="s">
        <v>36</v>
      </c>
      <c r="D1681">
        <v>6411</v>
      </c>
      <c r="E1681">
        <v>4922</v>
      </c>
      <c r="F1681">
        <v>1489</v>
      </c>
      <c r="G1681" t="s">
        <v>19</v>
      </c>
      <c r="H1681" t="s">
        <v>23</v>
      </c>
      <c r="I1681" t="s">
        <v>15</v>
      </c>
      <c r="J1681" s="2">
        <f>Table1[[#This Row],[Profit]]/Table1[[#This Row],[Sales]]*100</f>
        <v>23.225705818125096</v>
      </c>
      <c r="K1681" t="str">
        <f>IF(Table1[[#This Row],[Sales]]&gt;=30000,"High", IF(Table1[[#This Row],[Sales]]&gt;=15000,"Medium","Low"))</f>
        <v>Low</v>
      </c>
      <c r="L1681" t="str">
        <f>TEXT(Table1[[#This Row],[Order_Date]],"MMM")</f>
        <v>Feb</v>
      </c>
      <c r="M1681" t="str">
        <f>IF(Table1[[#This Row],[Profit]]&gt;=10000,"Excellent",IF(Table1[[#This Row],[Profit]]&gt;5000,"Good","Low"))</f>
        <v>Low</v>
      </c>
      <c r="N1681" t="str">
        <f>TEXT(Table1[[#This Row],[Order_Date]],"YYYY")</f>
        <v>2026</v>
      </c>
    </row>
    <row r="1682" spans="1:14" x14ac:dyDescent="0.25">
      <c r="A1682" s="1">
        <v>45386</v>
      </c>
      <c r="B1682" t="s">
        <v>17</v>
      </c>
      <c r="C1682" t="s">
        <v>33</v>
      </c>
      <c r="D1682">
        <v>31994</v>
      </c>
      <c r="E1682">
        <v>30564</v>
      </c>
      <c r="F1682">
        <v>1430</v>
      </c>
      <c r="G1682" t="s">
        <v>27</v>
      </c>
      <c r="H1682" t="s">
        <v>14</v>
      </c>
      <c r="I1682" t="s">
        <v>15</v>
      </c>
      <c r="J1682" s="2">
        <f>Table1[[#This Row],[Profit]]/Table1[[#This Row],[Sales]]*100</f>
        <v>4.469588047758954</v>
      </c>
      <c r="K1682" t="str">
        <f>IF(Table1[[#This Row],[Sales]]&gt;=30000,"High", IF(Table1[[#This Row],[Sales]]&gt;=15000,"Medium","Low"))</f>
        <v>High</v>
      </c>
      <c r="L1682" t="str">
        <f>TEXT(Table1[[#This Row],[Order_Date]],"MMM")</f>
        <v>Apr</v>
      </c>
      <c r="M1682" t="str">
        <f>IF(Table1[[#This Row],[Profit]]&gt;=10000,"Excellent",IF(Table1[[#This Row],[Profit]]&gt;5000,"Good","Low"))</f>
        <v>Low</v>
      </c>
      <c r="N1682" t="str">
        <f>TEXT(Table1[[#This Row],[Order_Date]],"YYYY")</f>
        <v>2024</v>
      </c>
    </row>
    <row r="1683" spans="1:14" x14ac:dyDescent="0.25">
      <c r="A1683" s="1">
        <v>45212</v>
      </c>
      <c r="B1683" t="s">
        <v>11</v>
      </c>
      <c r="C1683" t="s">
        <v>12</v>
      </c>
      <c r="D1683">
        <v>37388</v>
      </c>
      <c r="E1683">
        <v>31118</v>
      </c>
      <c r="F1683">
        <v>6270</v>
      </c>
      <c r="G1683" t="s">
        <v>19</v>
      </c>
      <c r="H1683" t="s">
        <v>60</v>
      </c>
      <c r="I1683" t="s">
        <v>53</v>
      </c>
      <c r="J1683" s="2">
        <f>Table1[[#This Row],[Profit]]/Table1[[#This Row],[Sales]]*100</f>
        <v>16.770086658821011</v>
      </c>
      <c r="K1683" t="str">
        <f>IF(Table1[[#This Row],[Sales]]&gt;=30000,"High", IF(Table1[[#This Row],[Sales]]&gt;=15000,"Medium","Low"))</f>
        <v>High</v>
      </c>
      <c r="L1683" t="str">
        <f>TEXT(Table1[[#This Row],[Order_Date]],"MMM")</f>
        <v>Oct</v>
      </c>
      <c r="M1683" t="str">
        <f>IF(Table1[[#This Row],[Profit]]&gt;=10000,"Excellent",IF(Table1[[#This Row],[Profit]]&gt;5000,"Good","Low"))</f>
        <v>Good</v>
      </c>
      <c r="N1683" t="str">
        <f>TEXT(Table1[[#This Row],[Order_Date]],"YYYY")</f>
        <v>2023</v>
      </c>
    </row>
    <row r="1684" spans="1:14" x14ac:dyDescent="0.25">
      <c r="A1684" s="1">
        <v>45875</v>
      </c>
      <c r="B1684" t="s">
        <v>17</v>
      </c>
      <c r="C1684" t="s">
        <v>33</v>
      </c>
      <c r="D1684">
        <v>14271</v>
      </c>
      <c r="E1684">
        <v>6685</v>
      </c>
      <c r="F1684">
        <v>7586</v>
      </c>
      <c r="G1684" t="s">
        <v>19</v>
      </c>
      <c r="H1684" t="s">
        <v>28</v>
      </c>
      <c r="I1684" t="s">
        <v>53</v>
      </c>
      <c r="J1684" s="2">
        <f>Table1[[#This Row],[Profit]]/Table1[[#This Row],[Sales]]*100</f>
        <v>53.156751453997622</v>
      </c>
      <c r="K1684" t="str">
        <f>IF(Table1[[#This Row],[Sales]]&gt;=30000,"High", IF(Table1[[#This Row],[Sales]]&gt;=15000,"Medium","Low"))</f>
        <v>Low</v>
      </c>
      <c r="L1684" t="str">
        <f>TEXT(Table1[[#This Row],[Order_Date]],"MMM")</f>
        <v>Aug</v>
      </c>
      <c r="M1684" t="str">
        <f>IF(Table1[[#This Row],[Profit]]&gt;=10000,"Excellent",IF(Table1[[#This Row],[Profit]]&gt;5000,"Good","Low"))</f>
        <v>Good</v>
      </c>
      <c r="N1684" t="str">
        <f>TEXT(Table1[[#This Row],[Order_Date]],"YYYY")</f>
        <v>2025</v>
      </c>
    </row>
    <row r="1685" spans="1:14" x14ac:dyDescent="0.25">
      <c r="A1685" s="1">
        <v>45336</v>
      </c>
      <c r="B1685" t="s">
        <v>17</v>
      </c>
      <c r="C1685" t="s">
        <v>18</v>
      </c>
      <c r="D1685">
        <v>35257</v>
      </c>
      <c r="E1685">
        <v>34196</v>
      </c>
      <c r="F1685">
        <v>1061</v>
      </c>
      <c r="G1685" t="s">
        <v>13</v>
      </c>
      <c r="H1685" t="s">
        <v>34</v>
      </c>
      <c r="I1685" t="s">
        <v>15</v>
      </c>
      <c r="J1685" s="2">
        <f>Table1[[#This Row],[Profit]]/Table1[[#This Row],[Sales]]*100</f>
        <v>3.009331480273421</v>
      </c>
      <c r="K1685" t="str">
        <f>IF(Table1[[#This Row],[Sales]]&gt;=30000,"High", IF(Table1[[#This Row],[Sales]]&gt;=15000,"Medium","Low"))</f>
        <v>High</v>
      </c>
      <c r="L1685" t="str">
        <f>TEXT(Table1[[#This Row],[Order_Date]],"MMM")</f>
        <v>Feb</v>
      </c>
      <c r="M1685" t="str">
        <f>IF(Table1[[#This Row],[Profit]]&gt;=10000,"Excellent",IF(Table1[[#This Row],[Profit]]&gt;5000,"Good","Low"))</f>
        <v>Low</v>
      </c>
      <c r="N1685" t="str">
        <f>TEXT(Table1[[#This Row],[Order_Date]],"YYYY")</f>
        <v>2024</v>
      </c>
    </row>
    <row r="1686" spans="1:14" x14ac:dyDescent="0.25">
      <c r="A1686" s="1">
        <v>45643</v>
      </c>
      <c r="B1686" t="s">
        <v>22</v>
      </c>
      <c r="C1686" t="s">
        <v>12</v>
      </c>
      <c r="D1686">
        <v>29978</v>
      </c>
      <c r="E1686">
        <v>26233</v>
      </c>
      <c r="F1686">
        <v>3745</v>
      </c>
      <c r="G1686" t="s">
        <v>13</v>
      </c>
      <c r="H1686" t="s">
        <v>34</v>
      </c>
      <c r="I1686" t="s">
        <v>29</v>
      </c>
      <c r="J1686" s="2">
        <f>Table1[[#This Row],[Profit]]/Table1[[#This Row],[Sales]]*100</f>
        <v>12.492494495963706</v>
      </c>
      <c r="K1686" t="str">
        <f>IF(Table1[[#This Row],[Sales]]&gt;=30000,"High", IF(Table1[[#This Row],[Sales]]&gt;=15000,"Medium","Low"))</f>
        <v>Medium</v>
      </c>
      <c r="L1686" t="str">
        <f>TEXT(Table1[[#This Row],[Order_Date]],"MMM")</f>
        <v>Dec</v>
      </c>
      <c r="M1686" t="str">
        <f>IF(Table1[[#This Row],[Profit]]&gt;=10000,"Excellent",IF(Table1[[#This Row],[Profit]]&gt;5000,"Good","Low"))</f>
        <v>Low</v>
      </c>
      <c r="N1686" t="str">
        <f>TEXT(Table1[[#This Row],[Order_Date]],"YYYY")</f>
        <v>2024</v>
      </c>
    </row>
    <row r="1687" spans="1:14" x14ac:dyDescent="0.25">
      <c r="A1687" s="1">
        <v>45712</v>
      </c>
      <c r="B1687" t="s">
        <v>17</v>
      </c>
      <c r="C1687" t="s">
        <v>18</v>
      </c>
      <c r="D1687">
        <v>39155</v>
      </c>
      <c r="E1687">
        <v>29402</v>
      </c>
      <c r="F1687">
        <v>9753</v>
      </c>
      <c r="G1687" t="s">
        <v>27</v>
      </c>
      <c r="H1687" t="s">
        <v>20</v>
      </c>
      <c r="I1687" t="s">
        <v>24</v>
      </c>
      <c r="J1687" s="2">
        <f>Table1[[#This Row],[Profit]]/Table1[[#This Row],[Sales]]*100</f>
        <v>24.908696207380924</v>
      </c>
      <c r="K1687" t="str">
        <f>IF(Table1[[#This Row],[Sales]]&gt;=30000,"High", IF(Table1[[#This Row],[Sales]]&gt;=15000,"Medium","Low"))</f>
        <v>High</v>
      </c>
      <c r="L1687" t="str">
        <f>TEXT(Table1[[#This Row],[Order_Date]],"MMM")</f>
        <v>Feb</v>
      </c>
      <c r="M1687" t="str">
        <f>IF(Table1[[#This Row],[Profit]]&gt;=10000,"Excellent",IF(Table1[[#This Row],[Profit]]&gt;5000,"Good","Low"))</f>
        <v>Good</v>
      </c>
      <c r="N1687" t="str">
        <f>TEXT(Table1[[#This Row],[Order_Date]],"YYYY")</f>
        <v>2025</v>
      </c>
    </row>
    <row r="1688" spans="1:14" x14ac:dyDescent="0.25">
      <c r="A1688" s="1">
        <v>46189</v>
      </c>
      <c r="B1688" t="s">
        <v>26</v>
      </c>
      <c r="C1688" t="s">
        <v>12</v>
      </c>
      <c r="D1688">
        <v>8772</v>
      </c>
      <c r="E1688">
        <v>1362</v>
      </c>
      <c r="F1688">
        <v>7410</v>
      </c>
      <c r="G1688" t="s">
        <v>38</v>
      </c>
      <c r="H1688" t="s">
        <v>60</v>
      </c>
      <c r="I1688" t="s">
        <v>42</v>
      </c>
      <c r="J1688" s="2">
        <f>Table1[[#This Row],[Profit]]/Table1[[#This Row],[Sales]]*100</f>
        <v>84.4733242134063</v>
      </c>
      <c r="K1688" t="str">
        <f>IF(Table1[[#This Row],[Sales]]&gt;=30000,"High", IF(Table1[[#This Row],[Sales]]&gt;=15000,"Medium","Low"))</f>
        <v>Low</v>
      </c>
      <c r="L1688" t="str">
        <f>TEXT(Table1[[#This Row],[Order_Date]],"MMM")</f>
        <v>Jun</v>
      </c>
      <c r="M1688" t="str">
        <f>IF(Table1[[#This Row],[Profit]]&gt;=10000,"Excellent",IF(Table1[[#This Row],[Profit]]&gt;5000,"Good","Low"))</f>
        <v>Good</v>
      </c>
      <c r="N1688" t="str">
        <f>TEXT(Table1[[#This Row],[Order_Date]],"YYYY")</f>
        <v>2026</v>
      </c>
    </row>
    <row r="1689" spans="1:14" x14ac:dyDescent="0.25">
      <c r="A1689" s="1">
        <v>45724</v>
      </c>
      <c r="B1689" t="s">
        <v>44</v>
      </c>
      <c r="C1689" t="s">
        <v>18</v>
      </c>
      <c r="D1689">
        <v>6456</v>
      </c>
      <c r="E1689">
        <v>911</v>
      </c>
      <c r="F1689">
        <v>5545</v>
      </c>
      <c r="G1689" t="s">
        <v>13</v>
      </c>
      <c r="H1689" t="s">
        <v>34</v>
      </c>
      <c r="I1689" t="s">
        <v>53</v>
      </c>
      <c r="J1689" s="2">
        <f>Table1[[#This Row],[Profit]]/Table1[[#This Row],[Sales]]*100</f>
        <v>85.889095415117723</v>
      </c>
      <c r="K1689" t="str">
        <f>IF(Table1[[#This Row],[Sales]]&gt;=30000,"High", IF(Table1[[#This Row],[Sales]]&gt;=15000,"Medium","Low"))</f>
        <v>Low</v>
      </c>
      <c r="L1689" t="str">
        <f>TEXT(Table1[[#This Row],[Order_Date]],"MMM")</f>
        <v>Mar</v>
      </c>
      <c r="M1689" t="str">
        <f>IF(Table1[[#This Row],[Profit]]&gt;=10000,"Excellent",IF(Table1[[#This Row],[Profit]]&gt;5000,"Good","Low"))</f>
        <v>Good</v>
      </c>
      <c r="N1689" t="str">
        <f>TEXT(Table1[[#This Row],[Order_Date]],"YYYY")</f>
        <v>2025</v>
      </c>
    </row>
    <row r="1690" spans="1:14" x14ac:dyDescent="0.25">
      <c r="A1690" s="1">
        <v>45206</v>
      </c>
      <c r="B1690" t="s">
        <v>17</v>
      </c>
      <c r="C1690" t="s">
        <v>33</v>
      </c>
      <c r="D1690">
        <v>48878</v>
      </c>
      <c r="E1690">
        <v>32067</v>
      </c>
      <c r="F1690">
        <v>16811</v>
      </c>
      <c r="G1690" t="s">
        <v>19</v>
      </c>
      <c r="H1690" t="s">
        <v>28</v>
      </c>
      <c r="I1690" t="s">
        <v>15</v>
      </c>
      <c r="J1690" s="2">
        <f>Table1[[#This Row],[Profit]]/Table1[[#This Row],[Sales]]*100</f>
        <v>34.393796800196405</v>
      </c>
      <c r="K1690" t="str">
        <f>IF(Table1[[#This Row],[Sales]]&gt;=30000,"High", IF(Table1[[#This Row],[Sales]]&gt;=15000,"Medium","Low"))</f>
        <v>High</v>
      </c>
      <c r="L1690" t="str">
        <f>TEXT(Table1[[#This Row],[Order_Date]],"MMM")</f>
        <v>Oct</v>
      </c>
      <c r="M1690" t="str">
        <f>IF(Table1[[#This Row],[Profit]]&gt;=10000,"Excellent",IF(Table1[[#This Row],[Profit]]&gt;5000,"Good","Low"))</f>
        <v>Excellent</v>
      </c>
      <c r="N1690" t="str">
        <f>TEXT(Table1[[#This Row],[Order_Date]],"YYYY")</f>
        <v>2023</v>
      </c>
    </row>
    <row r="1691" spans="1:14" x14ac:dyDescent="0.25">
      <c r="A1691" s="1">
        <v>45230</v>
      </c>
      <c r="B1691" t="s">
        <v>17</v>
      </c>
      <c r="C1691" t="s">
        <v>18</v>
      </c>
      <c r="D1691">
        <v>13586</v>
      </c>
      <c r="E1691">
        <v>12020</v>
      </c>
      <c r="F1691">
        <v>1566</v>
      </c>
      <c r="G1691" t="s">
        <v>13</v>
      </c>
      <c r="H1691" t="s">
        <v>45</v>
      </c>
      <c r="I1691" t="s">
        <v>24</v>
      </c>
      <c r="J1691" s="2">
        <f>Table1[[#This Row],[Profit]]/Table1[[#This Row],[Sales]]*100</f>
        <v>11.526571470631533</v>
      </c>
      <c r="K1691" t="str">
        <f>IF(Table1[[#This Row],[Sales]]&gt;=30000,"High", IF(Table1[[#This Row],[Sales]]&gt;=15000,"Medium","Low"))</f>
        <v>Low</v>
      </c>
      <c r="L1691" t="str">
        <f>TEXT(Table1[[#This Row],[Order_Date]],"MMM")</f>
        <v>Oct</v>
      </c>
      <c r="M1691" t="str">
        <f>IF(Table1[[#This Row],[Profit]]&gt;=10000,"Excellent",IF(Table1[[#This Row],[Profit]]&gt;5000,"Good","Low"))</f>
        <v>Low</v>
      </c>
      <c r="N1691" t="str">
        <f>TEXT(Table1[[#This Row],[Order_Date]],"YYYY")</f>
        <v>2023</v>
      </c>
    </row>
    <row r="1692" spans="1:14" x14ac:dyDescent="0.25">
      <c r="A1692" s="1">
        <v>45311</v>
      </c>
      <c r="B1692" t="s">
        <v>22</v>
      </c>
      <c r="C1692" t="s">
        <v>41</v>
      </c>
      <c r="D1692">
        <v>20068</v>
      </c>
      <c r="E1692">
        <v>7242</v>
      </c>
      <c r="F1692">
        <v>12826</v>
      </c>
      <c r="G1692" t="s">
        <v>19</v>
      </c>
      <c r="H1692" t="s">
        <v>63</v>
      </c>
      <c r="I1692" t="s">
        <v>53</v>
      </c>
      <c r="J1692" s="2">
        <f>Table1[[#This Row],[Profit]]/Table1[[#This Row],[Sales]]*100</f>
        <v>63.91269683077536</v>
      </c>
      <c r="K1692" t="str">
        <f>IF(Table1[[#This Row],[Sales]]&gt;=30000,"High", IF(Table1[[#This Row],[Sales]]&gt;=15000,"Medium","Low"))</f>
        <v>Medium</v>
      </c>
      <c r="L1692" t="str">
        <f>TEXT(Table1[[#This Row],[Order_Date]],"MMM")</f>
        <v>Jan</v>
      </c>
      <c r="M1692" t="str">
        <f>IF(Table1[[#This Row],[Profit]]&gt;=10000,"Excellent",IF(Table1[[#This Row],[Profit]]&gt;5000,"Good","Low"))</f>
        <v>Excellent</v>
      </c>
      <c r="N1692" t="str">
        <f>TEXT(Table1[[#This Row],[Order_Date]],"YYYY")</f>
        <v>2024</v>
      </c>
    </row>
    <row r="1693" spans="1:14" x14ac:dyDescent="0.25">
      <c r="A1693" s="1">
        <v>46171</v>
      </c>
      <c r="B1693" t="s">
        <v>22</v>
      </c>
      <c r="C1693" t="s">
        <v>36</v>
      </c>
      <c r="D1693">
        <v>9260</v>
      </c>
      <c r="E1693">
        <v>6576</v>
      </c>
      <c r="F1693">
        <v>2684</v>
      </c>
      <c r="G1693" t="s">
        <v>13</v>
      </c>
      <c r="H1693" t="s">
        <v>78</v>
      </c>
      <c r="I1693" t="s">
        <v>15</v>
      </c>
      <c r="J1693" s="2">
        <f>Table1[[#This Row],[Profit]]/Table1[[#This Row],[Sales]]*100</f>
        <v>28.984881209503239</v>
      </c>
      <c r="K1693" t="str">
        <f>IF(Table1[[#This Row],[Sales]]&gt;=30000,"High", IF(Table1[[#This Row],[Sales]]&gt;=15000,"Medium","Low"))</f>
        <v>Low</v>
      </c>
      <c r="L1693" t="str">
        <f>TEXT(Table1[[#This Row],[Order_Date]],"MMM")</f>
        <v>May</v>
      </c>
      <c r="M1693" t="str">
        <f>IF(Table1[[#This Row],[Profit]]&gt;=10000,"Excellent",IF(Table1[[#This Row],[Profit]]&gt;5000,"Good","Low"))</f>
        <v>Low</v>
      </c>
      <c r="N1693" t="str">
        <f>TEXT(Table1[[#This Row],[Order_Date]],"YYYY")</f>
        <v>2026</v>
      </c>
    </row>
    <row r="1694" spans="1:14" x14ac:dyDescent="0.25">
      <c r="A1694" s="1">
        <v>45912</v>
      </c>
      <c r="B1694" t="s">
        <v>22</v>
      </c>
      <c r="C1694" t="s">
        <v>41</v>
      </c>
      <c r="D1694">
        <v>39491</v>
      </c>
      <c r="E1694">
        <v>28346</v>
      </c>
      <c r="F1694">
        <v>11145</v>
      </c>
      <c r="G1694" t="s">
        <v>19</v>
      </c>
      <c r="H1694" t="s">
        <v>60</v>
      </c>
      <c r="I1694" t="s">
        <v>24</v>
      </c>
      <c r="J1694" s="2">
        <f>Table1[[#This Row],[Profit]]/Table1[[#This Row],[Sales]]*100</f>
        <v>28.221620115975792</v>
      </c>
      <c r="K1694" t="str">
        <f>IF(Table1[[#This Row],[Sales]]&gt;=30000,"High", IF(Table1[[#This Row],[Sales]]&gt;=15000,"Medium","Low"))</f>
        <v>High</v>
      </c>
      <c r="L1694" t="str">
        <f>TEXT(Table1[[#This Row],[Order_Date]],"MMM")</f>
        <v>Sep</v>
      </c>
      <c r="M1694" t="str">
        <f>IF(Table1[[#This Row],[Profit]]&gt;=10000,"Excellent",IF(Table1[[#This Row],[Profit]]&gt;5000,"Good","Low"))</f>
        <v>Excellent</v>
      </c>
      <c r="N1694" t="str">
        <f>TEXT(Table1[[#This Row],[Order_Date]],"YYYY")</f>
        <v>2025</v>
      </c>
    </row>
    <row r="1695" spans="1:14" x14ac:dyDescent="0.25">
      <c r="A1695" s="1">
        <v>45971</v>
      </c>
      <c r="B1695" t="s">
        <v>44</v>
      </c>
      <c r="C1695" t="s">
        <v>12</v>
      </c>
      <c r="D1695">
        <v>32289</v>
      </c>
      <c r="E1695">
        <v>19620</v>
      </c>
      <c r="F1695">
        <v>12669</v>
      </c>
      <c r="G1695" t="s">
        <v>19</v>
      </c>
      <c r="H1695" t="s">
        <v>45</v>
      </c>
      <c r="I1695" t="s">
        <v>15</v>
      </c>
      <c r="J1695" s="2">
        <f>Table1[[#This Row],[Profit]]/Table1[[#This Row],[Sales]]*100</f>
        <v>39.236272414754254</v>
      </c>
      <c r="K1695" t="str">
        <f>IF(Table1[[#This Row],[Sales]]&gt;=30000,"High", IF(Table1[[#This Row],[Sales]]&gt;=15000,"Medium","Low"))</f>
        <v>High</v>
      </c>
      <c r="L1695" t="str">
        <f>TEXT(Table1[[#This Row],[Order_Date]],"MMM")</f>
        <v>Nov</v>
      </c>
      <c r="M1695" t="str">
        <f>IF(Table1[[#This Row],[Profit]]&gt;=10000,"Excellent",IF(Table1[[#This Row],[Profit]]&gt;5000,"Good","Low"))</f>
        <v>Excellent</v>
      </c>
      <c r="N1695" t="str">
        <f>TEXT(Table1[[#This Row],[Order_Date]],"YYYY")</f>
        <v>2025</v>
      </c>
    </row>
    <row r="1696" spans="1:14" x14ac:dyDescent="0.25">
      <c r="A1696" s="1">
        <v>45308</v>
      </c>
      <c r="B1696" t="s">
        <v>11</v>
      </c>
      <c r="C1696" t="s">
        <v>12</v>
      </c>
      <c r="D1696">
        <v>19656</v>
      </c>
      <c r="E1696">
        <v>18423</v>
      </c>
      <c r="F1696">
        <v>1233</v>
      </c>
      <c r="G1696" t="s">
        <v>38</v>
      </c>
      <c r="H1696" t="s">
        <v>20</v>
      </c>
      <c r="I1696" t="s">
        <v>24</v>
      </c>
      <c r="J1696" s="2">
        <f>Table1[[#This Row],[Profit]]/Table1[[#This Row],[Sales]]*100</f>
        <v>6.2728937728937728</v>
      </c>
      <c r="K1696" t="str">
        <f>IF(Table1[[#This Row],[Sales]]&gt;=30000,"High", IF(Table1[[#This Row],[Sales]]&gt;=15000,"Medium","Low"))</f>
        <v>Medium</v>
      </c>
      <c r="L1696" t="str">
        <f>TEXT(Table1[[#This Row],[Order_Date]],"MMM")</f>
        <v>Jan</v>
      </c>
      <c r="M1696" t="str">
        <f>IF(Table1[[#This Row],[Profit]]&gt;=10000,"Excellent",IF(Table1[[#This Row],[Profit]]&gt;5000,"Good","Low"))</f>
        <v>Low</v>
      </c>
      <c r="N1696" t="str">
        <f>TEXT(Table1[[#This Row],[Order_Date]],"YYYY")</f>
        <v>2024</v>
      </c>
    </row>
    <row r="1697" spans="1:14" x14ac:dyDescent="0.25">
      <c r="A1697" s="1">
        <v>45193</v>
      </c>
      <c r="B1697" t="s">
        <v>11</v>
      </c>
      <c r="C1697" t="s">
        <v>33</v>
      </c>
      <c r="D1697">
        <v>48412</v>
      </c>
      <c r="E1697">
        <v>47083</v>
      </c>
      <c r="F1697">
        <v>1329</v>
      </c>
      <c r="G1697" t="s">
        <v>19</v>
      </c>
      <c r="H1697" t="s">
        <v>14</v>
      </c>
      <c r="I1697" t="s">
        <v>42</v>
      </c>
      <c r="J1697" s="2">
        <f>Table1[[#This Row],[Profit]]/Table1[[#This Row],[Sales]]*100</f>
        <v>2.7451871436833843</v>
      </c>
      <c r="K1697" t="str">
        <f>IF(Table1[[#This Row],[Sales]]&gt;=30000,"High", IF(Table1[[#This Row],[Sales]]&gt;=15000,"Medium","Low"))</f>
        <v>High</v>
      </c>
      <c r="L1697" t="str">
        <f>TEXT(Table1[[#This Row],[Order_Date]],"MMM")</f>
        <v>Sep</v>
      </c>
      <c r="M1697" t="str">
        <f>IF(Table1[[#This Row],[Profit]]&gt;=10000,"Excellent",IF(Table1[[#This Row],[Profit]]&gt;5000,"Good","Low"))</f>
        <v>Low</v>
      </c>
      <c r="N1697" t="str">
        <f>TEXT(Table1[[#This Row],[Order_Date]],"YYYY")</f>
        <v>2023</v>
      </c>
    </row>
    <row r="1698" spans="1:14" x14ac:dyDescent="0.25">
      <c r="A1698" s="1">
        <v>45463</v>
      </c>
      <c r="B1698" t="s">
        <v>22</v>
      </c>
      <c r="C1698" t="s">
        <v>12</v>
      </c>
      <c r="D1698">
        <v>38515</v>
      </c>
      <c r="E1698">
        <v>25157</v>
      </c>
      <c r="F1698">
        <v>13358</v>
      </c>
      <c r="G1698" t="s">
        <v>38</v>
      </c>
      <c r="H1698" t="s">
        <v>34</v>
      </c>
      <c r="I1698" t="s">
        <v>29</v>
      </c>
      <c r="J1698" s="2">
        <f>Table1[[#This Row],[Profit]]/Table1[[#This Row],[Sales]]*100</f>
        <v>34.682591198234455</v>
      </c>
      <c r="K1698" t="str">
        <f>IF(Table1[[#This Row],[Sales]]&gt;=30000,"High", IF(Table1[[#This Row],[Sales]]&gt;=15000,"Medium","Low"))</f>
        <v>High</v>
      </c>
      <c r="L1698" t="str">
        <f>TEXT(Table1[[#This Row],[Order_Date]],"MMM")</f>
        <v>Jun</v>
      </c>
      <c r="M1698" t="str">
        <f>IF(Table1[[#This Row],[Profit]]&gt;=10000,"Excellent",IF(Table1[[#This Row],[Profit]]&gt;5000,"Good","Low"))</f>
        <v>Excellent</v>
      </c>
      <c r="N1698" t="str">
        <f>TEXT(Table1[[#This Row],[Order_Date]],"YYYY")</f>
        <v>2024</v>
      </c>
    </row>
    <row r="1699" spans="1:14" x14ac:dyDescent="0.25">
      <c r="A1699" s="1">
        <v>45374</v>
      </c>
      <c r="B1699" t="s">
        <v>17</v>
      </c>
      <c r="C1699" t="s">
        <v>18</v>
      </c>
      <c r="D1699">
        <v>17811</v>
      </c>
      <c r="E1699">
        <v>14400</v>
      </c>
      <c r="F1699">
        <v>3411</v>
      </c>
      <c r="G1699" t="s">
        <v>13</v>
      </c>
      <c r="H1699" t="s">
        <v>34</v>
      </c>
      <c r="I1699" t="s">
        <v>29</v>
      </c>
      <c r="J1699" s="2">
        <f>Table1[[#This Row],[Profit]]/Table1[[#This Row],[Sales]]*100</f>
        <v>19.151086407276402</v>
      </c>
      <c r="K1699" t="str">
        <f>IF(Table1[[#This Row],[Sales]]&gt;=30000,"High", IF(Table1[[#This Row],[Sales]]&gt;=15000,"Medium","Low"))</f>
        <v>Medium</v>
      </c>
      <c r="L1699" t="str">
        <f>TEXT(Table1[[#This Row],[Order_Date]],"MMM")</f>
        <v>Mar</v>
      </c>
      <c r="M1699" t="str">
        <f>IF(Table1[[#This Row],[Profit]]&gt;=10000,"Excellent",IF(Table1[[#This Row],[Profit]]&gt;5000,"Good","Low"))</f>
        <v>Low</v>
      </c>
      <c r="N1699" t="str">
        <f>TEXT(Table1[[#This Row],[Order_Date]],"YYYY")</f>
        <v>2024</v>
      </c>
    </row>
    <row r="1700" spans="1:14" x14ac:dyDescent="0.25">
      <c r="A1700" s="1">
        <v>45671</v>
      </c>
      <c r="B1700" t="s">
        <v>22</v>
      </c>
      <c r="C1700" t="s">
        <v>36</v>
      </c>
      <c r="D1700">
        <v>40098</v>
      </c>
      <c r="E1700">
        <v>25140</v>
      </c>
      <c r="F1700">
        <v>14958</v>
      </c>
      <c r="G1700" t="s">
        <v>19</v>
      </c>
      <c r="H1700" t="s">
        <v>63</v>
      </c>
      <c r="I1700" t="s">
        <v>53</v>
      </c>
      <c r="J1700" s="2">
        <f>Table1[[#This Row],[Profit]]/Table1[[#This Row],[Sales]]*100</f>
        <v>37.303606164896003</v>
      </c>
      <c r="K1700" t="str">
        <f>IF(Table1[[#This Row],[Sales]]&gt;=30000,"High", IF(Table1[[#This Row],[Sales]]&gt;=15000,"Medium","Low"))</f>
        <v>High</v>
      </c>
      <c r="L1700" t="str">
        <f>TEXT(Table1[[#This Row],[Order_Date]],"MMM")</f>
        <v>Jan</v>
      </c>
      <c r="M1700" t="str">
        <f>IF(Table1[[#This Row],[Profit]]&gt;=10000,"Excellent",IF(Table1[[#This Row],[Profit]]&gt;5000,"Good","Low"))</f>
        <v>Excellent</v>
      </c>
      <c r="N1700" t="str">
        <f>TEXT(Table1[[#This Row],[Order_Date]],"YYYY")</f>
        <v>2025</v>
      </c>
    </row>
    <row r="1701" spans="1:14" x14ac:dyDescent="0.25">
      <c r="A1701" s="1">
        <v>45907</v>
      </c>
      <c r="B1701" t="s">
        <v>11</v>
      </c>
      <c r="C1701" t="s">
        <v>41</v>
      </c>
      <c r="D1701">
        <v>29093</v>
      </c>
      <c r="E1701">
        <v>24692</v>
      </c>
      <c r="F1701">
        <v>4401</v>
      </c>
      <c r="G1701" t="s">
        <v>27</v>
      </c>
      <c r="H1701" t="s">
        <v>60</v>
      </c>
      <c r="I1701" t="s">
        <v>42</v>
      </c>
      <c r="J1701" s="2">
        <f>Table1[[#This Row],[Profit]]/Table1[[#This Row],[Sales]]*100</f>
        <v>15.127350221702814</v>
      </c>
      <c r="K1701" t="str">
        <f>IF(Table1[[#This Row],[Sales]]&gt;=30000,"High", IF(Table1[[#This Row],[Sales]]&gt;=15000,"Medium","Low"))</f>
        <v>Medium</v>
      </c>
      <c r="L1701" t="str">
        <f>TEXT(Table1[[#This Row],[Order_Date]],"MMM")</f>
        <v>Sep</v>
      </c>
      <c r="M1701" t="str">
        <f>IF(Table1[[#This Row],[Profit]]&gt;=10000,"Excellent",IF(Table1[[#This Row],[Profit]]&gt;5000,"Good","Low"))</f>
        <v>Low</v>
      </c>
      <c r="N1701" t="str">
        <f>TEXT(Table1[[#This Row],[Order_Date]],"YYYY")</f>
        <v>2025</v>
      </c>
    </row>
    <row r="1702" spans="1:14" x14ac:dyDescent="0.25">
      <c r="A1702" s="1">
        <v>45868</v>
      </c>
      <c r="B1702" t="s">
        <v>26</v>
      </c>
      <c r="C1702" t="s">
        <v>18</v>
      </c>
      <c r="D1702">
        <v>41628</v>
      </c>
      <c r="E1702">
        <v>22614</v>
      </c>
      <c r="F1702">
        <v>19014</v>
      </c>
      <c r="G1702" t="s">
        <v>38</v>
      </c>
      <c r="H1702" t="s">
        <v>14</v>
      </c>
      <c r="I1702" t="s">
        <v>29</v>
      </c>
      <c r="J1702" s="2">
        <f>Table1[[#This Row],[Profit]]/Table1[[#This Row],[Sales]]*100</f>
        <v>45.67598731622946</v>
      </c>
      <c r="K1702" t="str">
        <f>IF(Table1[[#This Row],[Sales]]&gt;=30000,"High", IF(Table1[[#This Row],[Sales]]&gt;=15000,"Medium","Low"))</f>
        <v>High</v>
      </c>
      <c r="L1702" t="str">
        <f>TEXT(Table1[[#This Row],[Order_Date]],"MMM")</f>
        <v>Jul</v>
      </c>
      <c r="M1702" t="str">
        <f>IF(Table1[[#This Row],[Profit]]&gt;=10000,"Excellent",IF(Table1[[#This Row],[Profit]]&gt;5000,"Good","Low"))</f>
        <v>Excellent</v>
      </c>
      <c r="N1702" t="str">
        <f>TEXT(Table1[[#This Row],[Order_Date]],"YYYY")</f>
        <v>2025</v>
      </c>
    </row>
    <row r="1703" spans="1:14" x14ac:dyDescent="0.25">
      <c r="A1703" s="1">
        <v>45489</v>
      </c>
      <c r="B1703" t="s">
        <v>17</v>
      </c>
      <c r="C1703" t="s">
        <v>33</v>
      </c>
      <c r="D1703">
        <v>12484</v>
      </c>
      <c r="E1703">
        <v>5092</v>
      </c>
      <c r="F1703">
        <v>7392</v>
      </c>
      <c r="G1703" t="s">
        <v>19</v>
      </c>
      <c r="H1703" t="s">
        <v>20</v>
      </c>
      <c r="I1703" t="s">
        <v>15</v>
      </c>
      <c r="J1703" s="2">
        <f>Table1[[#This Row],[Profit]]/Table1[[#This Row],[Sales]]*100</f>
        <v>59.211791092598531</v>
      </c>
      <c r="K1703" t="str">
        <f>IF(Table1[[#This Row],[Sales]]&gt;=30000,"High", IF(Table1[[#This Row],[Sales]]&gt;=15000,"Medium","Low"))</f>
        <v>Low</v>
      </c>
      <c r="L1703" t="str">
        <f>TEXT(Table1[[#This Row],[Order_Date]],"MMM")</f>
        <v>Jul</v>
      </c>
      <c r="M1703" t="str">
        <f>IF(Table1[[#This Row],[Profit]]&gt;=10000,"Excellent",IF(Table1[[#This Row],[Profit]]&gt;5000,"Good","Low"))</f>
        <v>Good</v>
      </c>
      <c r="N1703" t="str">
        <f>TEXT(Table1[[#This Row],[Order_Date]],"YYYY")</f>
        <v>2024</v>
      </c>
    </row>
    <row r="1704" spans="1:14" x14ac:dyDescent="0.25">
      <c r="A1704" s="1">
        <v>45307</v>
      </c>
      <c r="B1704" t="s">
        <v>22</v>
      </c>
      <c r="C1704" t="s">
        <v>18</v>
      </c>
      <c r="D1704">
        <v>11745</v>
      </c>
      <c r="E1704">
        <v>2741</v>
      </c>
      <c r="F1704">
        <v>9004</v>
      </c>
      <c r="G1704" t="s">
        <v>27</v>
      </c>
      <c r="H1704" t="s">
        <v>78</v>
      </c>
      <c r="I1704" t="s">
        <v>15</v>
      </c>
      <c r="J1704" s="2">
        <f>Table1[[#This Row],[Profit]]/Table1[[#This Row],[Sales]]*100</f>
        <v>76.662409535972756</v>
      </c>
      <c r="K1704" t="str">
        <f>IF(Table1[[#This Row],[Sales]]&gt;=30000,"High", IF(Table1[[#This Row],[Sales]]&gt;=15000,"Medium","Low"))</f>
        <v>Low</v>
      </c>
      <c r="L1704" t="str">
        <f>TEXT(Table1[[#This Row],[Order_Date]],"MMM")</f>
        <v>Jan</v>
      </c>
      <c r="M1704" t="str">
        <f>IF(Table1[[#This Row],[Profit]]&gt;=10000,"Excellent",IF(Table1[[#This Row],[Profit]]&gt;5000,"Good","Low"))</f>
        <v>Good</v>
      </c>
      <c r="N1704" t="str">
        <f>TEXT(Table1[[#This Row],[Order_Date]],"YYYY")</f>
        <v>2024</v>
      </c>
    </row>
    <row r="1705" spans="1:14" x14ac:dyDescent="0.25">
      <c r="A1705" s="1">
        <v>45409</v>
      </c>
      <c r="B1705" t="s">
        <v>26</v>
      </c>
      <c r="C1705" t="s">
        <v>41</v>
      </c>
      <c r="D1705">
        <v>12771</v>
      </c>
      <c r="E1705">
        <v>8040</v>
      </c>
      <c r="F1705">
        <v>4731</v>
      </c>
      <c r="G1705" t="s">
        <v>13</v>
      </c>
      <c r="H1705" t="s">
        <v>63</v>
      </c>
      <c r="I1705" t="s">
        <v>29</v>
      </c>
      <c r="J1705" s="2">
        <f>Table1[[#This Row],[Profit]]/Table1[[#This Row],[Sales]]*100</f>
        <v>37.044867277425418</v>
      </c>
      <c r="K1705" t="str">
        <f>IF(Table1[[#This Row],[Sales]]&gt;=30000,"High", IF(Table1[[#This Row],[Sales]]&gt;=15000,"Medium","Low"))</f>
        <v>Low</v>
      </c>
      <c r="L1705" t="str">
        <f>TEXT(Table1[[#This Row],[Order_Date]],"MMM")</f>
        <v>Apr</v>
      </c>
      <c r="M1705" t="str">
        <f>IF(Table1[[#This Row],[Profit]]&gt;=10000,"Excellent",IF(Table1[[#This Row],[Profit]]&gt;5000,"Good","Low"))</f>
        <v>Low</v>
      </c>
      <c r="N1705" t="str">
        <f>TEXT(Table1[[#This Row],[Order_Date]],"YYYY")</f>
        <v>2024</v>
      </c>
    </row>
    <row r="1706" spans="1:14" x14ac:dyDescent="0.25">
      <c r="A1706" s="1">
        <v>45661</v>
      </c>
      <c r="B1706" t="s">
        <v>44</v>
      </c>
      <c r="C1706" t="s">
        <v>41</v>
      </c>
      <c r="D1706">
        <v>8571</v>
      </c>
      <c r="E1706">
        <v>7614</v>
      </c>
      <c r="F1706">
        <v>957</v>
      </c>
      <c r="G1706" t="s">
        <v>13</v>
      </c>
      <c r="H1706" t="s">
        <v>63</v>
      </c>
      <c r="I1706" t="s">
        <v>29</v>
      </c>
      <c r="J1706" s="2">
        <f>Table1[[#This Row],[Profit]]/Table1[[#This Row],[Sales]]*100</f>
        <v>11.165558277913895</v>
      </c>
      <c r="K1706" t="str">
        <f>IF(Table1[[#This Row],[Sales]]&gt;=30000,"High", IF(Table1[[#This Row],[Sales]]&gt;=15000,"Medium","Low"))</f>
        <v>Low</v>
      </c>
      <c r="L1706" t="str">
        <f>TEXT(Table1[[#This Row],[Order_Date]],"MMM")</f>
        <v>Jan</v>
      </c>
      <c r="M1706" t="str">
        <f>IF(Table1[[#This Row],[Profit]]&gt;=10000,"Excellent",IF(Table1[[#This Row],[Profit]]&gt;5000,"Good","Low"))</f>
        <v>Low</v>
      </c>
      <c r="N1706" t="str">
        <f>TEXT(Table1[[#This Row],[Order_Date]],"YYYY")</f>
        <v>2025</v>
      </c>
    </row>
    <row r="1707" spans="1:14" x14ac:dyDescent="0.25">
      <c r="A1707" s="1">
        <v>45578</v>
      </c>
      <c r="B1707" t="s">
        <v>17</v>
      </c>
      <c r="C1707" t="s">
        <v>18</v>
      </c>
      <c r="D1707">
        <v>24159</v>
      </c>
      <c r="E1707">
        <v>23336</v>
      </c>
      <c r="F1707">
        <v>823</v>
      </c>
      <c r="G1707" t="s">
        <v>38</v>
      </c>
      <c r="H1707" t="s">
        <v>78</v>
      </c>
      <c r="I1707" t="s">
        <v>24</v>
      </c>
      <c r="J1707" s="2">
        <f>Table1[[#This Row],[Profit]]/Table1[[#This Row],[Sales]]*100</f>
        <v>3.4065979552133778</v>
      </c>
      <c r="K1707" t="str">
        <f>IF(Table1[[#This Row],[Sales]]&gt;=30000,"High", IF(Table1[[#This Row],[Sales]]&gt;=15000,"Medium","Low"))</f>
        <v>Medium</v>
      </c>
      <c r="L1707" t="str">
        <f>TEXT(Table1[[#This Row],[Order_Date]],"MMM")</f>
        <v>Oct</v>
      </c>
      <c r="M1707" t="str">
        <f>IF(Table1[[#This Row],[Profit]]&gt;=10000,"Excellent",IF(Table1[[#This Row],[Profit]]&gt;5000,"Good","Low"))</f>
        <v>Low</v>
      </c>
      <c r="N1707" t="str">
        <f>TEXT(Table1[[#This Row],[Order_Date]],"YYYY")</f>
        <v>2024</v>
      </c>
    </row>
    <row r="1708" spans="1:14" x14ac:dyDescent="0.25">
      <c r="A1708" s="1">
        <v>45141</v>
      </c>
      <c r="B1708" t="s">
        <v>11</v>
      </c>
      <c r="C1708" t="s">
        <v>41</v>
      </c>
      <c r="D1708">
        <v>19909</v>
      </c>
      <c r="E1708">
        <v>14614</v>
      </c>
      <c r="F1708">
        <v>5295</v>
      </c>
      <c r="G1708" t="s">
        <v>19</v>
      </c>
      <c r="H1708" t="s">
        <v>14</v>
      </c>
      <c r="I1708" t="s">
        <v>15</v>
      </c>
      <c r="J1708" s="2">
        <f>Table1[[#This Row],[Profit]]/Table1[[#This Row],[Sales]]*100</f>
        <v>26.596011853935408</v>
      </c>
      <c r="K1708" t="str">
        <f>IF(Table1[[#This Row],[Sales]]&gt;=30000,"High", IF(Table1[[#This Row],[Sales]]&gt;=15000,"Medium","Low"))</f>
        <v>Medium</v>
      </c>
      <c r="L1708" t="str">
        <f>TEXT(Table1[[#This Row],[Order_Date]],"MMM")</f>
        <v>Aug</v>
      </c>
      <c r="M1708" t="str">
        <f>IF(Table1[[#This Row],[Profit]]&gt;=10000,"Excellent",IF(Table1[[#This Row],[Profit]]&gt;5000,"Good","Low"))</f>
        <v>Good</v>
      </c>
      <c r="N1708" t="str">
        <f>TEXT(Table1[[#This Row],[Order_Date]],"YYYY")</f>
        <v>2023</v>
      </c>
    </row>
    <row r="1709" spans="1:14" x14ac:dyDescent="0.25">
      <c r="A1709" s="1">
        <v>45514</v>
      </c>
      <c r="B1709" t="s">
        <v>26</v>
      </c>
      <c r="C1709" t="s">
        <v>18</v>
      </c>
      <c r="D1709">
        <v>5732</v>
      </c>
      <c r="E1709">
        <v>5090</v>
      </c>
      <c r="F1709">
        <v>642</v>
      </c>
      <c r="G1709" t="s">
        <v>13</v>
      </c>
      <c r="H1709" t="s">
        <v>23</v>
      </c>
      <c r="I1709" t="s">
        <v>15</v>
      </c>
      <c r="J1709" s="2">
        <f>Table1[[#This Row],[Profit]]/Table1[[#This Row],[Sales]]*100</f>
        <v>11.200279134682484</v>
      </c>
      <c r="K1709" t="str">
        <f>IF(Table1[[#This Row],[Sales]]&gt;=30000,"High", IF(Table1[[#This Row],[Sales]]&gt;=15000,"Medium","Low"))</f>
        <v>Low</v>
      </c>
      <c r="L1709" t="str">
        <f>TEXT(Table1[[#This Row],[Order_Date]],"MMM")</f>
        <v>Aug</v>
      </c>
      <c r="M1709" t="str">
        <f>IF(Table1[[#This Row],[Profit]]&gt;=10000,"Excellent",IF(Table1[[#This Row],[Profit]]&gt;5000,"Good","Low"))</f>
        <v>Low</v>
      </c>
      <c r="N1709" t="str">
        <f>TEXT(Table1[[#This Row],[Order_Date]],"YYYY")</f>
        <v>2024</v>
      </c>
    </row>
    <row r="1710" spans="1:14" x14ac:dyDescent="0.25">
      <c r="A1710" s="1">
        <v>45418</v>
      </c>
      <c r="B1710" t="s">
        <v>44</v>
      </c>
      <c r="C1710" t="s">
        <v>18</v>
      </c>
      <c r="D1710">
        <v>39481</v>
      </c>
      <c r="E1710">
        <v>20643</v>
      </c>
      <c r="F1710">
        <v>18838</v>
      </c>
      <c r="G1710" t="s">
        <v>19</v>
      </c>
      <c r="H1710" t="s">
        <v>28</v>
      </c>
      <c r="I1710" t="s">
        <v>15</v>
      </c>
      <c r="J1710" s="2">
        <f>Table1[[#This Row],[Profit]]/Table1[[#This Row],[Sales]]*100</f>
        <v>47.714090321927003</v>
      </c>
      <c r="K1710" t="str">
        <f>IF(Table1[[#This Row],[Sales]]&gt;=30000,"High", IF(Table1[[#This Row],[Sales]]&gt;=15000,"Medium","Low"))</f>
        <v>High</v>
      </c>
      <c r="L1710" t="str">
        <f>TEXT(Table1[[#This Row],[Order_Date]],"MMM")</f>
        <v>May</v>
      </c>
      <c r="M1710" t="str">
        <f>IF(Table1[[#This Row],[Profit]]&gt;=10000,"Excellent",IF(Table1[[#This Row],[Profit]]&gt;5000,"Good","Low"))</f>
        <v>Excellent</v>
      </c>
      <c r="N1710" t="str">
        <f>TEXT(Table1[[#This Row],[Order_Date]],"YYYY")</f>
        <v>2024</v>
      </c>
    </row>
    <row r="1711" spans="1:14" x14ac:dyDescent="0.25">
      <c r="A1711" s="1">
        <v>46018</v>
      </c>
      <c r="B1711" t="s">
        <v>22</v>
      </c>
      <c r="C1711" t="s">
        <v>41</v>
      </c>
      <c r="D1711">
        <v>41418</v>
      </c>
      <c r="E1711">
        <v>24009</v>
      </c>
      <c r="F1711">
        <v>17409</v>
      </c>
      <c r="G1711" t="s">
        <v>19</v>
      </c>
      <c r="H1711" t="s">
        <v>34</v>
      </c>
      <c r="I1711" t="s">
        <v>29</v>
      </c>
      <c r="J1711" s="2">
        <f>Table1[[#This Row],[Profit]]/Table1[[#This Row],[Sales]]*100</f>
        <v>42.032449659568307</v>
      </c>
      <c r="K1711" t="str">
        <f>IF(Table1[[#This Row],[Sales]]&gt;=30000,"High", IF(Table1[[#This Row],[Sales]]&gt;=15000,"Medium","Low"))</f>
        <v>High</v>
      </c>
      <c r="L1711" t="str">
        <f>TEXT(Table1[[#This Row],[Order_Date]],"MMM")</f>
        <v>Dec</v>
      </c>
      <c r="M1711" t="str">
        <f>IF(Table1[[#This Row],[Profit]]&gt;=10000,"Excellent",IF(Table1[[#This Row],[Profit]]&gt;5000,"Good","Low"))</f>
        <v>Excellent</v>
      </c>
      <c r="N1711" t="str">
        <f>TEXT(Table1[[#This Row],[Order_Date]],"YYYY")</f>
        <v>2025</v>
      </c>
    </row>
    <row r="1712" spans="1:14" x14ac:dyDescent="0.25">
      <c r="A1712" s="1">
        <v>45132</v>
      </c>
      <c r="B1712" t="s">
        <v>44</v>
      </c>
      <c r="C1712" t="s">
        <v>12</v>
      </c>
      <c r="D1712">
        <v>18741</v>
      </c>
      <c r="E1712">
        <v>14136</v>
      </c>
      <c r="F1712">
        <v>4605</v>
      </c>
      <c r="G1712" t="s">
        <v>38</v>
      </c>
      <c r="H1712" t="s">
        <v>20</v>
      </c>
      <c r="I1712" t="s">
        <v>53</v>
      </c>
      <c r="J1712" s="2">
        <f>Table1[[#This Row],[Profit]]/Table1[[#This Row],[Sales]]*100</f>
        <v>24.571794461341444</v>
      </c>
      <c r="K1712" t="str">
        <f>IF(Table1[[#This Row],[Sales]]&gt;=30000,"High", IF(Table1[[#This Row],[Sales]]&gt;=15000,"Medium","Low"))</f>
        <v>Medium</v>
      </c>
      <c r="L1712" t="str">
        <f>TEXT(Table1[[#This Row],[Order_Date]],"MMM")</f>
        <v>Jul</v>
      </c>
      <c r="M1712" t="str">
        <f>IF(Table1[[#This Row],[Profit]]&gt;=10000,"Excellent",IF(Table1[[#This Row],[Profit]]&gt;5000,"Good","Low"))</f>
        <v>Low</v>
      </c>
      <c r="N1712" t="str">
        <f>TEXT(Table1[[#This Row],[Order_Date]],"YYYY")</f>
        <v>2023</v>
      </c>
    </row>
    <row r="1713" spans="1:14" x14ac:dyDescent="0.25">
      <c r="A1713" s="1">
        <v>45883</v>
      </c>
      <c r="B1713" t="s">
        <v>17</v>
      </c>
      <c r="C1713" t="s">
        <v>12</v>
      </c>
      <c r="D1713">
        <v>9673</v>
      </c>
      <c r="E1713">
        <v>1323</v>
      </c>
      <c r="F1713">
        <v>8350</v>
      </c>
      <c r="G1713" t="s">
        <v>13</v>
      </c>
      <c r="H1713" t="s">
        <v>14</v>
      </c>
      <c r="I1713" t="s">
        <v>15</v>
      </c>
      <c r="J1713" s="2">
        <f>Table1[[#This Row],[Profit]]/Table1[[#This Row],[Sales]]*100</f>
        <v>86.322754057686353</v>
      </c>
      <c r="K1713" t="str">
        <f>IF(Table1[[#This Row],[Sales]]&gt;=30000,"High", IF(Table1[[#This Row],[Sales]]&gt;=15000,"Medium","Low"))</f>
        <v>Low</v>
      </c>
      <c r="L1713" t="str">
        <f>TEXT(Table1[[#This Row],[Order_Date]],"MMM")</f>
        <v>Aug</v>
      </c>
      <c r="M1713" t="str">
        <f>IF(Table1[[#This Row],[Profit]]&gt;=10000,"Excellent",IF(Table1[[#This Row],[Profit]]&gt;5000,"Good","Low"))</f>
        <v>Good</v>
      </c>
      <c r="N1713" t="str">
        <f>TEXT(Table1[[#This Row],[Order_Date]],"YYYY")</f>
        <v>2025</v>
      </c>
    </row>
    <row r="1714" spans="1:14" x14ac:dyDescent="0.25">
      <c r="A1714" s="1">
        <v>46137</v>
      </c>
      <c r="B1714" t="s">
        <v>22</v>
      </c>
      <c r="C1714" t="s">
        <v>36</v>
      </c>
      <c r="D1714">
        <v>36994</v>
      </c>
      <c r="E1714">
        <v>33348</v>
      </c>
      <c r="F1714">
        <v>3646</v>
      </c>
      <c r="G1714" t="s">
        <v>27</v>
      </c>
      <c r="H1714" t="s">
        <v>34</v>
      </c>
      <c r="I1714" t="s">
        <v>53</v>
      </c>
      <c r="J1714" s="2">
        <f>Table1[[#This Row],[Profit]]/Table1[[#This Row],[Sales]]*100</f>
        <v>9.8556522679353407</v>
      </c>
      <c r="K1714" t="str">
        <f>IF(Table1[[#This Row],[Sales]]&gt;=30000,"High", IF(Table1[[#This Row],[Sales]]&gt;=15000,"Medium","Low"))</f>
        <v>High</v>
      </c>
      <c r="L1714" t="str">
        <f>TEXT(Table1[[#This Row],[Order_Date]],"MMM")</f>
        <v>Apr</v>
      </c>
      <c r="M1714" t="str">
        <f>IF(Table1[[#This Row],[Profit]]&gt;=10000,"Excellent",IF(Table1[[#This Row],[Profit]]&gt;5000,"Good","Low"))</f>
        <v>Low</v>
      </c>
      <c r="N1714" t="str">
        <f>TEXT(Table1[[#This Row],[Order_Date]],"YYYY")</f>
        <v>2026</v>
      </c>
    </row>
    <row r="1715" spans="1:14" x14ac:dyDescent="0.25">
      <c r="A1715" s="1">
        <v>45931</v>
      </c>
      <c r="B1715" t="s">
        <v>17</v>
      </c>
      <c r="C1715" t="s">
        <v>36</v>
      </c>
      <c r="D1715">
        <v>48215</v>
      </c>
      <c r="E1715">
        <v>35897</v>
      </c>
      <c r="F1715">
        <v>12318</v>
      </c>
      <c r="G1715" t="s">
        <v>19</v>
      </c>
      <c r="H1715" t="s">
        <v>60</v>
      </c>
      <c r="I1715" t="s">
        <v>29</v>
      </c>
      <c r="J1715" s="2">
        <f>Table1[[#This Row],[Profit]]/Table1[[#This Row],[Sales]]*100</f>
        <v>25.548065954578451</v>
      </c>
      <c r="K1715" t="str">
        <f>IF(Table1[[#This Row],[Sales]]&gt;=30000,"High", IF(Table1[[#This Row],[Sales]]&gt;=15000,"Medium","Low"))</f>
        <v>High</v>
      </c>
      <c r="L1715" t="str">
        <f>TEXT(Table1[[#This Row],[Order_Date]],"MMM")</f>
        <v>Oct</v>
      </c>
      <c r="M1715" t="str">
        <f>IF(Table1[[#This Row],[Profit]]&gt;=10000,"Excellent",IF(Table1[[#This Row],[Profit]]&gt;5000,"Good","Low"))</f>
        <v>Excellent</v>
      </c>
      <c r="N1715" t="str">
        <f>TEXT(Table1[[#This Row],[Order_Date]],"YYYY")</f>
        <v>2025</v>
      </c>
    </row>
    <row r="1716" spans="1:14" x14ac:dyDescent="0.25">
      <c r="A1716" s="1">
        <v>46139</v>
      </c>
      <c r="B1716" t="s">
        <v>44</v>
      </c>
      <c r="C1716" t="s">
        <v>33</v>
      </c>
      <c r="D1716">
        <v>20505</v>
      </c>
      <c r="E1716">
        <v>1620</v>
      </c>
      <c r="F1716">
        <v>18885</v>
      </c>
      <c r="G1716" t="s">
        <v>27</v>
      </c>
      <c r="H1716" t="s">
        <v>23</v>
      </c>
      <c r="I1716" t="s">
        <v>24</v>
      </c>
      <c r="J1716" s="2">
        <f>Table1[[#This Row],[Profit]]/Table1[[#This Row],[Sales]]*100</f>
        <v>92.099487929773233</v>
      </c>
      <c r="K1716" t="str">
        <f>IF(Table1[[#This Row],[Sales]]&gt;=30000,"High", IF(Table1[[#This Row],[Sales]]&gt;=15000,"Medium","Low"))</f>
        <v>Medium</v>
      </c>
      <c r="L1716" t="str">
        <f>TEXT(Table1[[#This Row],[Order_Date]],"MMM")</f>
        <v>Apr</v>
      </c>
      <c r="M1716" t="str">
        <f>IF(Table1[[#This Row],[Profit]]&gt;=10000,"Excellent",IF(Table1[[#This Row],[Profit]]&gt;5000,"Good","Low"))</f>
        <v>Excellent</v>
      </c>
      <c r="N1716" t="str">
        <f>TEXT(Table1[[#This Row],[Order_Date]],"YYYY")</f>
        <v>2026</v>
      </c>
    </row>
    <row r="1717" spans="1:14" x14ac:dyDescent="0.25">
      <c r="A1717" s="1">
        <v>45155</v>
      </c>
      <c r="B1717" t="s">
        <v>44</v>
      </c>
      <c r="C1717" t="s">
        <v>12</v>
      </c>
      <c r="D1717">
        <v>22285</v>
      </c>
      <c r="E1717">
        <v>15836</v>
      </c>
      <c r="F1717">
        <v>6449</v>
      </c>
      <c r="G1717" t="s">
        <v>27</v>
      </c>
      <c r="H1717" t="s">
        <v>45</v>
      </c>
      <c r="I1717" t="s">
        <v>53</v>
      </c>
      <c r="J1717" s="2">
        <f>Table1[[#This Row],[Profit]]/Table1[[#This Row],[Sales]]*100</f>
        <v>28.938748036796053</v>
      </c>
      <c r="K1717" t="str">
        <f>IF(Table1[[#This Row],[Sales]]&gt;=30000,"High", IF(Table1[[#This Row],[Sales]]&gt;=15000,"Medium","Low"))</f>
        <v>Medium</v>
      </c>
      <c r="L1717" t="str">
        <f>TEXT(Table1[[#This Row],[Order_Date]],"MMM")</f>
        <v>Aug</v>
      </c>
      <c r="M1717" t="str">
        <f>IF(Table1[[#This Row],[Profit]]&gt;=10000,"Excellent",IF(Table1[[#This Row],[Profit]]&gt;5000,"Good","Low"))</f>
        <v>Good</v>
      </c>
      <c r="N1717" t="str">
        <f>TEXT(Table1[[#This Row],[Order_Date]],"YYYY")</f>
        <v>2023</v>
      </c>
    </row>
    <row r="1718" spans="1:14" x14ac:dyDescent="0.25">
      <c r="A1718" s="1">
        <v>45875</v>
      </c>
      <c r="B1718" t="s">
        <v>17</v>
      </c>
      <c r="C1718" t="s">
        <v>12</v>
      </c>
      <c r="D1718">
        <v>9861</v>
      </c>
      <c r="E1718">
        <v>7303</v>
      </c>
      <c r="F1718">
        <v>2558</v>
      </c>
      <c r="G1718" t="s">
        <v>38</v>
      </c>
      <c r="H1718" t="s">
        <v>23</v>
      </c>
      <c r="I1718" t="s">
        <v>15</v>
      </c>
      <c r="J1718" s="2">
        <f>Table1[[#This Row],[Profit]]/Table1[[#This Row],[Sales]]*100</f>
        <v>25.94057397829835</v>
      </c>
      <c r="K1718" t="str">
        <f>IF(Table1[[#This Row],[Sales]]&gt;=30000,"High", IF(Table1[[#This Row],[Sales]]&gt;=15000,"Medium","Low"))</f>
        <v>Low</v>
      </c>
      <c r="L1718" t="str">
        <f>TEXT(Table1[[#This Row],[Order_Date]],"MMM")</f>
        <v>Aug</v>
      </c>
      <c r="M1718" t="str">
        <f>IF(Table1[[#This Row],[Profit]]&gt;=10000,"Excellent",IF(Table1[[#This Row],[Profit]]&gt;5000,"Good","Low"))</f>
        <v>Low</v>
      </c>
      <c r="N1718" t="str">
        <f>TEXT(Table1[[#This Row],[Order_Date]],"YYYY")</f>
        <v>2025</v>
      </c>
    </row>
    <row r="1719" spans="1:14" x14ac:dyDescent="0.25">
      <c r="A1719" s="1">
        <v>45246</v>
      </c>
      <c r="B1719" t="s">
        <v>26</v>
      </c>
      <c r="C1719" t="s">
        <v>41</v>
      </c>
      <c r="D1719">
        <v>24246</v>
      </c>
      <c r="E1719">
        <v>7084</v>
      </c>
      <c r="F1719">
        <v>17162</v>
      </c>
      <c r="G1719" t="s">
        <v>19</v>
      </c>
      <c r="H1719" t="s">
        <v>20</v>
      </c>
      <c r="I1719" t="s">
        <v>53</v>
      </c>
      <c r="J1719" s="2">
        <f>Table1[[#This Row],[Profit]]/Table1[[#This Row],[Sales]]*100</f>
        <v>70.782809535593501</v>
      </c>
      <c r="K1719" t="str">
        <f>IF(Table1[[#This Row],[Sales]]&gt;=30000,"High", IF(Table1[[#This Row],[Sales]]&gt;=15000,"Medium","Low"))</f>
        <v>Medium</v>
      </c>
      <c r="L1719" t="str">
        <f>TEXT(Table1[[#This Row],[Order_Date]],"MMM")</f>
        <v>Nov</v>
      </c>
      <c r="M1719" t="str">
        <f>IF(Table1[[#This Row],[Profit]]&gt;=10000,"Excellent",IF(Table1[[#This Row],[Profit]]&gt;5000,"Good","Low"))</f>
        <v>Excellent</v>
      </c>
      <c r="N1719" t="str">
        <f>TEXT(Table1[[#This Row],[Order_Date]],"YYYY")</f>
        <v>2023</v>
      </c>
    </row>
    <row r="1720" spans="1:14" x14ac:dyDescent="0.25">
      <c r="A1720" s="1">
        <v>45536</v>
      </c>
      <c r="B1720" t="s">
        <v>44</v>
      </c>
      <c r="C1720" t="s">
        <v>18</v>
      </c>
      <c r="D1720">
        <v>43621</v>
      </c>
      <c r="E1720">
        <v>41880</v>
      </c>
      <c r="F1720">
        <v>1741</v>
      </c>
      <c r="G1720" t="s">
        <v>27</v>
      </c>
      <c r="H1720" t="s">
        <v>20</v>
      </c>
      <c r="I1720" t="s">
        <v>15</v>
      </c>
      <c r="J1720" s="2">
        <f>Table1[[#This Row],[Profit]]/Table1[[#This Row],[Sales]]*100</f>
        <v>3.9911969005754111</v>
      </c>
      <c r="K1720" t="str">
        <f>IF(Table1[[#This Row],[Sales]]&gt;=30000,"High", IF(Table1[[#This Row],[Sales]]&gt;=15000,"Medium","Low"))</f>
        <v>High</v>
      </c>
      <c r="L1720" t="str">
        <f>TEXT(Table1[[#This Row],[Order_Date]],"MMM")</f>
        <v>Sep</v>
      </c>
      <c r="M1720" t="str">
        <f>IF(Table1[[#This Row],[Profit]]&gt;=10000,"Excellent",IF(Table1[[#This Row],[Profit]]&gt;5000,"Good","Low"))</f>
        <v>Low</v>
      </c>
      <c r="N1720" t="str">
        <f>TEXT(Table1[[#This Row],[Order_Date]],"YYYY")</f>
        <v>2024</v>
      </c>
    </row>
    <row r="1721" spans="1:14" x14ac:dyDescent="0.25">
      <c r="A1721" s="1">
        <v>45454</v>
      </c>
      <c r="B1721" t="s">
        <v>17</v>
      </c>
      <c r="C1721" t="s">
        <v>36</v>
      </c>
      <c r="D1721">
        <v>20808</v>
      </c>
      <c r="E1721">
        <v>13119</v>
      </c>
      <c r="F1721">
        <v>7689</v>
      </c>
      <c r="G1721" t="s">
        <v>19</v>
      </c>
      <c r="H1721" t="s">
        <v>20</v>
      </c>
      <c r="I1721" t="s">
        <v>53</v>
      </c>
      <c r="J1721" s="2">
        <f>Table1[[#This Row],[Profit]]/Table1[[#This Row],[Sales]]*100</f>
        <v>36.952133794694348</v>
      </c>
      <c r="K1721" t="str">
        <f>IF(Table1[[#This Row],[Sales]]&gt;=30000,"High", IF(Table1[[#This Row],[Sales]]&gt;=15000,"Medium","Low"))</f>
        <v>Medium</v>
      </c>
      <c r="L1721" t="str">
        <f>TEXT(Table1[[#This Row],[Order_Date]],"MMM")</f>
        <v>Jun</v>
      </c>
      <c r="M1721" t="str">
        <f>IF(Table1[[#This Row],[Profit]]&gt;=10000,"Excellent",IF(Table1[[#This Row],[Profit]]&gt;5000,"Good","Low"))</f>
        <v>Good</v>
      </c>
      <c r="N1721" t="str">
        <f>TEXT(Table1[[#This Row],[Order_Date]],"YYYY")</f>
        <v>2024</v>
      </c>
    </row>
    <row r="1722" spans="1:14" x14ac:dyDescent="0.25">
      <c r="A1722" s="1">
        <v>45288</v>
      </c>
      <c r="B1722" t="s">
        <v>26</v>
      </c>
      <c r="C1722" t="s">
        <v>12</v>
      </c>
      <c r="D1722">
        <v>49014</v>
      </c>
      <c r="E1722">
        <v>37185</v>
      </c>
      <c r="F1722">
        <v>11829</v>
      </c>
      <c r="G1722" t="s">
        <v>38</v>
      </c>
      <c r="H1722" t="s">
        <v>78</v>
      </c>
      <c r="I1722" t="s">
        <v>29</v>
      </c>
      <c r="J1722" s="2">
        <f>Table1[[#This Row],[Profit]]/Table1[[#This Row],[Sales]]*100</f>
        <v>24.133920920553312</v>
      </c>
      <c r="K1722" t="str">
        <f>IF(Table1[[#This Row],[Sales]]&gt;=30000,"High", IF(Table1[[#This Row],[Sales]]&gt;=15000,"Medium","Low"))</f>
        <v>High</v>
      </c>
      <c r="L1722" t="str">
        <f>TEXT(Table1[[#This Row],[Order_Date]],"MMM")</f>
        <v>Dec</v>
      </c>
      <c r="M1722" t="str">
        <f>IF(Table1[[#This Row],[Profit]]&gt;=10000,"Excellent",IF(Table1[[#This Row],[Profit]]&gt;5000,"Good","Low"))</f>
        <v>Excellent</v>
      </c>
      <c r="N1722" t="str">
        <f>TEXT(Table1[[#This Row],[Order_Date]],"YYYY")</f>
        <v>2023</v>
      </c>
    </row>
    <row r="1723" spans="1:14" x14ac:dyDescent="0.25">
      <c r="A1723" s="1">
        <v>46114</v>
      </c>
      <c r="B1723" t="s">
        <v>26</v>
      </c>
      <c r="C1723" t="s">
        <v>12</v>
      </c>
      <c r="D1723">
        <v>33840</v>
      </c>
      <c r="E1723">
        <v>27375</v>
      </c>
      <c r="F1723">
        <v>6465</v>
      </c>
      <c r="G1723" t="s">
        <v>19</v>
      </c>
      <c r="H1723" t="s">
        <v>78</v>
      </c>
      <c r="I1723" t="s">
        <v>15</v>
      </c>
      <c r="J1723" s="2">
        <f>Table1[[#This Row],[Profit]]/Table1[[#This Row],[Sales]]*100</f>
        <v>19.104609929078016</v>
      </c>
      <c r="K1723" t="str">
        <f>IF(Table1[[#This Row],[Sales]]&gt;=30000,"High", IF(Table1[[#This Row],[Sales]]&gt;=15000,"Medium","Low"))</f>
        <v>High</v>
      </c>
      <c r="L1723" t="str">
        <f>TEXT(Table1[[#This Row],[Order_Date]],"MMM")</f>
        <v>Apr</v>
      </c>
      <c r="M1723" t="str">
        <f>IF(Table1[[#This Row],[Profit]]&gt;=10000,"Excellent",IF(Table1[[#This Row],[Profit]]&gt;5000,"Good","Low"))</f>
        <v>Good</v>
      </c>
      <c r="N1723" t="str">
        <f>TEXT(Table1[[#This Row],[Order_Date]],"YYYY")</f>
        <v>2026</v>
      </c>
    </row>
    <row r="1724" spans="1:14" x14ac:dyDescent="0.25">
      <c r="A1724" s="1">
        <v>45941</v>
      </c>
      <c r="B1724" t="s">
        <v>26</v>
      </c>
      <c r="C1724" t="s">
        <v>33</v>
      </c>
      <c r="D1724">
        <v>44061</v>
      </c>
      <c r="E1724">
        <v>27140</v>
      </c>
      <c r="F1724">
        <v>16921</v>
      </c>
      <c r="G1724" t="s">
        <v>38</v>
      </c>
      <c r="H1724" t="s">
        <v>34</v>
      </c>
      <c r="I1724" t="s">
        <v>29</v>
      </c>
      <c r="J1724" s="2">
        <f>Table1[[#This Row],[Profit]]/Table1[[#This Row],[Sales]]*100</f>
        <v>38.403576859354075</v>
      </c>
      <c r="K1724" t="str">
        <f>IF(Table1[[#This Row],[Sales]]&gt;=30000,"High", IF(Table1[[#This Row],[Sales]]&gt;=15000,"Medium","Low"))</f>
        <v>High</v>
      </c>
      <c r="L1724" t="str">
        <f>TEXT(Table1[[#This Row],[Order_Date]],"MMM")</f>
        <v>Oct</v>
      </c>
      <c r="M1724" t="str">
        <f>IF(Table1[[#This Row],[Profit]]&gt;=10000,"Excellent",IF(Table1[[#This Row],[Profit]]&gt;5000,"Good","Low"))</f>
        <v>Excellent</v>
      </c>
      <c r="N1724" t="str">
        <f>TEXT(Table1[[#This Row],[Order_Date]],"YYYY")</f>
        <v>2025</v>
      </c>
    </row>
    <row r="1725" spans="1:14" x14ac:dyDescent="0.25">
      <c r="A1725" s="1">
        <v>45853</v>
      </c>
      <c r="B1725" t="s">
        <v>11</v>
      </c>
      <c r="C1725" t="s">
        <v>41</v>
      </c>
      <c r="D1725">
        <v>34645</v>
      </c>
      <c r="E1725">
        <v>28358</v>
      </c>
      <c r="F1725">
        <v>6287</v>
      </c>
      <c r="G1725" t="s">
        <v>38</v>
      </c>
      <c r="H1725" t="s">
        <v>28</v>
      </c>
      <c r="I1725" t="s">
        <v>15</v>
      </c>
      <c r="J1725" s="2">
        <f>Table1[[#This Row],[Profit]]/Table1[[#This Row],[Sales]]*100</f>
        <v>18.146918747293984</v>
      </c>
      <c r="K1725" t="str">
        <f>IF(Table1[[#This Row],[Sales]]&gt;=30000,"High", IF(Table1[[#This Row],[Sales]]&gt;=15000,"Medium","Low"))</f>
        <v>High</v>
      </c>
      <c r="L1725" t="str">
        <f>TEXT(Table1[[#This Row],[Order_Date]],"MMM")</f>
        <v>Jul</v>
      </c>
      <c r="M1725" t="str">
        <f>IF(Table1[[#This Row],[Profit]]&gt;=10000,"Excellent",IF(Table1[[#This Row],[Profit]]&gt;5000,"Good","Low"))</f>
        <v>Good</v>
      </c>
      <c r="N1725" t="str">
        <f>TEXT(Table1[[#This Row],[Order_Date]],"YYYY")</f>
        <v>2025</v>
      </c>
    </row>
    <row r="1726" spans="1:14" x14ac:dyDescent="0.25">
      <c r="A1726" s="1">
        <v>46061</v>
      </c>
      <c r="B1726" t="s">
        <v>26</v>
      </c>
      <c r="C1726" t="s">
        <v>36</v>
      </c>
      <c r="D1726">
        <v>31556</v>
      </c>
      <c r="E1726">
        <v>14238</v>
      </c>
      <c r="F1726">
        <v>17318</v>
      </c>
      <c r="G1726" t="s">
        <v>27</v>
      </c>
      <c r="H1726" t="s">
        <v>63</v>
      </c>
      <c r="I1726" t="s">
        <v>15</v>
      </c>
      <c r="J1726" s="2">
        <f>Table1[[#This Row],[Profit]]/Table1[[#This Row],[Sales]]*100</f>
        <v>54.880212954747122</v>
      </c>
      <c r="K1726" t="str">
        <f>IF(Table1[[#This Row],[Sales]]&gt;=30000,"High", IF(Table1[[#This Row],[Sales]]&gt;=15000,"Medium","Low"))</f>
        <v>High</v>
      </c>
      <c r="L1726" t="str">
        <f>TEXT(Table1[[#This Row],[Order_Date]],"MMM")</f>
        <v>Feb</v>
      </c>
      <c r="M1726" t="str">
        <f>IF(Table1[[#This Row],[Profit]]&gt;=10000,"Excellent",IF(Table1[[#This Row],[Profit]]&gt;5000,"Good","Low"))</f>
        <v>Excellent</v>
      </c>
      <c r="N1726" t="str">
        <f>TEXT(Table1[[#This Row],[Order_Date]],"YYYY")</f>
        <v>2026</v>
      </c>
    </row>
    <row r="1727" spans="1:14" x14ac:dyDescent="0.25">
      <c r="A1727" s="1">
        <v>45302</v>
      </c>
      <c r="B1727" t="s">
        <v>17</v>
      </c>
      <c r="C1727" t="s">
        <v>33</v>
      </c>
      <c r="D1727">
        <v>20060</v>
      </c>
      <c r="E1727">
        <v>15127</v>
      </c>
      <c r="F1727">
        <v>4933</v>
      </c>
      <c r="G1727" t="s">
        <v>13</v>
      </c>
      <c r="H1727" t="s">
        <v>20</v>
      </c>
      <c r="I1727" t="s">
        <v>53</v>
      </c>
      <c r="J1727" s="2">
        <f>Table1[[#This Row],[Profit]]/Table1[[#This Row],[Sales]]*100</f>
        <v>24.591226321036888</v>
      </c>
      <c r="K1727" t="str">
        <f>IF(Table1[[#This Row],[Sales]]&gt;=30000,"High", IF(Table1[[#This Row],[Sales]]&gt;=15000,"Medium","Low"))</f>
        <v>Medium</v>
      </c>
      <c r="L1727" t="str">
        <f>TEXT(Table1[[#This Row],[Order_Date]],"MMM")</f>
        <v>Jan</v>
      </c>
      <c r="M1727" t="str">
        <f>IF(Table1[[#This Row],[Profit]]&gt;=10000,"Excellent",IF(Table1[[#This Row],[Profit]]&gt;5000,"Good","Low"))</f>
        <v>Low</v>
      </c>
      <c r="N1727" t="str">
        <f>TEXT(Table1[[#This Row],[Order_Date]],"YYYY")</f>
        <v>2024</v>
      </c>
    </row>
    <row r="1728" spans="1:14" x14ac:dyDescent="0.25">
      <c r="A1728" s="1">
        <v>46031</v>
      </c>
      <c r="B1728" t="s">
        <v>44</v>
      </c>
      <c r="C1728" t="s">
        <v>41</v>
      </c>
      <c r="D1728">
        <v>41942</v>
      </c>
      <c r="E1728">
        <v>35644</v>
      </c>
      <c r="F1728">
        <v>6298</v>
      </c>
      <c r="G1728" t="s">
        <v>38</v>
      </c>
      <c r="H1728" t="s">
        <v>78</v>
      </c>
      <c r="I1728" t="s">
        <v>15</v>
      </c>
      <c r="J1728" s="2">
        <f>Table1[[#This Row],[Profit]]/Table1[[#This Row],[Sales]]*100</f>
        <v>15.015974440894569</v>
      </c>
      <c r="K1728" t="str">
        <f>IF(Table1[[#This Row],[Sales]]&gt;=30000,"High", IF(Table1[[#This Row],[Sales]]&gt;=15000,"Medium","Low"))</f>
        <v>High</v>
      </c>
      <c r="L1728" t="str">
        <f>TEXT(Table1[[#This Row],[Order_Date]],"MMM")</f>
        <v>Jan</v>
      </c>
      <c r="M1728" t="str">
        <f>IF(Table1[[#This Row],[Profit]]&gt;=10000,"Excellent",IF(Table1[[#This Row],[Profit]]&gt;5000,"Good","Low"))</f>
        <v>Good</v>
      </c>
      <c r="N1728" t="str">
        <f>TEXT(Table1[[#This Row],[Order_Date]],"YYYY")</f>
        <v>2026</v>
      </c>
    </row>
    <row r="1729" spans="1:14" x14ac:dyDescent="0.25">
      <c r="A1729" s="1">
        <v>45763</v>
      </c>
      <c r="B1729" t="s">
        <v>44</v>
      </c>
      <c r="C1729" t="s">
        <v>36</v>
      </c>
      <c r="D1729">
        <v>18343</v>
      </c>
      <c r="E1729">
        <v>11722</v>
      </c>
      <c r="F1729">
        <v>6621</v>
      </c>
      <c r="G1729" t="s">
        <v>38</v>
      </c>
      <c r="H1729" t="s">
        <v>14</v>
      </c>
      <c r="I1729" t="s">
        <v>29</v>
      </c>
      <c r="J1729" s="2">
        <f>Table1[[#This Row],[Profit]]/Table1[[#This Row],[Sales]]*100</f>
        <v>36.095513274818728</v>
      </c>
      <c r="K1729" t="str">
        <f>IF(Table1[[#This Row],[Sales]]&gt;=30000,"High", IF(Table1[[#This Row],[Sales]]&gt;=15000,"Medium","Low"))</f>
        <v>Medium</v>
      </c>
      <c r="L1729" t="str">
        <f>TEXT(Table1[[#This Row],[Order_Date]],"MMM")</f>
        <v>Apr</v>
      </c>
      <c r="M1729" t="str">
        <f>IF(Table1[[#This Row],[Profit]]&gt;=10000,"Excellent",IF(Table1[[#This Row],[Profit]]&gt;5000,"Good","Low"))</f>
        <v>Good</v>
      </c>
      <c r="N1729" t="str">
        <f>TEXT(Table1[[#This Row],[Order_Date]],"YYYY")</f>
        <v>2025</v>
      </c>
    </row>
    <row r="1730" spans="1:14" x14ac:dyDescent="0.25">
      <c r="A1730" s="1">
        <v>45268</v>
      </c>
      <c r="B1730" t="s">
        <v>22</v>
      </c>
      <c r="C1730" t="s">
        <v>36</v>
      </c>
      <c r="D1730">
        <v>29562</v>
      </c>
      <c r="E1730">
        <v>12021</v>
      </c>
      <c r="F1730">
        <v>17541</v>
      </c>
      <c r="G1730" t="s">
        <v>38</v>
      </c>
      <c r="H1730" t="s">
        <v>31</v>
      </c>
      <c r="I1730" t="s">
        <v>15</v>
      </c>
      <c r="J1730" s="2">
        <f>Table1[[#This Row],[Profit]]/Table1[[#This Row],[Sales]]*100</f>
        <v>59.336310127866852</v>
      </c>
      <c r="K1730" t="str">
        <f>IF(Table1[[#This Row],[Sales]]&gt;=30000,"High", IF(Table1[[#This Row],[Sales]]&gt;=15000,"Medium","Low"))</f>
        <v>Medium</v>
      </c>
      <c r="L1730" t="str">
        <f>TEXT(Table1[[#This Row],[Order_Date]],"MMM")</f>
        <v>Dec</v>
      </c>
      <c r="M1730" t="str">
        <f>IF(Table1[[#This Row],[Profit]]&gt;=10000,"Excellent",IF(Table1[[#This Row],[Profit]]&gt;5000,"Good","Low"))</f>
        <v>Excellent</v>
      </c>
      <c r="N1730" t="str">
        <f>TEXT(Table1[[#This Row],[Order_Date]],"YYYY")</f>
        <v>2023</v>
      </c>
    </row>
    <row r="1731" spans="1:14" x14ac:dyDescent="0.25">
      <c r="A1731" s="1">
        <v>45179</v>
      </c>
      <c r="B1731" t="s">
        <v>22</v>
      </c>
      <c r="C1731" t="s">
        <v>12</v>
      </c>
      <c r="D1731">
        <v>22393</v>
      </c>
      <c r="E1731">
        <v>10634</v>
      </c>
      <c r="F1731">
        <v>11759</v>
      </c>
      <c r="G1731" t="s">
        <v>27</v>
      </c>
      <c r="H1731" t="s">
        <v>31</v>
      </c>
      <c r="I1731" t="s">
        <v>29</v>
      </c>
      <c r="J1731" s="2">
        <f>Table1[[#This Row],[Profit]]/Table1[[#This Row],[Sales]]*100</f>
        <v>52.511945697316122</v>
      </c>
      <c r="K1731" t="str">
        <f>IF(Table1[[#This Row],[Sales]]&gt;=30000,"High", IF(Table1[[#This Row],[Sales]]&gt;=15000,"Medium","Low"))</f>
        <v>Medium</v>
      </c>
      <c r="L1731" t="str">
        <f>TEXT(Table1[[#This Row],[Order_Date]],"MMM")</f>
        <v>Sep</v>
      </c>
      <c r="M1731" t="str">
        <f>IF(Table1[[#This Row],[Profit]]&gt;=10000,"Excellent",IF(Table1[[#This Row],[Profit]]&gt;5000,"Good","Low"))</f>
        <v>Excellent</v>
      </c>
      <c r="N1731" t="str">
        <f>TEXT(Table1[[#This Row],[Order_Date]],"YYYY")</f>
        <v>2023</v>
      </c>
    </row>
    <row r="1732" spans="1:14" x14ac:dyDescent="0.25">
      <c r="A1732" s="1">
        <v>45264</v>
      </c>
      <c r="B1732" t="s">
        <v>11</v>
      </c>
      <c r="C1732" t="s">
        <v>41</v>
      </c>
      <c r="D1732">
        <v>39938</v>
      </c>
      <c r="E1732">
        <v>20922</v>
      </c>
      <c r="F1732">
        <v>19016</v>
      </c>
      <c r="G1732" t="s">
        <v>13</v>
      </c>
      <c r="H1732" t="s">
        <v>60</v>
      </c>
      <c r="I1732" t="s">
        <v>42</v>
      </c>
      <c r="J1732" s="2">
        <f>Table1[[#This Row],[Profit]]/Table1[[#This Row],[Sales]]*100</f>
        <v>47.613801392157846</v>
      </c>
      <c r="K1732" t="str">
        <f>IF(Table1[[#This Row],[Sales]]&gt;=30000,"High", IF(Table1[[#This Row],[Sales]]&gt;=15000,"Medium","Low"))</f>
        <v>High</v>
      </c>
      <c r="L1732" t="str">
        <f>TEXT(Table1[[#This Row],[Order_Date]],"MMM")</f>
        <v>Dec</v>
      </c>
      <c r="M1732" t="str">
        <f>IF(Table1[[#This Row],[Profit]]&gt;=10000,"Excellent",IF(Table1[[#This Row],[Profit]]&gt;5000,"Good","Low"))</f>
        <v>Excellent</v>
      </c>
      <c r="N1732" t="str">
        <f>TEXT(Table1[[#This Row],[Order_Date]],"YYYY")</f>
        <v>2023</v>
      </c>
    </row>
    <row r="1733" spans="1:14" x14ac:dyDescent="0.25">
      <c r="A1733" s="1">
        <v>45792</v>
      </c>
      <c r="B1733" t="s">
        <v>17</v>
      </c>
      <c r="C1733" t="s">
        <v>18</v>
      </c>
      <c r="D1733">
        <v>19451</v>
      </c>
      <c r="E1733">
        <v>12304</v>
      </c>
      <c r="F1733">
        <v>7147</v>
      </c>
      <c r="G1733" t="s">
        <v>13</v>
      </c>
      <c r="H1733" t="s">
        <v>60</v>
      </c>
      <c r="I1733" t="s">
        <v>29</v>
      </c>
      <c r="J1733" s="2">
        <f>Table1[[#This Row],[Profit]]/Table1[[#This Row],[Sales]]*100</f>
        <v>36.74361215361678</v>
      </c>
      <c r="K1733" t="str">
        <f>IF(Table1[[#This Row],[Sales]]&gt;=30000,"High", IF(Table1[[#This Row],[Sales]]&gt;=15000,"Medium","Low"))</f>
        <v>Medium</v>
      </c>
      <c r="L1733" t="str">
        <f>TEXT(Table1[[#This Row],[Order_Date]],"MMM")</f>
        <v>May</v>
      </c>
      <c r="M1733" t="str">
        <f>IF(Table1[[#This Row],[Profit]]&gt;=10000,"Excellent",IF(Table1[[#This Row],[Profit]]&gt;5000,"Good","Low"))</f>
        <v>Good</v>
      </c>
      <c r="N1733" t="str">
        <f>TEXT(Table1[[#This Row],[Order_Date]],"YYYY")</f>
        <v>2025</v>
      </c>
    </row>
    <row r="1734" spans="1:14" x14ac:dyDescent="0.25">
      <c r="A1734" s="1">
        <v>45440</v>
      </c>
      <c r="B1734" t="s">
        <v>17</v>
      </c>
      <c r="C1734" t="s">
        <v>36</v>
      </c>
      <c r="D1734">
        <v>31113</v>
      </c>
      <c r="E1734">
        <v>17920</v>
      </c>
      <c r="F1734">
        <v>13193</v>
      </c>
      <c r="G1734" t="s">
        <v>27</v>
      </c>
      <c r="H1734" t="s">
        <v>23</v>
      </c>
      <c r="I1734" t="s">
        <v>29</v>
      </c>
      <c r="J1734" s="2">
        <f>Table1[[#This Row],[Profit]]/Table1[[#This Row],[Sales]]*100</f>
        <v>42.403496930543504</v>
      </c>
      <c r="K1734" t="str">
        <f>IF(Table1[[#This Row],[Sales]]&gt;=30000,"High", IF(Table1[[#This Row],[Sales]]&gt;=15000,"Medium","Low"))</f>
        <v>High</v>
      </c>
      <c r="L1734" t="str">
        <f>TEXT(Table1[[#This Row],[Order_Date]],"MMM")</f>
        <v>May</v>
      </c>
      <c r="M1734" t="str">
        <f>IF(Table1[[#This Row],[Profit]]&gt;=10000,"Excellent",IF(Table1[[#This Row],[Profit]]&gt;5000,"Good","Low"))</f>
        <v>Excellent</v>
      </c>
      <c r="N1734" t="str">
        <f>TEXT(Table1[[#This Row],[Order_Date]],"YYYY")</f>
        <v>2024</v>
      </c>
    </row>
    <row r="1735" spans="1:14" x14ac:dyDescent="0.25">
      <c r="A1735" s="1">
        <v>46143</v>
      </c>
      <c r="B1735" t="s">
        <v>26</v>
      </c>
      <c r="C1735" t="s">
        <v>36</v>
      </c>
      <c r="D1735">
        <v>28168</v>
      </c>
      <c r="E1735">
        <v>11342</v>
      </c>
      <c r="F1735">
        <v>16826</v>
      </c>
      <c r="G1735" t="s">
        <v>13</v>
      </c>
      <c r="H1735" t="s">
        <v>31</v>
      </c>
      <c r="I1735" t="s">
        <v>29</v>
      </c>
      <c r="J1735" s="2">
        <f>Table1[[#This Row],[Profit]]/Table1[[#This Row],[Sales]]*100</f>
        <v>59.734450440215845</v>
      </c>
      <c r="K1735" t="str">
        <f>IF(Table1[[#This Row],[Sales]]&gt;=30000,"High", IF(Table1[[#This Row],[Sales]]&gt;=15000,"Medium","Low"))</f>
        <v>Medium</v>
      </c>
      <c r="L1735" t="str">
        <f>TEXT(Table1[[#This Row],[Order_Date]],"MMM")</f>
        <v>May</v>
      </c>
      <c r="M1735" t="str">
        <f>IF(Table1[[#This Row],[Profit]]&gt;=10000,"Excellent",IF(Table1[[#This Row],[Profit]]&gt;5000,"Good","Low"))</f>
        <v>Excellent</v>
      </c>
      <c r="N1735" t="str">
        <f>TEXT(Table1[[#This Row],[Order_Date]],"YYYY")</f>
        <v>2026</v>
      </c>
    </row>
    <row r="1736" spans="1:14" x14ac:dyDescent="0.25">
      <c r="A1736" s="1">
        <v>45997</v>
      </c>
      <c r="B1736" t="s">
        <v>22</v>
      </c>
      <c r="C1736" t="s">
        <v>18</v>
      </c>
      <c r="D1736">
        <v>28387</v>
      </c>
      <c r="E1736">
        <v>14942</v>
      </c>
      <c r="F1736">
        <v>13445</v>
      </c>
      <c r="G1736" t="s">
        <v>38</v>
      </c>
      <c r="H1736" t="s">
        <v>31</v>
      </c>
      <c r="I1736" t="s">
        <v>53</v>
      </c>
      <c r="J1736" s="2">
        <f>Table1[[#This Row],[Profit]]/Table1[[#This Row],[Sales]]*100</f>
        <v>47.363229647373799</v>
      </c>
      <c r="K1736" t="str">
        <f>IF(Table1[[#This Row],[Sales]]&gt;=30000,"High", IF(Table1[[#This Row],[Sales]]&gt;=15000,"Medium","Low"))</f>
        <v>Medium</v>
      </c>
      <c r="L1736" t="str">
        <f>TEXT(Table1[[#This Row],[Order_Date]],"MMM")</f>
        <v>Dec</v>
      </c>
      <c r="M1736" t="str">
        <f>IF(Table1[[#This Row],[Profit]]&gt;=10000,"Excellent",IF(Table1[[#This Row],[Profit]]&gt;5000,"Good","Low"))</f>
        <v>Excellent</v>
      </c>
      <c r="N1736" t="str">
        <f>TEXT(Table1[[#This Row],[Order_Date]],"YYYY")</f>
        <v>2025</v>
      </c>
    </row>
    <row r="1737" spans="1:14" x14ac:dyDescent="0.25">
      <c r="A1737" s="1">
        <v>45664</v>
      </c>
      <c r="B1737" t="s">
        <v>26</v>
      </c>
      <c r="C1737" t="s">
        <v>41</v>
      </c>
      <c r="D1737">
        <v>43913</v>
      </c>
      <c r="E1737">
        <v>26701</v>
      </c>
      <c r="F1737">
        <v>17212</v>
      </c>
      <c r="G1737" t="s">
        <v>38</v>
      </c>
      <c r="H1737" t="s">
        <v>14</v>
      </c>
      <c r="I1737" t="s">
        <v>15</v>
      </c>
      <c r="J1737" s="2">
        <f>Table1[[#This Row],[Profit]]/Table1[[#This Row],[Sales]]*100</f>
        <v>39.195682371962739</v>
      </c>
      <c r="K1737" t="str">
        <f>IF(Table1[[#This Row],[Sales]]&gt;=30000,"High", IF(Table1[[#This Row],[Sales]]&gt;=15000,"Medium","Low"))</f>
        <v>High</v>
      </c>
      <c r="L1737" t="str">
        <f>TEXT(Table1[[#This Row],[Order_Date]],"MMM")</f>
        <v>Jan</v>
      </c>
      <c r="M1737" t="str">
        <f>IF(Table1[[#This Row],[Profit]]&gt;=10000,"Excellent",IF(Table1[[#This Row],[Profit]]&gt;5000,"Good","Low"))</f>
        <v>Excellent</v>
      </c>
      <c r="N1737" t="str">
        <f>TEXT(Table1[[#This Row],[Order_Date]],"YYYY")</f>
        <v>2025</v>
      </c>
    </row>
    <row r="1738" spans="1:14" x14ac:dyDescent="0.25">
      <c r="A1738" s="1">
        <v>45679</v>
      </c>
      <c r="B1738" t="s">
        <v>11</v>
      </c>
      <c r="C1738" t="s">
        <v>12</v>
      </c>
      <c r="D1738">
        <v>13742</v>
      </c>
      <c r="E1738">
        <v>708</v>
      </c>
      <c r="F1738">
        <v>13034</v>
      </c>
      <c r="G1738" t="s">
        <v>38</v>
      </c>
      <c r="H1738" t="s">
        <v>20</v>
      </c>
      <c r="I1738" t="s">
        <v>24</v>
      </c>
      <c r="J1738" s="2">
        <f>Table1[[#This Row],[Profit]]/Table1[[#This Row],[Sales]]*100</f>
        <v>94.847911512152521</v>
      </c>
      <c r="K1738" t="str">
        <f>IF(Table1[[#This Row],[Sales]]&gt;=30000,"High", IF(Table1[[#This Row],[Sales]]&gt;=15000,"Medium","Low"))</f>
        <v>Low</v>
      </c>
      <c r="L1738" t="str">
        <f>TEXT(Table1[[#This Row],[Order_Date]],"MMM")</f>
        <v>Jan</v>
      </c>
      <c r="M1738" t="str">
        <f>IF(Table1[[#This Row],[Profit]]&gt;=10000,"Excellent",IF(Table1[[#This Row],[Profit]]&gt;5000,"Good","Low"))</f>
        <v>Excellent</v>
      </c>
      <c r="N1738" t="str">
        <f>TEXT(Table1[[#This Row],[Order_Date]],"YYYY")</f>
        <v>2025</v>
      </c>
    </row>
    <row r="1739" spans="1:14" x14ac:dyDescent="0.25">
      <c r="A1739" s="1">
        <v>45502</v>
      </c>
      <c r="B1739" t="s">
        <v>26</v>
      </c>
      <c r="C1739" t="s">
        <v>12</v>
      </c>
      <c r="D1739">
        <v>40252</v>
      </c>
      <c r="E1739">
        <v>28890</v>
      </c>
      <c r="F1739">
        <v>11362</v>
      </c>
      <c r="G1739" t="s">
        <v>38</v>
      </c>
      <c r="H1739" t="s">
        <v>78</v>
      </c>
      <c r="I1739" t="s">
        <v>15</v>
      </c>
      <c r="J1739" s="2">
        <f>Table1[[#This Row],[Profit]]/Table1[[#This Row],[Sales]]*100</f>
        <v>28.227168836331114</v>
      </c>
      <c r="K1739" t="str">
        <f>IF(Table1[[#This Row],[Sales]]&gt;=30000,"High", IF(Table1[[#This Row],[Sales]]&gt;=15000,"Medium","Low"))</f>
        <v>High</v>
      </c>
      <c r="L1739" t="str">
        <f>TEXT(Table1[[#This Row],[Order_Date]],"MMM")</f>
        <v>Jul</v>
      </c>
      <c r="M1739" t="str">
        <f>IF(Table1[[#This Row],[Profit]]&gt;=10000,"Excellent",IF(Table1[[#This Row],[Profit]]&gt;5000,"Good","Low"))</f>
        <v>Excellent</v>
      </c>
      <c r="N1739" t="str">
        <f>TEXT(Table1[[#This Row],[Order_Date]],"YYYY")</f>
        <v>2024</v>
      </c>
    </row>
    <row r="1740" spans="1:14" x14ac:dyDescent="0.25">
      <c r="A1740" s="1">
        <v>45696</v>
      </c>
      <c r="B1740" t="s">
        <v>26</v>
      </c>
      <c r="C1740" t="s">
        <v>12</v>
      </c>
      <c r="D1740">
        <v>43262</v>
      </c>
      <c r="E1740">
        <v>41317</v>
      </c>
      <c r="F1740">
        <v>1945</v>
      </c>
      <c r="G1740" t="s">
        <v>13</v>
      </c>
      <c r="H1740" t="s">
        <v>23</v>
      </c>
      <c r="I1740" t="s">
        <v>53</v>
      </c>
      <c r="J1740" s="2">
        <f>Table1[[#This Row],[Profit]]/Table1[[#This Row],[Sales]]*100</f>
        <v>4.4958624196754657</v>
      </c>
      <c r="K1740" t="str">
        <f>IF(Table1[[#This Row],[Sales]]&gt;=30000,"High", IF(Table1[[#This Row],[Sales]]&gt;=15000,"Medium","Low"))</f>
        <v>High</v>
      </c>
      <c r="L1740" t="str">
        <f>TEXT(Table1[[#This Row],[Order_Date]],"MMM")</f>
        <v>Feb</v>
      </c>
      <c r="M1740" t="str">
        <f>IF(Table1[[#This Row],[Profit]]&gt;=10000,"Excellent",IF(Table1[[#This Row],[Profit]]&gt;5000,"Good","Low"))</f>
        <v>Low</v>
      </c>
      <c r="N1740" t="str">
        <f>TEXT(Table1[[#This Row],[Order_Date]],"YYYY")</f>
        <v>2025</v>
      </c>
    </row>
    <row r="1741" spans="1:14" x14ac:dyDescent="0.25">
      <c r="A1741" s="1">
        <v>45480</v>
      </c>
      <c r="B1741" t="s">
        <v>26</v>
      </c>
      <c r="C1741" t="s">
        <v>12</v>
      </c>
      <c r="D1741">
        <v>44740</v>
      </c>
      <c r="E1741">
        <v>38082</v>
      </c>
      <c r="F1741">
        <v>6658</v>
      </c>
      <c r="G1741" t="s">
        <v>38</v>
      </c>
      <c r="H1741" t="s">
        <v>23</v>
      </c>
      <c r="I1741" t="s">
        <v>24</v>
      </c>
      <c r="J1741" s="2">
        <f>Table1[[#This Row],[Profit]]/Table1[[#This Row],[Sales]]*100</f>
        <v>14.881537773804201</v>
      </c>
      <c r="K1741" t="str">
        <f>IF(Table1[[#This Row],[Sales]]&gt;=30000,"High", IF(Table1[[#This Row],[Sales]]&gt;=15000,"Medium","Low"))</f>
        <v>High</v>
      </c>
      <c r="L1741" t="str">
        <f>TEXT(Table1[[#This Row],[Order_Date]],"MMM")</f>
        <v>Jul</v>
      </c>
      <c r="M1741" t="str">
        <f>IF(Table1[[#This Row],[Profit]]&gt;=10000,"Excellent",IF(Table1[[#This Row],[Profit]]&gt;5000,"Good","Low"))</f>
        <v>Good</v>
      </c>
      <c r="N1741" t="str">
        <f>TEXT(Table1[[#This Row],[Order_Date]],"YYYY")</f>
        <v>2024</v>
      </c>
    </row>
    <row r="1742" spans="1:14" x14ac:dyDescent="0.25">
      <c r="A1742" s="1">
        <v>45330</v>
      </c>
      <c r="B1742" t="s">
        <v>26</v>
      </c>
      <c r="C1742" t="s">
        <v>33</v>
      </c>
      <c r="D1742">
        <v>17111</v>
      </c>
      <c r="E1742">
        <v>15362</v>
      </c>
      <c r="F1742">
        <v>1749</v>
      </c>
      <c r="G1742" t="s">
        <v>13</v>
      </c>
      <c r="H1742" t="s">
        <v>20</v>
      </c>
      <c r="I1742" t="s">
        <v>29</v>
      </c>
      <c r="J1742" s="2">
        <f>Table1[[#This Row],[Profit]]/Table1[[#This Row],[Sales]]*100</f>
        <v>10.221494944772369</v>
      </c>
      <c r="K1742" t="str">
        <f>IF(Table1[[#This Row],[Sales]]&gt;=30000,"High", IF(Table1[[#This Row],[Sales]]&gt;=15000,"Medium","Low"))</f>
        <v>Medium</v>
      </c>
      <c r="L1742" t="str">
        <f>TEXT(Table1[[#This Row],[Order_Date]],"MMM")</f>
        <v>Feb</v>
      </c>
      <c r="M1742" t="str">
        <f>IF(Table1[[#This Row],[Profit]]&gt;=10000,"Excellent",IF(Table1[[#This Row],[Profit]]&gt;5000,"Good","Low"))</f>
        <v>Low</v>
      </c>
      <c r="N1742" t="str">
        <f>TEXT(Table1[[#This Row],[Order_Date]],"YYYY")</f>
        <v>2024</v>
      </c>
    </row>
    <row r="1743" spans="1:14" x14ac:dyDescent="0.25">
      <c r="A1743" s="1">
        <v>45247</v>
      </c>
      <c r="B1743" t="s">
        <v>17</v>
      </c>
      <c r="C1743" t="s">
        <v>36</v>
      </c>
      <c r="D1743">
        <v>28329</v>
      </c>
      <c r="E1743">
        <v>18541</v>
      </c>
      <c r="F1743">
        <v>9788</v>
      </c>
      <c r="G1743" t="s">
        <v>13</v>
      </c>
      <c r="H1743" t="s">
        <v>45</v>
      </c>
      <c r="I1743" t="s">
        <v>24</v>
      </c>
      <c r="J1743" s="2">
        <f>Table1[[#This Row],[Profit]]/Table1[[#This Row],[Sales]]*100</f>
        <v>34.551166649016906</v>
      </c>
      <c r="K1743" t="str">
        <f>IF(Table1[[#This Row],[Sales]]&gt;=30000,"High", IF(Table1[[#This Row],[Sales]]&gt;=15000,"Medium","Low"))</f>
        <v>Medium</v>
      </c>
      <c r="L1743" t="str">
        <f>TEXT(Table1[[#This Row],[Order_Date]],"MMM")</f>
        <v>Nov</v>
      </c>
      <c r="M1743" t="str">
        <f>IF(Table1[[#This Row],[Profit]]&gt;=10000,"Excellent",IF(Table1[[#This Row],[Profit]]&gt;5000,"Good","Low"))</f>
        <v>Good</v>
      </c>
      <c r="N1743" t="str">
        <f>TEXT(Table1[[#This Row],[Order_Date]],"YYYY")</f>
        <v>2023</v>
      </c>
    </row>
    <row r="1744" spans="1:14" x14ac:dyDescent="0.25">
      <c r="A1744" s="1">
        <v>45171</v>
      </c>
      <c r="B1744" t="s">
        <v>44</v>
      </c>
      <c r="C1744" t="s">
        <v>12</v>
      </c>
      <c r="D1744">
        <v>22074</v>
      </c>
      <c r="E1744">
        <v>12277</v>
      </c>
      <c r="F1744">
        <v>9797</v>
      </c>
      <c r="G1744" t="s">
        <v>13</v>
      </c>
      <c r="H1744" t="s">
        <v>78</v>
      </c>
      <c r="I1744" t="s">
        <v>24</v>
      </c>
      <c r="J1744" s="2">
        <f>Table1[[#This Row],[Profit]]/Table1[[#This Row],[Sales]]*100</f>
        <v>44.382531485004982</v>
      </c>
      <c r="K1744" t="str">
        <f>IF(Table1[[#This Row],[Sales]]&gt;=30000,"High", IF(Table1[[#This Row],[Sales]]&gt;=15000,"Medium","Low"))</f>
        <v>Medium</v>
      </c>
      <c r="L1744" t="str">
        <f>TEXT(Table1[[#This Row],[Order_Date]],"MMM")</f>
        <v>Sep</v>
      </c>
      <c r="M1744" t="str">
        <f>IF(Table1[[#This Row],[Profit]]&gt;=10000,"Excellent",IF(Table1[[#This Row],[Profit]]&gt;5000,"Good","Low"))</f>
        <v>Good</v>
      </c>
      <c r="N1744" t="str">
        <f>TEXT(Table1[[#This Row],[Order_Date]],"YYYY")</f>
        <v>2023</v>
      </c>
    </row>
    <row r="1745" spans="1:14" x14ac:dyDescent="0.25">
      <c r="A1745" s="1">
        <v>45930</v>
      </c>
      <c r="B1745" t="s">
        <v>26</v>
      </c>
      <c r="C1745" t="s">
        <v>33</v>
      </c>
      <c r="D1745">
        <v>17854</v>
      </c>
      <c r="E1745">
        <v>11557</v>
      </c>
      <c r="F1745">
        <v>6297</v>
      </c>
      <c r="G1745" t="s">
        <v>27</v>
      </c>
      <c r="H1745" t="s">
        <v>23</v>
      </c>
      <c r="I1745" t="s">
        <v>29</v>
      </c>
      <c r="J1745" s="2">
        <f>Table1[[#This Row],[Profit]]/Table1[[#This Row],[Sales]]*100</f>
        <v>35.26940741570516</v>
      </c>
      <c r="K1745" t="str">
        <f>IF(Table1[[#This Row],[Sales]]&gt;=30000,"High", IF(Table1[[#This Row],[Sales]]&gt;=15000,"Medium","Low"))</f>
        <v>Medium</v>
      </c>
      <c r="L1745" t="str">
        <f>TEXT(Table1[[#This Row],[Order_Date]],"MMM")</f>
        <v>Sep</v>
      </c>
      <c r="M1745" t="str">
        <f>IF(Table1[[#This Row],[Profit]]&gt;=10000,"Excellent",IF(Table1[[#This Row],[Profit]]&gt;5000,"Good","Low"))</f>
        <v>Good</v>
      </c>
      <c r="N1745" t="str">
        <f>TEXT(Table1[[#This Row],[Order_Date]],"YYYY")</f>
        <v>2025</v>
      </c>
    </row>
    <row r="1746" spans="1:14" x14ac:dyDescent="0.25">
      <c r="A1746" s="1">
        <v>45708</v>
      </c>
      <c r="B1746" t="s">
        <v>26</v>
      </c>
      <c r="C1746" t="s">
        <v>12</v>
      </c>
      <c r="D1746">
        <v>26871</v>
      </c>
      <c r="E1746">
        <v>17571</v>
      </c>
      <c r="F1746">
        <v>9300</v>
      </c>
      <c r="G1746" t="s">
        <v>19</v>
      </c>
      <c r="H1746" t="s">
        <v>20</v>
      </c>
      <c r="I1746" t="s">
        <v>29</v>
      </c>
      <c r="J1746" s="2">
        <f>Table1[[#This Row],[Profit]]/Table1[[#This Row],[Sales]]*100</f>
        <v>34.609802389192815</v>
      </c>
      <c r="K1746" t="str">
        <f>IF(Table1[[#This Row],[Sales]]&gt;=30000,"High", IF(Table1[[#This Row],[Sales]]&gt;=15000,"Medium","Low"))</f>
        <v>Medium</v>
      </c>
      <c r="L1746" t="str">
        <f>TEXT(Table1[[#This Row],[Order_Date]],"MMM")</f>
        <v>Feb</v>
      </c>
      <c r="M1746" t="str">
        <f>IF(Table1[[#This Row],[Profit]]&gt;=10000,"Excellent",IF(Table1[[#This Row],[Profit]]&gt;5000,"Good","Low"))</f>
        <v>Good</v>
      </c>
      <c r="N1746" t="str">
        <f>TEXT(Table1[[#This Row],[Order_Date]],"YYYY")</f>
        <v>2025</v>
      </c>
    </row>
    <row r="1747" spans="1:14" x14ac:dyDescent="0.25">
      <c r="A1747" s="1">
        <v>45315</v>
      </c>
      <c r="B1747" t="s">
        <v>17</v>
      </c>
      <c r="C1747" t="s">
        <v>18</v>
      </c>
      <c r="D1747">
        <v>20466</v>
      </c>
      <c r="E1747">
        <v>2862</v>
      </c>
      <c r="F1747">
        <v>17604</v>
      </c>
      <c r="G1747" t="s">
        <v>13</v>
      </c>
      <c r="H1747" t="s">
        <v>14</v>
      </c>
      <c r="I1747" t="s">
        <v>29</v>
      </c>
      <c r="J1747" s="2">
        <f>Table1[[#This Row],[Profit]]/Table1[[#This Row],[Sales]]*100</f>
        <v>86.01583113456465</v>
      </c>
      <c r="K1747" t="str">
        <f>IF(Table1[[#This Row],[Sales]]&gt;=30000,"High", IF(Table1[[#This Row],[Sales]]&gt;=15000,"Medium","Low"))</f>
        <v>Medium</v>
      </c>
      <c r="L1747" t="str">
        <f>TEXT(Table1[[#This Row],[Order_Date]],"MMM")</f>
        <v>Jan</v>
      </c>
      <c r="M1747" t="str">
        <f>IF(Table1[[#This Row],[Profit]]&gt;=10000,"Excellent",IF(Table1[[#This Row],[Profit]]&gt;5000,"Good","Low"))</f>
        <v>Excellent</v>
      </c>
      <c r="N1747" t="str">
        <f>TEXT(Table1[[#This Row],[Order_Date]],"YYYY")</f>
        <v>2024</v>
      </c>
    </row>
    <row r="1748" spans="1:14" x14ac:dyDescent="0.25">
      <c r="A1748" s="1">
        <v>45637</v>
      </c>
      <c r="B1748" t="s">
        <v>22</v>
      </c>
      <c r="C1748" t="s">
        <v>12</v>
      </c>
      <c r="D1748">
        <v>45889</v>
      </c>
      <c r="E1748">
        <v>31880</v>
      </c>
      <c r="F1748">
        <v>14009</v>
      </c>
      <c r="G1748" t="s">
        <v>13</v>
      </c>
      <c r="H1748" t="s">
        <v>78</v>
      </c>
      <c r="I1748" t="s">
        <v>15</v>
      </c>
      <c r="J1748" s="2">
        <f>Table1[[#This Row],[Profit]]/Table1[[#This Row],[Sales]]*100</f>
        <v>30.528013249362591</v>
      </c>
      <c r="K1748" t="str">
        <f>IF(Table1[[#This Row],[Sales]]&gt;=30000,"High", IF(Table1[[#This Row],[Sales]]&gt;=15000,"Medium","Low"))</f>
        <v>High</v>
      </c>
      <c r="L1748" t="str">
        <f>TEXT(Table1[[#This Row],[Order_Date]],"MMM")</f>
        <v>Dec</v>
      </c>
      <c r="M1748" t="str">
        <f>IF(Table1[[#This Row],[Profit]]&gt;=10000,"Excellent",IF(Table1[[#This Row],[Profit]]&gt;5000,"Good","Low"))</f>
        <v>Excellent</v>
      </c>
      <c r="N1748" t="str">
        <f>TEXT(Table1[[#This Row],[Order_Date]],"YYYY")</f>
        <v>2024</v>
      </c>
    </row>
    <row r="1749" spans="1:14" x14ac:dyDescent="0.25">
      <c r="A1749" s="1">
        <v>45369</v>
      </c>
      <c r="B1749" t="s">
        <v>11</v>
      </c>
      <c r="C1749" t="s">
        <v>12</v>
      </c>
      <c r="D1749">
        <v>40229</v>
      </c>
      <c r="E1749">
        <v>35397</v>
      </c>
      <c r="F1749">
        <v>4832</v>
      </c>
      <c r="G1749" t="s">
        <v>19</v>
      </c>
      <c r="H1749" t="s">
        <v>63</v>
      </c>
      <c r="I1749" t="s">
        <v>29</v>
      </c>
      <c r="J1749" s="2">
        <f>Table1[[#This Row],[Profit]]/Table1[[#This Row],[Sales]]*100</f>
        <v>12.011235675756295</v>
      </c>
      <c r="K1749" t="str">
        <f>IF(Table1[[#This Row],[Sales]]&gt;=30000,"High", IF(Table1[[#This Row],[Sales]]&gt;=15000,"Medium","Low"))</f>
        <v>High</v>
      </c>
      <c r="L1749" t="str">
        <f>TEXT(Table1[[#This Row],[Order_Date]],"MMM")</f>
        <v>Mar</v>
      </c>
      <c r="M1749" t="str">
        <f>IF(Table1[[#This Row],[Profit]]&gt;=10000,"Excellent",IF(Table1[[#This Row],[Profit]]&gt;5000,"Good","Low"))</f>
        <v>Low</v>
      </c>
      <c r="N1749" t="str">
        <f>TEXT(Table1[[#This Row],[Order_Date]],"YYYY")</f>
        <v>2024</v>
      </c>
    </row>
    <row r="1750" spans="1:14" x14ac:dyDescent="0.25">
      <c r="A1750" s="1">
        <v>45823</v>
      </c>
      <c r="B1750" t="s">
        <v>17</v>
      </c>
      <c r="C1750" t="s">
        <v>41</v>
      </c>
      <c r="D1750">
        <v>28145</v>
      </c>
      <c r="E1750">
        <v>9290</v>
      </c>
      <c r="F1750">
        <v>18855</v>
      </c>
      <c r="G1750" t="s">
        <v>13</v>
      </c>
      <c r="H1750" t="s">
        <v>20</v>
      </c>
      <c r="I1750" t="s">
        <v>15</v>
      </c>
      <c r="J1750" s="2">
        <f>Table1[[#This Row],[Profit]]/Table1[[#This Row],[Sales]]*100</f>
        <v>66.992360987742046</v>
      </c>
      <c r="K1750" t="str">
        <f>IF(Table1[[#This Row],[Sales]]&gt;=30000,"High", IF(Table1[[#This Row],[Sales]]&gt;=15000,"Medium","Low"))</f>
        <v>Medium</v>
      </c>
      <c r="L1750" t="str">
        <f>TEXT(Table1[[#This Row],[Order_Date]],"MMM")</f>
        <v>Jun</v>
      </c>
      <c r="M1750" t="str">
        <f>IF(Table1[[#This Row],[Profit]]&gt;=10000,"Excellent",IF(Table1[[#This Row],[Profit]]&gt;5000,"Good","Low"))</f>
        <v>Excellent</v>
      </c>
      <c r="N1750" t="str">
        <f>TEXT(Table1[[#This Row],[Order_Date]],"YYYY")</f>
        <v>2025</v>
      </c>
    </row>
    <row r="1751" spans="1:14" x14ac:dyDescent="0.25">
      <c r="A1751" s="1">
        <v>45782</v>
      </c>
      <c r="B1751" t="s">
        <v>44</v>
      </c>
      <c r="C1751" t="s">
        <v>18</v>
      </c>
      <c r="D1751">
        <v>49969</v>
      </c>
      <c r="E1751">
        <v>37720</v>
      </c>
      <c r="F1751">
        <v>12249</v>
      </c>
      <c r="G1751" t="s">
        <v>38</v>
      </c>
      <c r="H1751" t="s">
        <v>20</v>
      </c>
      <c r="I1751" t="s">
        <v>29</v>
      </c>
      <c r="J1751" s="2">
        <f>Table1[[#This Row],[Profit]]/Table1[[#This Row],[Sales]]*100</f>
        <v>24.513198182873381</v>
      </c>
      <c r="K1751" t="str">
        <f>IF(Table1[[#This Row],[Sales]]&gt;=30000,"High", IF(Table1[[#This Row],[Sales]]&gt;=15000,"Medium","Low"))</f>
        <v>High</v>
      </c>
      <c r="L1751" t="str">
        <f>TEXT(Table1[[#This Row],[Order_Date]],"MMM")</f>
        <v>May</v>
      </c>
      <c r="M1751" t="str">
        <f>IF(Table1[[#This Row],[Profit]]&gt;=10000,"Excellent",IF(Table1[[#This Row],[Profit]]&gt;5000,"Good","Low"))</f>
        <v>Excellent</v>
      </c>
      <c r="N1751" t="str">
        <f>TEXT(Table1[[#This Row],[Order_Date]],"YYYY")</f>
        <v>2025</v>
      </c>
    </row>
    <row r="1752" spans="1:14" x14ac:dyDescent="0.25">
      <c r="A1752" s="1">
        <v>46105</v>
      </c>
      <c r="B1752" t="s">
        <v>44</v>
      </c>
      <c r="C1752" t="s">
        <v>33</v>
      </c>
      <c r="D1752">
        <v>5582</v>
      </c>
      <c r="E1752">
        <v>4818</v>
      </c>
      <c r="F1752">
        <v>764</v>
      </c>
      <c r="G1752" t="s">
        <v>38</v>
      </c>
      <c r="H1752" t="s">
        <v>45</v>
      </c>
      <c r="I1752" t="s">
        <v>15</v>
      </c>
      <c r="J1752" s="2">
        <f>Table1[[#This Row],[Profit]]/Table1[[#This Row],[Sales]]*100</f>
        <v>13.686850591185957</v>
      </c>
      <c r="K1752" t="str">
        <f>IF(Table1[[#This Row],[Sales]]&gt;=30000,"High", IF(Table1[[#This Row],[Sales]]&gt;=15000,"Medium","Low"))</f>
        <v>Low</v>
      </c>
      <c r="L1752" t="str">
        <f>TEXT(Table1[[#This Row],[Order_Date]],"MMM")</f>
        <v>Mar</v>
      </c>
      <c r="M1752" t="str">
        <f>IF(Table1[[#This Row],[Profit]]&gt;=10000,"Excellent",IF(Table1[[#This Row],[Profit]]&gt;5000,"Good","Low"))</f>
        <v>Low</v>
      </c>
      <c r="N1752" t="str">
        <f>TEXT(Table1[[#This Row],[Order_Date]],"YYYY")</f>
        <v>2026</v>
      </c>
    </row>
    <row r="1753" spans="1:14" x14ac:dyDescent="0.25">
      <c r="A1753" s="1">
        <v>45228</v>
      </c>
      <c r="B1753" t="s">
        <v>26</v>
      </c>
      <c r="C1753" t="s">
        <v>33</v>
      </c>
      <c r="D1753">
        <v>15036</v>
      </c>
      <c r="E1753">
        <v>834</v>
      </c>
      <c r="F1753">
        <v>14202</v>
      </c>
      <c r="G1753" t="s">
        <v>27</v>
      </c>
      <c r="H1753" t="s">
        <v>28</v>
      </c>
      <c r="I1753" t="s">
        <v>42</v>
      </c>
      <c r="J1753" s="2">
        <f>Table1[[#This Row],[Profit]]/Table1[[#This Row],[Sales]]*100</f>
        <v>94.453312051077404</v>
      </c>
      <c r="K1753" t="str">
        <f>IF(Table1[[#This Row],[Sales]]&gt;=30000,"High", IF(Table1[[#This Row],[Sales]]&gt;=15000,"Medium","Low"))</f>
        <v>Medium</v>
      </c>
      <c r="L1753" t="str">
        <f>TEXT(Table1[[#This Row],[Order_Date]],"MMM")</f>
        <v>Oct</v>
      </c>
      <c r="M1753" t="str">
        <f>IF(Table1[[#This Row],[Profit]]&gt;=10000,"Excellent",IF(Table1[[#This Row],[Profit]]&gt;5000,"Good","Low"))</f>
        <v>Excellent</v>
      </c>
      <c r="N1753" t="str">
        <f>TEXT(Table1[[#This Row],[Order_Date]],"YYYY")</f>
        <v>2023</v>
      </c>
    </row>
    <row r="1754" spans="1:14" x14ac:dyDescent="0.25">
      <c r="A1754" s="1">
        <v>45982</v>
      </c>
      <c r="B1754" t="s">
        <v>22</v>
      </c>
      <c r="C1754" t="s">
        <v>41</v>
      </c>
      <c r="D1754">
        <v>23605</v>
      </c>
      <c r="E1754">
        <v>20751</v>
      </c>
      <c r="F1754">
        <v>2854</v>
      </c>
      <c r="G1754" t="s">
        <v>13</v>
      </c>
      <c r="H1754" t="s">
        <v>31</v>
      </c>
      <c r="I1754" t="s">
        <v>53</v>
      </c>
      <c r="J1754" s="2">
        <f>Table1[[#This Row],[Profit]]/Table1[[#This Row],[Sales]]*100</f>
        <v>12.090658758737556</v>
      </c>
      <c r="K1754" t="str">
        <f>IF(Table1[[#This Row],[Sales]]&gt;=30000,"High", IF(Table1[[#This Row],[Sales]]&gt;=15000,"Medium","Low"))</f>
        <v>Medium</v>
      </c>
      <c r="L1754" t="str">
        <f>TEXT(Table1[[#This Row],[Order_Date]],"MMM")</f>
        <v>Nov</v>
      </c>
      <c r="M1754" t="str">
        <f>IF(Table1[[#This Row],[Profit]]&gt;=10000,"Excellent",IF(Table1[[#This Row],[Profit]]&gt;5000,"Good","Low"))</f>
        <v>Low</v>
      </c>
      <c r="N1754" t="str">
        <f>TEXT(Table1[[#This Row],[Order_Date]],"YYYY")</f>
        <v>2025</v>
      </c>
    </row>
    <row r="1755" spans="1:14" x14ac:dyDescent="0.25">
      <c r="A1755" s="1">
        <v>45388</v>
      </c>
      <c r="B1755" t="s">
        <v>11</v>
      </c>
      <c r="C1755" t="s">
        <v>33</v>
      </c>
      <c r="D1755">
        <v>23196</v>
      </c>
      <c r="E1755">
        <v>6042</v>
      </c>
      <c r="F1755">
        <v>17154</v>
      </c>
      <c r="G1755" t="s">
        <v>13</v>
      </c>
      <c r="H1755" t="s">
        <v>60</v>
      </c>
      <c r="I1755" t="s">
        <v>53</v>
      </c>
      <c r="J1755" s="2">
        <f>Table1[[#This Row],[Profit]]/Table1[[#This Row],[Sales]]*100</f>
        <v>73.952405587170205</v>
      </c>
      <c r="K1755" t="str">
        <f>IF(Table1[[#This Row],[Sales]]&gt;=30000,"High", IF(Table1[[#This Row],[Sales]]&gt;=15000,"Medium","Low"))</f>
        <v>Medium</v>
      </c>
      <c r="L1755" t="str">
        <f>TEXT(Table1[[#This Row],[Order_Date]],"MMM")</f>
        <v>Apr</v>
      </c>
      <c r="M1755" t="str">
        <f>IF(Table1[[#This Row],[Profit]]&gt;=10000,"Excellent",IF(Table1[[#This Row],[Profit]]&gt;5000,"Good","Low"))</f>
        <v>Excellent</v>
      </c>
      <c r="N1755" t="str">
        <f>TEXT(Table1[[#This Row],[Order_Date]],"YYYY")</f>
        <v>2024</v>
      </c>
    </row>
    <row r="1756" spans="1:14" x14ac:dyDescent="0.25">
      <c r="A1756" s="1">
        <v>45926</v>
      </c>
      <c r="B1756" t="s">
        <v>17</v>
      </c>
      <c r="C1756" t="s">
        <v>18</v>
      </c>
      <c r="D1756">
        <v>46274</v>
      </c>
      <c r="E1756">
        <v>36070</v>
      </c>
      <c r="F1756">
        <v>10204</v>
      </c>
      <c r="G1756" t="s">
        <v>38</v>
      </c>
      <c r="H1756" t="s">
        <v>14</v>
      </c>
      <c r="I1756" t="s">
        <v>15</v>
      </c>
      <c r="J1756" s="2">
        <f>Table1[[#This Row],[Profit]]/Table1[[#This Row],[Sales]]*100</f>
        <v>22.051259886761464</v>
      </c>
      <c r="K1756" t="str">
        <f>IF(Table1[[#This Row],[Sales]]&gt;=30000,"High", IF(Table1[[#This Row],[Sales]]&gt;=15000,"Medium","Low"))</f>
        <v>High</v>
      </c>
      <c r="L1756" t="str">
        <f>TEXT(Table1[[#This Row],[Order_Date]],"MMM")</f>
        <v>Sep</v>
      </c>
      <c r="M1756" t="str">
        <f>IF(Table1[[#This Row],[Profit]]&gt;=10000,"Excellent",IF(Table1[[#This Row],[Profit]]&gt;5000,"Good","Low"))</f>
        <v>Excellent</v>
      </c>
      <c r="N1756" t="str">
        <f>TEXT(Table1[[#This Row],[Order_Date]],"YYYY")</f>
        <v>2025</v>
      </c>
    </row>
    <row r="1757" spans="1:14" x14ac:dyDescent="0.25">
      <c r="A1757" s="1">
        <v>46168</v>
      </c>
      <c r="B1757" t="s">
        <v>22</v>
      </c>
      <c r="C1757" t="s">
        <v>33</v>
      </c>
      <c r="D1757">
        <v>47203</v>
      </c>
      <c r="E1757">
        <v>32020</v>
      </c>
      <c r="F1757">
        <v>15183</v>
      </c>
      <c r="G1757" t="s">
        <v>38</v>
      </c>
      <c r="H1757" t="s">
        <v>63</v>
      </c>
      <c r="I1757" t="s">
        <v>42</v>
      </c>
      <c r="J1757" s="2">
        <f>Table1[[#This Row],[Profit]]/Table1[[#This Row],[Sales]]*100</f>
        <v>32.165328474885072</v>
      </c>
      <c r="K1757" t="str">
        <f>IF(Table1[[#This Row],[Sales]]&gt;=30000,"High", IF(Table1[[#This Row],[Sales]]&gt;=15000,"Medium","Low"))</f>
        <v>High</v>
      </c>
      <c r="L1757" t="str">
        <f>TEXT(Table1[[#This Row],[Order_Date]],"MMM")</f>
        <v>May</v>
      </c>
      <c r="M1757" t="str">
        <f>IF(Table1[[#This Row],[Profit]]&gt;=10000,"Excellent",IF(Table1[[#This Row],[Profit]]&gt;5000,"Good","Low"))</f>
        <v>Excellent</v>
      </c>
      <c r="N1757" t="str">
        <f>TEXT(Table1[[#This Row],[Order_Date]],"YYYY")</f>
        <v>2026</v>
      </c>
    </row>
    <row r="1758" spans="1:14" x14ac:dyDescent="0.25">
      <c r="A1758" s="1">
        <v>45899</v>
      </c>
      <c r="B1758" t="s">
        <v>26</v>
      </c>
      <c r="C1758" t="s">
        <v>12</v>
      </c>
      <c r="D1758">
        <v>46046</v>
      </c>
      <c r="E1758">
        <v>34430</v>
      </c>
      <c r="F1758">
        <v>11616</v>
      </c>
      <c r="G1758" t="s">
        <v>19</v>
      </c>
      <c r="H1758" t="s">
        <v>31</v>
      </c>
      <c r="I1758" t="s">
        <v>24</v>
      </c>
      <c r="J1758" s="2">
        <f>Table1[[#This Row],[Profit]]/Table1[[#This Row],[Sales]]*100</f>
        <v>25.226946966077403</v>
      </c>
      <c r="K1758" t="str">
        <f>IF(Table1[[#This Row],[Sales]]&gt;=30000,"High", IF(Table1[[#This Row],[Sales]]&gt;=15000,"Medium","Low"))</f>
        <v>High</v>
      </c>
      <c r="L1758" t="str">
        <f>TEXT(Table1[[#This Row],[Order_Date]],"MMM")</f>
        <v>Aug</v>
      </c>
      <c r="M1758" t="str">
        <f>IF(Table1[[#This Row],[Profit]]&gt;=10000,"Excellent",IF(Table1[[#This Row],[Profit]]&gt;5000,"Good","Low"))</f>
        <v>Excellent</v>
      </c>
      <c r="N1758" t="str">
        <f>TEXT(Table1[[#This Row],[Order_Date]],"YYYY")</f>
        <v>2025</v>
      </c>
    </row>
    <row r="1759" spans="1:14" x14ac:dyDescent="0.25">
      <c r="A1759" s="1">
        <v>45936</v>
      </c>
      <c r="B1759" t="s">
        <v>17</v>
      </c>
      <c r="C1759" t="s">
        <v>36</v>
      </c>
      <c r="D1759">
        <v>49533</v>
      </c>
      <c r="E1759">
        <v>36237</v>
      </c>
      <c r="F1759">
        <v>13296</v>
      </c>
      <c r="G1759" t="s">
        <v>19</v>
      </c>
      <c r="H1759" t="s">
        <v>63</v>
      </c>
      <c r="I1759" t="s">
        <v>29</v>
      </c>
      <c r="J1759" s="2">
        <f>Table1[[#This Row],[Profit]]/Table1[[#This Row],[Sales]]*100</f>
        <v>26.842710919992729</v>
      </c>
      <c r="K1759" t="str">
        <f>IF(Table1[[#This Row],[Sales]]&gt;=30000,"High", IF(Table1[[#This Row],[Sales]]&gt;=15000,"Medium","Low"))</f>
        <v>High</v>
      </c>
      <c r="L1759" t="str">
        <f>TEXT(Table1[[#This Row],[Order_Date]],"MMM")</f>
        <v>Oct</v>
      </c>
      <c r="M1759" t="str">
        <f>IF(Table1[[#This Row],[Profit]]&gt;=10000,"Excellent",IF(Table1[[#This Row],[Profit]]&gt;5000,"Good","Low"))</f>
        <v>Excellent</v>
      </c>
      <c r="N1759" t="str">
        <f>TEXT(Table1[[#This Row],[Order_Date]],"YYYY")</f>
        <v>2025</v>
      </c>
    </row>
    <row r="1760" spans="1:14" x14ac:dyDescent="0.25">
      <c r="A1760" s="1">
        <v>45528</v>
      </c>
      <c r="B1760" t="s">
        <v>11</v>
      </c>
      <c r="C1760" t="s">
        <v>33</v>
      </c>
      <c r="D1760">
        <v>40776</v>
      </c>
      <c r="E1760">
        <v>32247</v>
      </c>
      <c r="F1760">
        <v>8529</v>
      </c>
      <c r="G1760" t="s">
        <v>38</v>
      </c>
      <c r="H1760" t="s">
        <v>63</v>
      </c>
      <c r="I1760" t="s">
        <v>24</v>
      </c>
      <c r="J1760" s="2">
        <f>Table1[[#This Row],[Profit]]/Table1[[#This Row],[Sales]]*100</f>
        <v>20.916715715126543</v>
      </c>
      <c r="K1760" t="str">
        <f>IF(Table1[[#This Row],[Sales]]&gt;=30000,"High", IF(Table1[[#This Row],[Sales]]&gt;=15000,"Medium","Low"))</f>
        <v>High</v>
      </c>
      <c r="L1760" t="str">
        <f>TEXT(Table1[[#This Row],[Order_Date]],"MMM")</f>
        <v>Aug</v>
      </c>
      <c r="M1760" t="str">
        <f>IF(Table1[[#This Row],[Profit]]&gt;=10000,"Excellent",IF(Table1[[#This Row],[Profit]]&gt;5000,"Good","Low"))</f>
        <v>Good</v>
      </c>
      <c r="N1760" t="str">
        <f>TEXT(Table1[[#This Row],[Order_Date]],"YYYY")</f>
        <v>2024</v>
      </c>
    </row>
    <row r="1761" spans="1:14" x14ac:dyDescent="0.25">
      <c r="A1761" s="1">
        <v>46167</v>
      </c>
      <c r="B1761" t="s">
        <v>17</v>
      </c>
      <c r="C1761" t="s">
        <v>33</v>
      </c>
      <c r="D1761">
        <v>16293</v>
      </c>
      <c r="E1761">
        <v>589</v>
      </c>
      <c r="F1761">
        <v>15704</v>
      </c>
      <c r="G1761" t="s">
        <v>38</v>
      </c>
      <c r="H1761" t="s">
        <v>45</v>
      </c>
      <c r="I1761" t="s">
        <v>42</v>
      </c>
      <c r="J1761" s="2">
        <f>Table1[[#This Row],[Profit]]/Table1[[#This Row],[Sales]]*100</f>
        <v>96.384950592278898</v>
      </c>
      <c r="K1761" t="str">
        <f>IF(Table1[[#This Row],[Sales]]&gt;=30000,"High", IF(Table1[[#This Row],[Sales]]&gt;=15000,"Medium","Low"))</f>
        <v>Medium</v>
      </c>
      <c r="L1761" t="str">
        <f>TEXT(Table1[[#This Row],[Order_Date]],"MMM")</f>
        <v>May</v>
      </c>
      <c r="M1761" t="str">
        <f>IF(Table1[[#This Row],[Profit]]&gt;=10000,"Excellent",IF(Table1[[#This Row],[Profit]]&gt;5000,"Good","Low"))</f>
        <v>Excellent</v>
      </c>
      <c r="N1761" t="str">
        <f>TEXT(Table1[[#This Row],[Order_Date]],"YYYY")</f>
        <v>2026</v>
      </c>
    </row>
    <row r="1762" spans="1:14" x14ac:dyDescent="0.25">
      <c r="A1762" s="1">
        <v>45651</v>
      </c>
      <c r="B1762" t="s">
        <v>17</v>
      </c>
      <c r="C1762" t="s">
        <v>41</v>
      </c>
      <c r="D1762">
        <v>18729</v>
      </c>
      <c r="E1762">
        <v>11508</v>
      </c>
      <c r="F1762">
        <v>7221</v>
      </c>
      <c r="G1762" t="s">
        <v>19</v>
      </c>
      <c r="H1762" t="s">
        <v>60</v>
      </c>
      <c r="I1762" t="s">
        <v>15</v>
      </c>
      <c r="J1762" s="2">
        <f>Table1[[#This Row],[Profit]]/Table1[[#This Row],[Sales]]*100</f>
        <v>38.555181803620052</v>
      </c>
      <c r="K1762" t="str">
        <f>IF(Table1[[#This Row],[Sales]]&gt;=30000,"High", IF(Table1[[#This Row],[Sales]]&gt;=15000,"Medium","Low"))</f>
        <v>Medium</v>
      </c>
      <c r="L1762" t="str">
        <f>TEXT(Table1[[#This Row],[Order_Date]],"MMM")</f>
        <v>Dec</v>
      </c>
      <c r="M1762" t="str">
        <f>IF(Table1[[#This Row],[Profit]]&gt;=10000,"Excellent",IF(Table1[[#This Row],[Profit]]&gt;5000,"Good","Low"))</f>
        <v>Good</v>
      </c>
      <c r="N1762" t="str">
        <f>TEXT(Table1[[#This Row],[Order_Date]],"YYYY")</f>
        <v>2024</v>
      </c>
    </row>
    <row r="1763" spans="1:14" x14ac:dyDescent="0.25">
      <c r="A1763" s="1">
        <v>45987</v>
      </c>
      <c r="B1763" t="s">
        <v>26</v>
      </c>
      <c r="C1763" t="s">
        <v>12</v>
      </c>
      <c r="D1763">
        <v>45783</v>
      </c>
      <c r="E1763">
        <v>29427</v>
      </c>
      <c r="F1763">
        <v>16356</v>
      </c>
      <c r="G1763" t="s">
        <v>27</v>
      </c>
      <c r="H1763" t="s">
        <v>63</v>
      </c>
      <c r="I1763" t="s">
        <v>24</v>
      </c>
      <c r="J1763" s="2">
        <f>Table1[[#This Row],[Profit]]/Table1[[#This Row],[Sales]]*100</f>
        <v>35.725050783041738</v>
      </c>
      <c r="K1763" t="str">
        <f>IF(Table1[[#This Row],[Sales]]&gt;=30000,"High", IF(Table1[[#This Row],[Sales]]&gt;=15000,"Medium","Low"))</f>
        <v>High</v>
      </c>
      <c r="L1763" t="str">
        <f>TEXT(Table1[[#This Row],[Order_Date]],"MMM")</f>
        <v>Nov</v>
      </c>
      <c r="M1763" t="str">
        <f>IF(Table1[[#This Row],[Profit]]&gt;=10000,"Excellent",IF(Table1[[#This Row],[Profit]]&gt;5000,"Good","Low"))</f>
        <v>Excellent</v>
      </c>
      <c r="N1763" t="str">
        <f>TEXT(Table1[[#This Row],[Order_Date]],"YYYY")</f>
        <v>2025</v>
      </c>
    </row>
    <row r="1764" spans="1:14" x14ac:dyDescent="0.25">
      <c r="A1764" s="1">
        <v>45320</v>
      </c>
      <c r="B1764" t="s">
        <v>11</v>
      </c>
      <c r="C1764" t="s">
        <v>18</v>
      </c>
      <c r="D1764">
        <v>28765</v>
      </c>
      <c r="E1764">
        <v>10737</v>
      </c>
      <c r="F1764">
        <v>18028</v>
      </c>
      <c r="G1764" t="s">
        <v>13</v>
      </c>
      <c r="H1764" t="s">
        <v>63</v>
      </c>
      <c r="I1764" t="s">
        <v>15</v>
      </c>
      <c r="J1764" s="2">
        <f>Table1[[#This Row],[Profit]]/Table1[[#This Row],[Sales]]*100</f>
        <v>62.673387797670777</v>
      </c>
      <c r="K1764" t="str">
        <f>IF(Table1[[#This Row],[Sales]]&gt;=30000,"High", IF(Table1[[#This Row],[Sales]]&gt;=15000,"Medium","Low"))</f>
        <v>Medium</v>
      </c>
      <c r="L1764" t="str">
        <f>TEXT(Table1[[#This Row],[Order_Date]],"MMM")</f>
        <v>Jan</v>
      </c>
      <c r="M1764" t="str">
        <f>IF(Table1[[#This Row],[Profit]]&gt;=10000,"Excellent",IF(Table1[[#This Row],[Profit]]&gt;5000,"Good","Low"))</f>
        <v>Excellent</v>
      </c>
      <c r="N1764" t="str">
        <f>TEXT(Table1[[#This Row],[Order_Date]],"YYYY")</f>
        <v>2024</v>
      </c>
    </row>
    <row r="1765" spans="1:14" x14ac:dyDescent="0.25">
      <c r="A1765" s="1">
        <v>45294</v>
      </c>
      <c r="B1765" t="s">
        <v>22</v>
      </c>
      <c r="C1765" t="s">
        <v>41</v>
      </c>
      <c r="D1765">
        <v>26607</v>
      </c>
      <c r="E1765">
        <v>25919</v>
      </c>
      <c r="F1765">
        <v>688</v>
      </c>
      <c r="G1765" t="s">
        <v>27</v>
      </c>
      <c r="H1765" t="s">
        <v>63</v>
      </c>
      <c r="I1765" t="s">
        <v>29</v>
      </c>
      <c r="J1765" s="2">
        <f>Table1[[#This Row],[Profit]]/Table1[[#This Row],[Sales]]*100</f>
        <v>2.5857856954936671</v>
      </c>
      <c r="K1765" t="str">
        <f>IF(Table1[[#This Row],[Sales]]&gt;=30000,"High", IF(Table1[[#This Row],[Sales]]&gt;=15000,"Medium","Low"))</f>
        <v>Medium</v>
      </c>
      <c r="L1765" t="str">
        <f>TEXT(Table1[[#This Row],[Order_Date]],"MMM")</f>
        <v>Jan</v>
      </c>
      <c r="M1765" t="str">
        <f>IF(Table1[[#This Row],[Profit]]&gt;=10000,"Excellent",IF(Table1[[#This Row],[Profit]]&gt;5000,"Good","Low"))</f>
        <v>Low</v>
      </c>
      <c r="N1765" t="str">
        <f>TEXT(Table1[[#This Row],[Order_Date]],"YYYY")</f>
        <v>2024</v>
      </c>
    </row>
    <row r="1766" spans="1:14" x14ac:dyDescent="0.25">
      <c r="A1766" s="1">
        <v>45369</v>
      </c>
      <c r="B1766" t="s">
        <v>17</v>
      </c>
      <c r="C1766" t="s">
        <v>41</v>
      </c>
      <c r="D1766">
        <v>23483</v>
      </c>
      <c r="E1766">
        <v>16907</v>
      </c>
      <c r="F1766">
        <v>6576</v>
      </c>
      <c r="G1766" t="s">
        <v>19</v>
      </c>
      <c r="H1766" t="s">
        <v>45</v>
      </c>
      <c r="I1766" t="s">
        <v>29</v>
      </c>
      <c r="J1766" s="2">
        <f>Table1[[#This Row],[Profit]]/Table1[[#This Row],[Sales]]*100</f>
        <v>28.003236383766982</v>
      </c>
      <c r="K1766" t="str">
        <f>IF(Table1[[#This Row],[Sales]]&gt;=30000,"High", IF(Table1[[#This Row],[Sales]]&gt;=15000,"Medium","Low"))</f>
        <v>Medium</v>
      </c>
      <c r="L1766" t="str">
        <f>TEXT(Table1[[#This Row],[Order_Date]],"MMM")</f>
        <v>Mar</v>
      </c>
      <c r="M1766" t="str">
        <f>IF(Table1[[#This Row],[Profit]]&gt;=10000,"Excellent",IF(Table1[[#This Row],[Profit]]&gt;5000,"Good","Low"))</f>
        <v>Good</v>
      </c>
      <c r="N1766" t="str">
        <f>TEXT(Table1[[#This Row],[Order_Date]],"YYYY")</f>
        <v>2024</v>
      </c>
    </row>
    <row r="1767" spans="1:14" x14ac:dyDescent="0.25">
      <c r="A1767" s="1">
        <v>45350</v>
      </c>
      <c r="B1767" t="s">
        <v>26</v>
      </c>
      <c r="C1767" t="s">
        <v>12</v>
      </c>
      <c r="D1767">
        <v>42212</v>
      </c>
      <c r="E1767">
        <v>29726</v>
      </c>
      <c r="F1767">
        <v>12486</v>
      </c>
      <c r="G1767" t="s">
        <v>27</v>
      </c>
      <c r="H1767" t="s">
        <v>63</v>
      </c>
      <c r="I1767" t="s">
        <v>53</v>
      </c>
      <c r="J1767" s="2">
        <f>Table1[[#This Row],[Profit]]/Table1[[#This Row],[Sales]]*100</f>
        <v>29.579266559272245</v>
      </c>
      <c r="K1767" t="str">
        <f>IF(Table1[[#This Row],[Sales]]&gt;=30000,"High", IF(Table1[[#This Row],[Sales]]&gt;=15000,"Medium","Low"))</f>
        <v>High</v>
      </c>
      <c r="L1767" t="str">
        <f>TEXT(Table1[[#This Row],[Order_Date]],"MMM")</f>
        <v>Feb</v>
      </c>
      <c r="M1767" t="str">
        <f>IF(Table1[[#This Row],[Profit]]&gt;=10000,"Excellent",IF(Table1[[#This Row],[Profit]]&gt;5000,"Good","Low"))</f>
        <v>Excellent</v>
      </c>
      <c r="N1767" t="str">
        <f>TEXT(Table1[[#This Row],[Order_Date]],"YYYY")</f>
        <v>2024</v>
      </c>
    </row>
    <row r="1768" spans="1:14" x14ac:dyDescent="0.25">
      <c r="A1768" s="1">
        <v>46011</v>
      </c>
      <c r="B1768" t="s">
        <v>44</v>
      </c>
      <c r="C1768" t="s">
        <v>33</v>
      </c>
      <c r="D1768">
        <v>25274</v>
      </c>
      <c r="E1768">
        <v>8134</v>
      </c>
      <c r="F1768">
        <v>17140</v>
      </c>
      <c r="G1768" t="s">
        <v>27</v>
      </c>
      <c r="H1768" t="s">
        <v>63</v>
      </c>
      <c r="I1768" t="s">
        <v>15</v>
      </c>
      <c r="J1768" s="2">
        <f>Table1[[#This Row],[Profit]]/Table1[[#This Row],[Sales]]*100</f>
        <v>67.81672865395268</v>
      </c>
      <c r="K1768" t="str">
        <f>IF(Table1[[#This Row],[Sales]]&gt;=30000,"High", IF(Table1[[#This Row],[Sales]]&gt;=15000,"Medium","Low"))</f>
        <v>Medium</v>
      </c>
      <c r="L1768" t="str">
        <f>TEXT(Table1[[#This Row],[Order_Date]],"MMM")</f>
        <v>Dec</v>
      </c>
      <c r="M1768" t="str">
        <f>IF(Table1[[#This Row],[Profit]]&gt;=10000,"Excellent",IF(Table1[[#This Row],[Profit]]&gt;5000,"Good","Low"))</f>
        <v>Excellent</v>
      </c>
      <c r="N1768" t="str">
        <f>TEXT(Table1[[#This Row],[Order_Date]],"YYYY")</f>
        <v>2025</v>
      </c>
    </row>
    <row r="1769" spans="1:14" x14ac:dyDescent="0.25">
      <c r="A1769" s="1">
        <v>45861</v>
      </c>
      <c r="B1769" t="s">
        <v>44</v>
      </c>
      <c r="C1769" t="s">
        <v>18</v>
      </c>
      <c r="D1769">
        <v>49443</v>
      </c>
      <c r="E1769">
        <v>37451</v>
      </c>
      <c r="F1769">
        <v>11992</v>
      </c>
      <c r="G1769" t="s">
        <v>38</v>
      </c>
      <c r="H1769" t="s">
        <v>34</v>
      </c>
      <c r="I1769" t="s">
        <v>15</v>
      </c>
      <c r="J1769" s="2">
        <f>Table1[[#This Row],[Profit]]/Table1[[#This Row],[Sales]]*100</f>
        <v>24.254191695487734</v>
      </c>
      <c r="K1769" t="str">
        <f>IF(Table1[[#This Row],[Sales]]&gt;=30000,"High", IF(Table1[[#This Row],[Sales]]&gt;=15000,"Medium","Low"))</f>
        <v>High</v>
      </c>
      <c r="L1769" t="str">
        <f>TEXT(Table1[[#This Row],[Order_Date]],"MMM")</f>
        <v>Jul</v>
      </c>
      <c r="M1769" t="str">
        <f>IF(Table1[[#This Row],[Profit]]&gt;=10000,"Excellent",IF(Table1[[#This Row],[Profit]]&gt;5000,"Good","Low"))</f>
        <v>Excellent</v>
      </c>
      <c r="N1769" t="str">
        <f>TEXT(Table1[[#This Row],[Order_Date]],"YYYY")</f>
        <v>2025</v>
      </c>
    </row>
    <row r="1770" spans="1:14" x14ac:dyDescent="0.25">
      <c r="A1770" s="1">
        <v>45745</v>
      </c>
      <c r="B1770" t="s">
        <v>44</v>
      </c>
      <c r="C1770" t="s">
        <v>36</v>
      </c>
      <c r="D1770">
        <v>20183</v>
      </c>
      <c r="E1770">
        <v>1753</v>
      </c>
      <c r="F1770">
        <v>18430</v>
      </c>
      <c r="G1770" t="s">
        <v>13</v>
      </c>
      <c r="H1770" t="s">
        <v>31</v>
      </c>
      <c r="I1770" t="s">
        <v>15</v>
      </c>
      <c r="J1770" s="2">
        <f>Table1[[#This Row],[Profit]]/Table1[[#This Row],[Sales]]*100</f>
        <v>91.314472575930239</v>
      </c>
      <c r="K1770" t="str">
        <f>IF(Table1[[#This Row],[Sales]]&gt;=30000,"High", IF(Table1[[#This Row],[Sales]]&gt;=15000,"Medium","Low"))</f>
        <v>Medium</v>
      </c>
      <c r="L1770" t="str">
        <f>TEXT(Table1[[#This Row],[Order_Date]],"MMM")</f>
        <v>Mar</v>
      </c>
      <c r="M1770" t="str">
        <f>IF(Table1[[#This Row],[Profit]]&gt;=10000,"Excellent",IF(Table1[[#This Row],[Profit]]&gt;5000,"Good","Low"))</f>
        <v>Excellent</v>
      </c>
      <c r="N1770" t="str">
        <f>TEXT(Table1[[#This Row],[Order_Date]],"YYYY")</f>
        <v>2025</v>
      </c>
    </row>
    <row r="1771" spans="1:14" x14ac:dyDescent="0.25">
      <c r="A1771" s="1">
        <v>45817</v>
      </c>
      <c r="B1771" t="s">
        <v>17</v>
      </c>
      <c r="C1771" t="s">
        <v>36</v>
      </c>
      <c r="D1771">
        <v>23946</v>
      </c>
      <c r="E1771">
        <v>9920</v>
      </c>
      <c r="F1771">
        <v>14026</v>
      </c>
      <c r="G1771" t="s">
        <v>27</v>
      </c>
      <c r="H1771" t="s">
        <v>28</v>
      </c>
      <c r="I1771" t="s">
        <v>42</v>
      </c>
      <c r="J1771" s="2">
        <f>Table1[[#This Row],[Profit]]/Table1[[#This Row],[Sales]]*100</f>
        <v>58.573456944792447</v>
      </c>
      <c r="K1771" t="str">
        <f>IF(Table1[[#This Row],[Sales]]&gt;=30000,"High", IF(Table1[[#This Row],[Sales]]&gt;=15000,"Medium","Low"))</f>
        <v>Medium</v>
      </c>
      <c r="L1771" t="str">
        <f>TEXT(Table1[[#This Row],[Order_Date]],"MMM")</f>
        <v>Jun</v>
      </c>
      <c r="M1771" t="str">
        <f>IF(Table1[[#This Row],[Profit]]&gt;=10000,"Excellent",IF(Table1[[#This Row],[Profit]]&gt;5000,"Good","Low"))</f>
        <v>Excellent</v>
      </c>
      <c r="N1771" t="str">
        <f>TEXT(Table1[[#This Row],[Order_Date]],"YYYY")</f>
        <v>2025</v>
      </c>
    </row>
    <row r="1772" spans="1:14" x14ac:dyDescent="0.25">
      <c r="A1772" s="1">
        <v>46061</v>
      </c>
      <c r="B1772" t="s">
        <v>44</v>
      </c>
      <c r="C1772" t="s">
        <v>33</v>
      </c>
      <c r="D1772">
        <v>38885</v>
      </c>
      <c r="E1772">
        <v>30819</v>
      </c>
      <c r="F1772">
        <v>8066</v>
      </c>
      <c r="G1772" t="s">
        <v>19</v>
      </c>
      <c r="H1772" t="s">
        <v>31</v>
      </c>
      <c r="I1772" t="s">
        <v>53</v>
      </c>
      <c r="J1772" s="2">
        <f>Table1[[#This Row],[Profit]]/Table1[[#This Row],[Sales]]*100</f>
        <v>20.743217178860743</v>
      </c>
      <c r="K1772" t="str">
        <f>IF(Table1[[#This Row],[Sales]]&gt;=30000,"High", IF(Table1[[#This Row],[Sales]]&gt;=15000,"Medium","Low"))</f>
        <v>High</v>
      </c>
      <c r="L1772" t="str">
        <f>TEXT(Table1[[#This Row],[Order_Date]],"MMM")</f>
        <v>Feb</v>
      </c>
      <c r="M1772" t="str">
        <f>IF(Table1[[#This Row],[Profit]]&gt;=10000,"Excellent",IF(Table1[[#This Row],[Profit]]&gt;5000,"Good","Low"))</f>
        <v>Good</v>
      </c>
      <c r="N1772" t="str">
        <f>TEXT(Table1[[#This Row],[Order_Date]],"YYYY")</f>
        <v>2026</v>
      </c>
    </row>
    <row r="1773" spans="1:14" x14ac:dyDescent="0.25">
      <c r="A1773" s="1">
        <v>45611</v>
      </c>
      <c r="B1773" t="s">
        <v>26</v>
      </c>
      <c r="C1773" t="s">
        <v>36</v>
      </c>
      <c r="D1773">
        <v>47518</v>
      </c>
      <c r="E1773">
        <v>34535</v>
      </c>
      <c r="F1773">
        <v>12983</v>
      </c>
      <c r="G1773" t="s">
        <v>38</v>
      </c>
      <c r="H1773" t="s">
        <v>78</v>
      </c>
      <c r="I1773" t="s">
        <v>29</v>
      </c>
      <c r="J1773" s="2">
        <f>Table1[[#This Row],[Profit]]/Table1[[#This Row],[Sales]]*100</f>
        <v>27.322277873647881</v>
      </c>
      <c r="K1773" t="str">
        <f>IF(Table1[[#This Row],[Sales]]&gt;=30000,"High", IF(Table1[[#This Row],[Sales]]&gt;=15000,"Medium","Low"))</f>
        <v>High</v>
      </c>
      <c r="L1773" t="str">
        <f>TEXT(Table1[[#This Row],[Order_Date]],"MMM")</f>
        <v>Nov</v>
      </c>
      <c r="M1773" t="str">
        <f>IF(Table1[[#This Row],[Profit]]&gt;=10000,"Excellent",IF(Table1[[#This Row],[Profit]]&gt;5000,"Good","Low"))</f>
        <v>Excellent</v>
      </c>
      <c r="N1773" t="str">
        <f>TEXT(Table1[[#This Row],[Order_Date]],"YYYY")</f>
        <v>2024</v>
      </c>
    </row>
    <row r="1774" spans="1:14" x14ac:dyDescent="0.25">
      <c r="A1774" s="1">
        <v>45641</v>
      </c>
      <c r="B1774" t="s">
        <v>17</v>
      </c>
      <c r="C1774" t="s">
        <v>41</v>
      </c>
      <c r="D1774">
        <v>40160</v>
      </c>
      <c r="E1774">
        <v>24132</v>
      </c>
      <c r="F1774">
        <v>16028</v>
      </c>
      <c r="G1774" t="s">
        <v>38</v>
      </c>
      <c r="H1774" t="s">
        <v>14</v>
      </c>
      <c r="I1774" t="s">
        <v>15</v>
      </c>
      <c r="J1774" s="2">
        <f>Table1[[#This Row],[Profit]]/Table1[[#This Row],[Sales]]*100</f>
        <v>39.910358565737056</v>
      </c>
      <c r="K1774" t="str">
        <f>IF(Table1[[#This Row],[Sales]]&gt;=30000,"High", IF(Table1[[#This Row],[Sales]]&gt;=15000,"Medium","Low"))</f>
        <v>High</v>
      </c>
      <c r="L1774" t="str">
        <f>TEXT(Table1[[#This Row],[Order_Date]],"MMM")</f>
        <v>Dec</v>
      </c>
      <c r="M1774" t="str">
        <f>IF(Table1[[#This Row],[Profit]]&gt;=10000,"Excellent",IF(Table1[[#This Row],[Profit]]&gt;5000,"Good","Low"))</f>
        <v>Excellent</v>
      </c>
      <c r="N1774" t="str">
        <f>TEXT(Table1[[#This Row],[Order_Date]],"YYYY")</f>
        <v>2024</v>
      </c>
    </row>
    <row r="1775" spans="1:14" x14ac:dyDescent="0.25">
      <c r="A1775" s="1">
        <v>45838</v>
      </c>
      <c r="B1775" t="s">
        <v>11</v>
      </c>
      <c r="C1775" t="s">
        <v>12</v>
      </c>
      <c r="D1775">
        <v>26518</v>
      </c>
      <c r="E1775">
        <v>12438</v>
      </c>
      <c r="F1775">
        <v>14080</v>
      </c>
      <c r="G1775" t="s">
        <v>27</v>
      </c>
      <c r="H1775" t="s">
        <v>20</v>
      </c>
      <c r="I1775" t="s">
        <v>24</v>
      </c>
      <c r="J1775" s="2">
        <f>Table1[[#This Row],[Profit]]/Table1[[#This Row],[Sales]]*100</f>
        <v>53.096010257183799</v>
      </c>
      <c r="K1775" t="str">
        <f>IF(Table1[[#This Row],[Sales]]&gt;=30000,"High", IF(Table1[[#This Row],[Sales]]&gt;=15000,"Medium","Low"))</f>
        <v>Medium</v>
      </c>
      <c r="L1775" t="str">
        <f>TEXT(Table1[[#This Row],[Order_Date]],"MMM")</f>
        <v>Jun</v>
      </c>
      <c r="M1775" t="str">
        <f>IF(Table1[[#This Row],[Profit]]&gt;=10000,"Excellent",IF(Table1[[#This Row],[Profit]]&gt;5000,"Good","Low"))</f>
        <v>Excellent</v>
      </c>
      <c r="N1775" t="str">
        <f>TEXT(Table1[[#This Row],[Order_Date]],"YYYY")</f>
        <v>2025</v>
      </c>
    </row>
    <row r="1776" spans="1:14" x14ac:dyDescent="0.25">
      <c r="A1776" s="1">
        <v>45561</v>
      </c>
      <c r="B1776" t="s">
        <v>17</v>
      </c>
      <c r="C1776" t="s">
        <v>18</v>
      </c>
      <c r="D1776">
        <v>41918</v>
      </c>
      <c r="E1776">
        <v>27831</v>
      </c>
      <c r="F1776">
        <v>14087</v>
      </c>
      <c r="G1776" t="s">
        <v>13</v>
      </c>
      <c r="H1776" t="s">
        <v>63</v>
      </c>
      <c r="I1776" t="s">
        <v>15</v>
      </c>
      <c r="J1776" s="2">
        <f>Table1[[#This Row],[Profit]]/Table1[[#This Row],[Sales]]*100</f>
        <v>33.606088076721221</v>
      </c>
      <c r="K1776" t="str">
        <f>IF(Table1[[#This Row],[Sales]]&gt;=30000,"High", IF(Table1[[#This Row],[Sales]]&gt;=15000,"Medium","Low"))</f>
        <v>High</v>
      </c>
      <c r="L1776" t="str">
        <f>TEXT(Table1[[#This Row],[Order_Date]],"MMM")</f>
        <v>Sep</v>
      </c>
      <c r="M1776" t="str">
        <f>IF(Table1[[#This Row],[Profit]]&gt;=10000,"Excellent",IF(Table1[[#This Row],[Profit]]&gt;5000,"Good","Low"))</f>
        <v>Excellent</v>
      </c>
      <c r="N1776" t="str">
        <f>TEXT(Table1[[#This Row],[Order_Date]],"YYYY")</f>
        <v>2024</v>
      </c>
    </row>
    <row r="1777" spans="1:14" x14ac:dyDescent="0.25">
      <c r="A1777" s="1">
        <v>46052</v>
      </c>
      <c r="B1777" t="s">
        <v>44</v>
      </c>
      <c r="C1777" t="s">
        <v>33</v>
      </c>
      <c r="D1777">
        <v>23219</v>
      </c>
      <c r="E1777">
        <v>4479</v>
      </c>
      <c r="F1777">
        <v>18740</v>
      </c>
      <c r="G1777" t="s">
        <v>27</v>
      </c>
      <c r="H1777" t="s">
        <v>14</v>
      </c>
      <c r="I1777" t="s">
        <v>42</v>
      </c>
      <c r="J1777" s="2">
        <f>Table1[[#This Row],[Profit]]/Table1[[#This Row],[Sales]]*100</f>
        <v>80.70976355570869</v>
      </c>
      <c r="K1777" t="str">
        <f>IF(Table1[[#This Row],[Sales]]&gt;=30000,"High", IF(Table1[[#This Row],[Sales]]&gt;=15000,"Medium","Low"))</f>
        <v>Medium</v>
      </c>
      <c r="L1777" t="str">
        <f>TEXT(Table1[[#This Row],[Order_Date]],"MMM")</f>
        <v>Jan</v>
      </c>
      <c r="M1777" t="str">
        <f>IF(Table1[[#This Row],[Profit]]&gt;=10000,"Excellent",IF(Table1[[#This Row],[Profit]]&gt;5000,"Good","Low"))</f>
        <v>Excellent</v>
      </c>
      <c r="N1777" t="str">
        <f>TEXT(Table1[[#This Row],[Order_Date]],"YYYY")</f>
        <v>2026</v>
      </c>
    </row>
    <row r="1778" spans="1:14" x14ac:dyDescent="0.25">
      <c r="A1778" s="1">
        <v>45641</v>
      </c>
      <c r="B1778" t="s">
        <v>17</v>
      </c>
      <c r="C1778" t="s">
        <v>41</v>
      </c>
      <c r="D1778">
        <v>46052</v>
      </c>
      <c r="E1778">
        <v>38187</v>
      </c>
      <c r="F1778">
        <v>7865</v>
      </c>
      <c r="G1778" t="s">
        <v>13</v>
      </c>
      <c r="H1778" t="s">
        <v>34</v>
      </c>
      <c r="I1778" t="s">
        <v>15</v>
      </c>
      <c r="J1778" s="2">
        <f>Table1[[#This Row],[Profit]]/Table1[[#This Row],[Sales]]*100</f>
        <v>17.078519933987664</v>
      </c>
      <c r="K1778" t="str">
        <f>IF(Table1[[#This Row],[Sales]]&gt;=30000,"High", IF(Table1[[#This Row],[Sales]]&gt;=15000,"Medium","Low"))</f>
        <v>High</v>
      </c>
      <c r="L1778" t="str">
        <f>TEXT(Table1[[#This Row],[Order_Date]],"MMM")</f>
        <v>Dec</v>
      </c>
      <c r="M1778" t="str">
        <f>IF(Table1[[#This Row],[Profit]]&gt;=10000,"Excellent",IF(Table1[[#This Row],[Profit]]&gt;5000,"Good","Low"))</f>
        <v>Good</v>
      </c>
      <c r="N1778" t="str">
        <f>TEXT(Table1[[#This Row],[Order_Date]],"YYYY")</f>
        <v>2024</v>
      </c>
    </row>
    <row r="1779" spans="1:14" x14ac:dyDescent="0.25">
      <c r="A1779" s="1">
        <v>45183</v>
      </c>
      <c r="B1779" t="s">
        <v>22</v>
      </c>
      <c r="C1779" t="s">
        <v>18</v>
      </c>
      <c r="D1779">
        <v>39210</v>
      </c>
      <c r="E1779">
        <v>36892</v>
      </c>
      <c r="F1779">
        <v>2318</v>
      </c>
      <c r="G1779" t="s">
        <v>19</v>
      </c>
      <c r="H1779" t="s">
        <v>45</v>
      </c>
      <c r="I1779" t="s">
        <v>42</v>
      </c>
      <c r="J1779" s="2">
        <f>Table1[[#This Row],[Profit]]/Table1[[#This Row],[Sales]]*100</f>
        <v>5.9117572047946956</v>
      </c>
      <c r="K1779" t="str">
        <f>IF(Table1[[#This Row],[Sales]]&gt;=30000,"High", IF(Table1[[#This Row],[Sales]]&gt;=15000,"Medium","Low"))</f>
        <v>High</v>
      </c>
      <c r="L1779" t="str">
        <f>TEXT(Table1[[#This Row],[Order_Date]],"MMM")</f>
        <v>Sep</v>
      </c>
      <c r="M1779" t="str">
        <f>IF(Table1[[#This Row],[Profit]]&gt;=10000,"Excellent",IF(Table1[[#This Row],[Profit]]&gt;5000,"Good","Low"))</f>
        <v>Low</v>
      </c>
      <c r="N1779" t="str">
        <f>TEXT(Table1[[#This Row],[Order_Date]],"YYYY")</f>
        <v>2023</v>
      </c>
    </row>
    <row r="1780" spans="1:14" x14ac:dyDescent="0.25">
      <c r="A1780" s="1">
        <v>45999</v>
      </c>
      <c r="B1780" t="s">
        <v>17</v>
      </c>
      <c r="C1780" t="s">
        <v>36</v>
      </c>
      <c r="D1780">
        <v>49431</v>
      </c>
      <c r="E1780">
        <v>47379</v>
      </c>
      <c r="F1780">
        <v>2052</v>
      </c>
      <c r="G1780" t="s">
        <v>13</v>
      </c>
      <c r="H1780" t="s">
        <v>45</v>
      </c>
      <c r="I1780" t="s">
        <v>29</v>
      </c>
      <c r="J1780" s="2">
        <f>Table1[[#This Row],[Profit]]/Table1[[#This Row],[Sales]]*100</f>
        <v>4.1512411239910181</v>
      </c>
      <c r="K1780" t="str">
        <f>IF(Table1[[#This Row],[Sales]]&gt;=30000,"High", IF(Table1[[#This Row],[Sales]]&gt;=15000,"Medium","Low"))</f>
        <v>High</v>
      </c>
      <c r="L1780" t="str">
        <f>TEXT(Table1[[#This Row],[Order_Date]],"MMM")</f>
        <v>Dec</v>
      </c>
      <c r="M1780" t="str">
        <f>IF(Table1[[#This Row],[Profit]]&gt;=10000,"Excellent",IF(Table1[[#This Row],[Profit]]&gt;5000,"Good","Low"))</f>
        <v>Low</v>
      </c>
      <c r="N1780" t="str">
        <f>TEXT(Table1[[#This Row],[Order_Date]],"YYYY")</f>
        <v>2025</v>
      </c>
    </row>
    <row r="1781" spans="1:14" x14ac:dyDescent="0.25">
      <c r="A1781" s="1">
        <v>46036</v>
      </c>
      <c r="B1781" t="s">
        <v>44</v>
      </c>
      <c r="C1781" t="s">
        <v>12</v>
      </c>
      <c r="D1781">
        <v>31493</v>
      </c>
      <c r="E1781">
        <v>25077</v>
      </c>
      <c r="F1781">
        <v>6416</v>
      </c>
      <c r="G1781" t="s">
        <v>19</v>
      </c>
      <c r="H1781" t="s">
        <v>60</v>
      </c>
      <c r="I1781" t="s">
        <v>15</v>
      </c>
      <c r="J1781" s="2">
        <f>Table1[[#This Row],[Profit]]/Table1[[#This Row],[Sales]]*100</f>
        <v>20.37278125297685</v>
      </c>
      <c r="K1781" t="str">
        <f>IF(Table1[[#This Row],[Sales]]&gt;=30000,"High", IF(Table1[[#This Row],[Sales]]&gt;=15000,"Medium","Low"))</f>
        <v>High</v>
      </c>
      <c r="L1781" t="str">
        <f>TEXT(Table1[[#This Row],[Order_Date]],"MMM")</f>
        <v>Jan</v>
      </c>
      <c r="M1781" t="str">
        <f>IF(Table1[[#This Row],[Profit]]&gt;=10000,"Excellent",IF(Table1[[#This Row],[Profit]]&gt;5000,"Good","Low"))</f>
        <v>Good</v>
      </c>
      <c r="N1781" t="str">
        <f>TEXT(Table1[[#This Row],[Order_Date]],"YYYY")</f>
        <v>2026</v>
      </c>
    </row>
    <row r="1782" spans="1:14" x14ac:dyDescent="0.25">
      <c r="A1782" s="1">
        <v>45648</v>
      </c>
      <c r="B1782" t="s">
        <v>44</v>
      </c>
      <c r="C1782" t="s">
        <v>18</v>
      </c>
      <c r="D1782">
        <v>14940</v>
      </c>
      <c r="E1782">
        <v>10186</v>
      </c>
      <c r="F1782">
        <v>4754</v>
      </c>
      <c r="G1782" t="s">
        <v>13</v>
      </c>
      <c r="H1782" t="s">
        <v>34</v>
      </c>
      <c r="I1782" t="s">
        <v>42</v>
      </c>
      <c r="J1782" s="2">
        <f>Table1[[#This Row],[Profit]]/Table1[[#This Row],[Sales]]*100</f>
        <v>31.820615796519412</v>
      </c>
      <c r="K1782" t="str">
        <f>IF(Table1[[#This Row],[Sales]]&gt;=30000,"High", IF(Table1[[#This Row],[Sales]]&gt;=15000,"Medium","Low"))</f>
        <v>Low</v>
      </c>
      <c r="L1782" t="str">
        <f>TEXT(Table1[[#This Row],[Order_Date]],"MMM")</f>
        <v>Dec</v>
      </c>
      <c r="M1782" t="str">
        <f>IF(Table1[[#This Row],[Profit]]&gt;=10000,"Excellent",IF(Table1[[#This Row],[Profit]]&gt;5000,"Good","Low"))</f>
        <v>Low</v>
      </c>
      <c r="N1782" t="str">
        <f>TEXT(Table1[[#This Row],[Order_Date]],"YYYY")</f>
        <v>2024</v>
      </c>
    </row>
    <row r="1783" spans="1:14" x14ac:dyDescent="0.25">
      <c r="A1783" s="1">
        <v>45320</v>
      </c>
      <c r="B1783" t="s">
        <v>11</v>
      </c>
      <c r="C1783" t="s">
        <v>18</v>
      </c>
      <c r="D1783">
        <v>46689</v>
      </c>
      <c r="E1783">
        <v>42990</v>
      </c>
      <c r="F1783">
        <v>3699</v>
      </c>
      <c r="G1783" t="s">
        <v>27</v>
      </c>
      <c r="H1783" t="s">
        <v>63</v>
      </c>
      <c r="I1783" t="s">
        <v>24</v>
      </c>
      <c r="J1783" s="2">
        <f>Table1[[#This Row],[Profit]]/Table1[[#This Row],[Sales]]*100</f>
        <v>7.9226370237100818</v>
      </c>
      <c r="K1783" t="str">
        <f>IF(Table1[[#This Row],[Sales]]&gt;=30000,"High", IF(Table1[[#This Row],[Sales]]&gt;=15000,"Medium","Low"))</f>
        <v>High</v>
      </c>
      <c r="L1783" t="str">
        <f>TEXT(Table1[[#This Row],[Order_Date]],"MMM")</f>
        <v>Jan</v>
      </c>
      <c r="M1783" t="str">
        <f>IF(Table1[[#This Row],[Profit]]&gt;=10000,"Excellent",IF(Table1[[#This Row],[Profit]]&gt;5000,"Good","Low"))</f>
        <v>Low</v>
      </c>
      <c r="N1783" t="str">
        <f>TEXT(Table1[[#This Row],[Order_Date]],"YYYY")</f>
        <v>2024</v>
      </c>
    </row>
    <row r="1784" spans="1:14" x14ac:dyDescent="0.25">
      <c r="A1784" s="1">
        <v>46158</v>
      </c>
      <c r="B1784" t="s">
        <v>26</v>
      </c>
      <c r="C1784" t="s">
        <v>18</v>
      </c>
      <c r="D1784">
        <v>27072</v>
      </c>
      <c r="E1784">
        <v>20553</v>
      </c>
      <c r="F1784">
        <v>6519</v>
      </c>
      <c r="G1784" t="s">
        <v>38</v>
      </c>
      <c r="H1784" t="s">
        <v>63</v>
      </c>
      <c r="I1784" t="s">
        <v>42</v>
      </c>
      <c r="J1784" s="2">
        <f>Table1[[#This Row],[Profit]]/Table1[[#This Row],[Sales]]*100</f>
        <v>24.0802304964539</v>
      </c>
      <c r="K1784" t="str">
        <f>IF(Table1[[#This Row],[Sales]]&gt;=30000,"High", IF(Table1[[#This Row],[Sales]]&gt;=15000,"Medium","Low"))</f>
        <v>Medium</v>
      </c>
      <c r="L1784" t="str">
        <f>TEXT(Table1[[#This Row],[Order_Date]],"MMM")</f>
        <v>May</v>
      </c>
      <c r="M1784" t="str">
        <f>IF(Table1[[#This Row],[Profit]]&gt;=10000,"Excellent",IF(Table1[[#This Row],[Profit]]&gt;5000,"Good","Low"))</f>
        <v>Good</v>
      </c>
      <c r="N1784" t="str">
        <f>TEXT(Table1[[#This Row],[Order_Date]],"YYYY")</f>
        <v>2026</v>
      </c>
    </row>
    <row r="1785" spans="1:14" x14ac:dyDescent="0.25">
      <c r="A1785" s="1">
        <v>45559</v>
      </c>
      <c r="B1785" t="s">
        <v>11</v>
      </c>
      <c r="C1785" t="s">
        <v>18</v>
      </c>
      <c r="D1785">
        <v>24278</v>
      </c>
      <c r="E1785">
        <v>11494</v>
      </c>
      <c r="F1785">
        <v>12784</v>
      </c>
      <c r="G1785" t="s">
        <v>38</v>
      </c>
      <c r="H1785" t="s">
        <v>31</v>
      </c>
      <c r="I1785" t="s">
        <v>42</v>
      </c>
      <c r="J1785" s="2">
        <f>Table1[[#This Row],[Profit]]/Table1[[#This Row],[Sales]]*100</f>
        <v>52.65672625422193</v>
      </c>
      <c r="K1785" t="str">
        <f>IF(Table1[[#This Row],[Sales]]&gt;=30000,"High", IF(Table1[[#This Row],[Sales]]&gt;=15000,"Medium","Low"))</f>
        <v>Medium</v>
      </c>
      <c r="L1785" t="str">
        <f>TEXT(Table1[[#This Row],[Order_Date]],"MMM")</f>
        <v>Sep</v>
      </c>
      <c r="M1785" t="str">
        <f>IF(Table1[[#This Row],[Profit]]&gt;=10000,"Excellent",IF(Table1[[#This Row],[Profit]]&gt;5000,"Good","Low"))</f>
        <v>Excellent</v>
      </c>
      <c r="N1785" t="str">
        <f>TEXT(Table1[[#This Row],[Order_Date]],"YYYY")</f>
        <v>2024</v>
      </c>
    </row>
    <row r="1786" spans="1:14" x14ac:dyDescent="0.25">
      <c r="A1786" s="1">
        <v>46119</v>
      </c>
      <c r="B1786" t="s">
        <v>26</v>
      </c>
      <c r="C1786" t="s">
        <v>12</v>
      </c>
      <c r="D1786">
        <v>12957</v>
      </c>
      <c r="E1786">
        <v>8497</v>
      </c>
      <c r="F1786">
        <v>4460</v>
      </c>
      <c r="G1786" t="s">
        <v>38</v>
      </c>
      <c r="H1786" t="s">
        <v>28</v>
      </c>
      <c r="I1786" t="s">
        <v>53</v>
      </c>
      <c r="J1786" s="2">
        <f>Table1[[#This Row],[Profit]]/Table1[[#This Row],[Sales]]*100</f>
        <v>34.421548197885315</v>
      </c>
      <c r="K1786" t="str">
        <f>IF(Table1[[#This Row],[Sales]]&gt;=30000,"High", IF(Table1[[#This Row],[Sales]]&gt;=15000,"Medium","Low"))</f>
        <v>Low</v>
      </c>
      <c r="L1786" t="str">
        <f>TEXT(Table1[[#This Row],[Order_Date]],"MMM")</f>
        <v>Apr</v>
      </c>
      <c r="M1786" t="str">
        <f>IF(Table1[[#This Row],[Profit]]&gt;=10000,"Excellent",IF(Table1[[#This Row],[Profit]]&gt;5000,"Good","Low"))</f>
        <v>Low</v>
      </c>
      <c r="N1786" t="str">
        <f>TEXT(Table1[[#This Row],[Order_Date]],"YYYY")</f>
        <v>2026</v>
      </c>
    </row>
    <row r="1787" spans="1:14" x14ac:dyDescent="0.25">
      <c r="A1787" s="1">
        <v>46114</v>
      </c>
      <c r="B1787" t="s">
        <v>11</v>
      </c>
      <c r="C1787" t="s">
        <v>18</v>
      </c>
      <c r="D1787">
        <v>16250</v>
      </c>
      <c r="E1787">
        <v>766</v>
      </c>
      <c r="F1787">
        <v>15484</v>
      </c>
      <c r="G1787" t="s">
        <v>13</v>
      </c>
      <c r="H1787" t="s">
        <v>28</v>
      </c>
      <c r="I1787" t="s">
        <v>53</v>
      </c>
      <c r="J1787" s="2">
        <f>Table1[[#This Row],[Profit]]/Table1[[#This Row],[Sales]]*100</f>
        <v>95.286153846153837</v>
      </c>
      <c r="K1787" t="str">
        <f>IF(Table1[[#This Row],[Sales]]&gt;=30000,"High", IF(Table1[[#This Row],[Sales]]&gt;=15000,"Medium","Low"))</f>
        <v>Medium</v>
      </c>
      <c r="L1787" t="str">
        <f>TEXT(Table1[[#This Row],[Order_Date]],"MMM")</f>
        <v>Apr</v>
      </c>
      <c r="M1787" t="str">
        <f>IF(Table1[[#This Row],[Profit]]&gt;=10000,"Excellent",IF(Table1[[#This Row],[Profit]]&gt;5000,"Good","Low"))</f>
        <v>Excellent</v>
      </c>
      <c r="N1787" t="str">
        <f>TEXT(Table1[[#This Row],[Order_Date]],"YYYY")</f>
        <v>2026</v>
      </c>
    </row>
    <row r="1788" spans="1:14" x14ac:dyDescent="0.25">
      <c r="A1788" s="1">
        <v>45535</v>
      </c>
      <c r="B1788" t="s">
        <v>11</v>
      </c>
      <c r="C1788" t="s">
        <v>33</v>
      </c>
      <c r="D1788">
        <v>36423</v>
      </c>
      <c r="E1788">
        <v>19548</v>
      </c>
      <c r="F1788">
        <v>16875</v>
      </c>
      <c r="G1788" t="s">
        <v>13</v>
      </c>
      <c r="H1788" t="s">
        <v>78</v>
      </c>
      <c r="I1788" t="s">
        <v>29</v>
      </c>
      <c r="J1788" s="2">
        <f>Table1[[#This Row],[Profit]]/Table1[[#This Row],[Sales]]*100</f>
        <v>46.330615270570789</v>
      </c>
      <c r="K1788" t="str">
        <f>IF(Table1[[#This Row],[Sales]]&gt;=30000,"High", IF(Table1[[#This Row],[Sales]]&gt;=15000,"Medium","Low"))</f>
        <v>High</v>
      </c>
      <c r="L1788" t="str">
        <f>TEXT(Table1[[#This Row],[Order_Date]],"MMM")</f>
        <v>Aug</v>
      </c>
      <c r="M1788" t="str">
        <f>IF(Table1[[#This Row],[Profit]]&gt;=10000,"Excellent",IF(Table1[[#This Row],[Profit]]&gt;5000,"Good","Low"))</f>
        <v>Excellent</v>
      </c>
      <c r="N1788" t="str">
        <f>TEXT(Table1[[#This Row],[Order_Date]],"YYYY")</f>
        <v>2024</v>
      </c>
    </row>
    <row r="1789" spans="1:14" x14ac:dyDescent="0.25">
      <c r="A1789" s="1">
        <v>45284</v>
      </c>
      <c r="B1789" t="s">
        <v>26</v>
      </c>
      <c r="C1789" t="s">
        <v>36</v>
      </c>
      <c r="D1789">
        <v>38732</v>
      </c>
      <c r="E1789">
        <v>18768</v>
      </c>
      <c r="F1789">
        <v>19964</v>
      </c>
      <c r="G1789" t="s">
        <v>19</v>
      </c>
      <c r="H1789" t="s">
        <v>45</v>
      </c>
      <c r="I1789" t="s">
        <v>29</v>
      </c>
      <c r="J1789" s="2">
        <f>Table1[[#This Row],[Profit]]/Table1[[#This Row],[Sales]]*100</f>
        <v>51.543942992874115</v>
      </c>
      <c r="K1789" t="str">
        <f>IF(Table1[[#This Row],[Sales]]&gt;=30000,"High", IF(Table1[[#This Row],[Sales]]&gt;=15000,"Medium","Low"))</f>
        <v>High</v>
      </c>
      <c r="L1789" t="str">
        <f>TEXT(Table1[[#This Row],[Order_Date]],"MMM")</f>
        <v>Dec</v>
      </c>
      <c r="M1789" t="str">
        <f>IF(Table1[[#This Row],[Profit]]&gt;=10000,"Excellent",IF(Table1[[#This Row],[Profit]]&gt;5000,"Good","Low"))</f>
        <v>Excellent</v>
      </c>
      <c r="N1789" t="str">
        <f>TEXT(Table1[[#This Row],[Order_Date]],"YYYY")</f>
        <v>2023</v>
      </c>
    </row>
    <row r="1790" spans="1:14" x14ac:dyDescent="0.25">
      <c r="A1790" s="1">
        <v>45980</v>
      </c>
      <c r="B1790" t="s">
        <v>44</v>
      </c>
      <c r="C1790" t="s">
        <v>36</v>
      </c>
      <c r="D1790">
        <v>27582</v>
      </c>
      <c r="E1790">
        <v>9942</v>
      </c>
      <c r="F1790">
        <v>17640</v>
      </c>
      <c r="G1790" t="s">
        <v>19</v>
      </c>
      <c r="H1790" t="s">
        <v>20</v>
      </c>
      <c r="I1790" t="s">
        <v>42</v>
      </c>
      <c r="J1790" s="2">
        <f>Table1[[#This Row],[Profit]]/Table1[[#This Row],[Sales]]*100</f>
        <v>63.954753099847728</v>
      </c>
      <c r="K1790" t="str">
        <f>IF(Table1[[#This Row],[Sales]]&gt;=30000,"High", IF(Table1[[#This Row],[Sales]]&gt;=15000,"Medium","Low"))</f>
        <v>Medium</v>
      </c>
      <c r="L1790" t="str">
        <f>TEXT(Table1[[#This Row],[Order_Date]],"MMM")</f>
        <v>Nov</v>
      </c>
      <c r="M1790" t="str">
        <f>IF(Table1[[#This Row],[Profit]]&gt;=10000,"Excellent",IF(Table1[[#This Row],[Profit]]&gt;5000,"Good","Low"))</f>
        <v>Excellent</v>
      </c>
      <c r="N1790" t="str">
        <f>TEXT(Table1[[#This Row],[Order_Date]],"YYYY")</f>
        <v>2025</v>
      </c>
    </row>
    <row r="1791" spans="1:14" x14ac:dyDescent="0.25">
      <c r="A1791" s="1">
        <v>45310</v>
      </c>
      <c r="B1791" t="s">
        <v>11</v>
      </c>
      <c r="C1791" t="s">
        <v>33</v>
      </c>
      <c r="D1791">
        <v>23584</v>
      </c>
      <c r="E1791">
        <v>19416</v>
      </c>
      <c r="F1791">
        <v>4168</v>
      </c>
      <c r="G1791" t="s">
        <v>19</v>
      </c>
      <c r="H1791" t="s">
        <v>78</v>
      </c>
      <c r="I1791" t="s">
        <v>29</v>
      </c>
      <c r="J1791" s="2">
        <f>Table1[[#This Row],[Profit]]/Table1[[#This Row],[Sales]]*100</f>
        <v>17.672998643147896</v>
      </c>
      <c r="K1791" t="str">
        <f>IF(Table1[[#This Row],[Sales]]&gt;=30000,"High", IF(Table1[[#This Row],[Sales]]&gt;=15000,"Medium","Low"))</f>
        <v>Medium</v>
      </c>
      <c r="L1791" t="str">
        <f>TEXT(Table1[[#This Row],[Order_Date]],"MMM")</f>
        <v>Jan</v>
      </c>
      <c r="M1791" t="str">
        <f>IF(Table1[[#This Row],[Profit]]&gt;=10000,"Excellent",IF(Table1[[#This Row],[Profit]]&gt;5000,"Good","Low"))</f>
        <v>Low</v>
      </c>
      <c r="N1791" t="str">
        <f>TEXT(Table1[[#This Row],[Order_Date]],"YYYY")</f>
        <v>2024</v>
      </c>
    </row>
    <row r="1792" spans="1:14" x14ac:dyDescent="0.25">
      <c r="A1792" s="1">
        <v>45119</v>
      </c>
      <c r="B1792" t="s">
        <v>22</v>
      </c>
      <c r="C1792" t="s">
        <v>12</v>
      </c>
      <c r="D1792">
        <v>32219</v>
      </c>
      <c r="E1792">
        <v>16488</v>
      </c>
      <c r="F1792">
        <v>15731</v>
      </c>
      <c r="G1792" t="s">
        <v>13</v>
      </c>
      <c r="H1792" t="s">
        <v>63</v>
      </c>
      <c r="I1792" t="s">
        <v>29</v>
      </c>
      <c r="J1792" s="2">
        <f>Table1[[#This Row],[Profit]]/Table1[[#This Row],[Sales]]*100</f>
        <v>48.825227350321235</v>
      </c>
      <c r="K1792" t="str">
        <f>IF(Table1[[#This Row],[Sales]]&gt;=30000,"High", IF(Table1[[#This Row],[Sales]]&gt;=15000,"Medium","Low"))</f>
        <v>High</v>
      </c>
      <c r="L1792" t="str">
        <f>TEXT(Table1[[#This Row],[Order_Date]],"MMM")</f>
        <v>Jul</v>
      </c>
      <c r="M1792" t="str">
        <f>IF(Table1[[#This Row],[Profit]]&gt;=10000,"Excellent",IF(Table1[[#This Row],[Profit]]&gt;5000,"Good","Low"))</f>
        <v>Excellent</v>
      </c>
      <c r="N1792" t="str">
        <f>TEXT(Table1[[#This Row],[Order_Date]],"YYYY")</f>
        <v>2023</v>
      </c>
    </row>
    <row r="1793" spans="1:14" x14ac:dyDescent="0.25">
      <c r="A1793" s="1">
        <v>45694</v>
      </c>
      <c r="B1793" t="s">
        <v>17</v>
      </c>
      <c r="C1793" t="s">
        <v>12</v>
      </c>
      <c r="D1793">
        <v>25719</v>
      </c>
      <c r="E1793">
        <v>8910</v>
      </c>
      <c r="F1793">
        <v>16809</v>
      </c>
      <c r="G1793" t="s">
        <v>13</v>
      </c>
      <c r="H1793" t="s">
        <v>60</v>
      </c>
      <c r="I1793" t="s">
        <v>15</v>
      </c>
      <c r="J1793" s="2">
        <f>Table1[[#This Row],[Profit]]/Table1[[#This Row],[Sales]]*100</f>
        <v>65.356351335588485</v>
      </c>
      <c r="K1793" t="str">
        <f>IF(Table1[[#This Row],[Sales]]&gt;=30000,"High", IF(Table1[[#This Row],[Sales]]&gt;=15000,"Medium","Low"))</f>
        <v>Medium</v>
      </c>
      <c r="L1793" t="str">
        <f>TEXT(Table1[[#This Row],[Order_Date]],"MMM")</f>
        <v>Feb</v>
      </c>
      <c r="M1793" t="str">
        <f>IF(Table1[[#This Row],[Profit]]&gt;=10000,"Excellent",IF(Table1[[#This Row],[Profit]]&gt;5000,"Good","Low"))</f>
        <v>Excellent</v>
      </c>
      <c r="N1793" t="str">
        <f>TEXT(Table1[[#This Row],[Order_Date]],"YYYY")</f>
        <v>2025</v>
      </c>
    </row>
    <row r="1794" spans="1:14" x14ac:dyDescent="0.25">
      <c r="A1794" s="1">
        <v>46101</v>
      </c>
      <c r="B1794" t="s">
        <v>22</v>
      </c>
      <c r="C1794" t="s">
        <v>36</v>
      </c>
      <c r="D1794">
        <v>49400</v>
      </c>
      <c r="E1794">
        <v>41676</v>
      </c>
      <c r="F1794">
        <v>7724</v>
      </c>
      <c r="G1794" t="s">
        <v>38</v>
      </c>
      <c r="H1794" t="s">
        <v>14</v>
      </c>
      <c r="I1794" t="s">
        <v>24</v>
      </c>
      <c r="J1794" s="2">
        <f>Table1[[#This Row],[Profit]]/Table1[[#This Row],[Sales]]*100</f>
        <v>15.635627530364374</v>
      </c>
      <c r="K1794" t="str">
        <f>IF(Table1[[#This Row],[Sales]]&gt;=30000,"High", IF(Table1[[#This Row],[Sales]]&gt;=15000,"Medium","Low"))</f>
        <v>High</v>
      </c>
      <c r="L1794" t="str">
        <f>TEXT(Table1[[#This Row],[Order_Date]],"MMM")</f>
        <v>Mar</v>
      </c>
      <c r="M1794" t="str">
        <f>IF(Table1[[#This Row],[Profit]]&gt;=10000,"Excellent",IF(Table1[[#This Row],[Profit]]&gt;5000,"Good","Low"))</f>
        <v>Good</v>
      </c>
      <c r="N1794" t="str">
        <f>TEXT(Table1[[#This Row],[Order_Date]],"YYYY")</f>
        <v>2026</v>
      </c>
    </row>
    <row r="1795" spans="1:14" x14ac:dyDescent="0.25">
      <c r="A1795" s="1">
        <v>45454</v>
      </c>
      <c r="B1795" t="s">
        <v>11</v>
      </c>
      <c r="C1795" t="s">
        <v>41</v>
      </c>
      <c r="D1795">
        <v>9799</v>
      </c>
      <c r="E1795">
        <v>4714</v>
      </c>
      <c r="F1795">
        <v>5085</v>
      </c>
      <c r="G1795" t="s">
        <v>13</v>
      </c>
      <c r="H1795" t="s">
        <v>14</v>
      </c>
      <c r="I1795" t="s">
        <v>29</v>
      </c>
      <c r="J1795" s="2">
        <f>Table1[[#This Row],[Profit]]/Table1[[#This Row],[Sales]]*100</f>
        <v>51.893050311256253</v>
      </c>
      <c r="K1795" t="str">
        <f>IF(Table1[[#This Row],[Sales]]&gt;=30000,"High", IF(Table1[[#This Row],[Sales]]&gt;=15000,"Medium","Low"))</f>
        <v>Low</v>
      </c>
      <c r="L1795" t="str">
        <f>TEXT(Table1[[#This Row],[Order_Date]],"MMM")</f>
        <v>Jun</v>
      </c>
      <c r="M1795" t="str">
        <f>IF(Table1[[#This Row],[Profit]]&gt;=10000,"Excellent",IF(Table1[[#This Row],[Profit]]&gt;5000,"Good","Low"))</f>
        <v>Good</v>
      </c>
      <c r="N1795" t="str">
        <f>TEXT(Table1[[#This Row],[Order_Date]],"YYYY")</f>
        <v>2024</v>
      </c>
    </row>
    <row r="1796" spans="1:14" x14ac:dyDescent="0.25">
      <c r="A1796" s="1">
        <v>45639</v>
      </c>
      <c r="B1796" t="s">
        <v>22</v>
      </c>
      <c r="C1796" t="s">
        <v>41</v>
      </c>
      <c r="D1796">
        <v>24735</v>
      </c>
      <c r="E1796">
        <v>7182</v>
      </c>
      <c r="F1796">
        <v>17553</v>
      </c>
      <c r="G1796" t="s">
        <v>13</v>
      </c>
      <c r="H1796" t="s">
        <v>28</v>
      </c>
      <c r="I1796" t="s">
        <v>24</v>
      </c>
      <c r="J1796" s="2">
        <f>Table1[[#This Row],[Profit]]/Table1[[#This Row],[Sales]]*100</f>
        <v>70.964220739842332</v>
      </c>
      <c r="K1796" t="str">
        <f>IF(Table1[[#This Row],[Sales]]&gt;=30000,"High", IF(Table1[[#This Row],[Sales]]&gt;=15000,"Medium","Low"))</f>
        <v>Medium</v>
      </c>
      <c r="L1796" t="str">
        <f>TEXT(Table1[[#This Row],[Order_Date]],"MMM")</f>
        <v>Dec</v>
      </c>
      <c r="M1796" t="str">
        <f>IF(Table1[[#This Row],[Profit]]&gt;=10000,"Excellent",IF(Table1[[#This Row],[Profit]]&gt;5000,"Good","Low"))</f>
        <v>Excellent</v>
      </c>
      <c r="N1796" t="str">
        <f>TEXT(Table1[[#This Row],[Order_Date]],"YYYY")</f>
        <v>2024</v>
      </c>
    </row>
    <row r="1797" spans="1:14" x14ac:dyDescent="0.25">
      <c r="A1797" s="1">
        <v>45863</v>
      </c>
      <c r="B1797" t="s">
        <v>11</v>
      </c>
      <c r="C1797" t="s">
        <v>18</v>
      </c>
      <c r="D1797">
        <v>38271</v>
      </c>
      <c r="E1797">
        <v>32580</v>
      </c>
      <c r="F1797">
        <v>5691</v>
      </c>
      <c r="G1797" t="s">
        <v>13</v>
      </c>
      <c r="H1797" t="s">
        <v>14</v>
      </c>
      <c r="I1797" t="s">
        <v>53</v>
      </c>
      <c r="J1797" s="2">
        <f>Table1[[#This Row],[Profit]]/Table1[[#This Row],[Sales]]*100</f>
        <v>14.870267304225132</v>
      </c>
      <c r="K1797" t="str">
        <f>IF(Table1[[#This Row],[Sales]]&gt;=30000,"High", IF(Table1[[#This Row],[Sales]]&gt;=15000,"Medium","Low"))</f>
        <v>High</v>
      </c>
      <c r="L1797" t="str">
        <f>TEXT(Table1[[#This Row],[Order_Date]],"MMM")</f>
        <v>Jul</v>
      </c>
      <c r="M1797" t="str">
        <f>IF(Table1[[#This Row],[Profit]]&gt;=10000,"Excellent",IF(Table1[[#This Row],[Profit]]&gt;5000,"Good","Low"))</f>
        <v>Good</v>
      </c>
      <c r="N1797" t="str">
        <f>TEXT(Table1[[#This Row],[Order_Date]],"YYYY")</f>
        <v>2025</v>
      </c>
    </row>
    <row r="1798" spans="1:14" x14ac:dyDescent="0.25">
      <c r="A1798" s="1">
        <v>45455</v>
      </c>
      <c r="B1798" t="s">
        <v>22</v>
      </c>
      <c r="C1798" t="s">
        <v>41</v>
      </c>
      <c r="D1798">
        <v>25076</v>
      </c>
      <c r="E1798">
        <v>19912</v>
      </c>
      <c r="F1798">
        <v>5164</v>
      </c>
      <c r="G1798" t="s">
        <v>19</v>
      </c>
      <c r="H1798" t="s">
        <v>60</v>
      </c>
      <c r="I1798" t="s">
        <v>42</v>
      </c>
      <c r="J1798" s="2">
        <f>Table1[[#This Row],[Profit]]/Table1[[#This Row],[Sales]]*100</f>
        <v>20.593396075929174</v>
      </c>
      <c r="K1798" t="str">
        <f>IF(Table1[[#This Row],[Sales]]&gt;=30000,"High", IF(Table1[[#This Row],[Sales]]&gt;=15000,"Medium","Low"))</f>
        <v>Medium</v>
      </c>
      <c r="L1798" t="str">
        <f>TEXT(Table1[[#This Row],[Order_Date]],"MMM")</f>
        <v>Jun</v>
      </c>
      <c r="M1798" t="str">
        <f>IF(Table1[[#This Row],[Profit]]&gt;=10000,"Excellent",IF(Table1[[#This Row],[Profit]]&gt;5000,"Good","Low"))</f>
        <v>Good</v>
      </c>
      <c r="N1798" t="str">
        <f>TEXT(Table1[[#This Row],[Order_Date]],"YYYY")</f>
        <v>2024</v>
      </c>
    </row>
    <row r="1799" spans="1:14" x14ac:dyDescent="0.25">
      <c r="A1799" s="1">
        <v>46036</v>
      </c>
      <c r="B1799" t="s">
        <v>11</v>
      </c>
      <c r="C1799" t="s">
        <v>12</v>
      </c>
      <c r="D1799">
        <v>30599</v>
      </c>
      <c r="E1799">
        <v>13102</v>
      </c>
      <c r="F1799">
        <v>17497</v>
      </c>
      <c r="G1799" t="s">
        <v>27</v>
      </c>
      <c r="H1799" t="s">
        <v>14</v>
      </c>
      <c r="I1799" t="s">
        <v>53</v>
      </c>
      <c r="J1799" s="2">
        <f>Table1[[#This Row],[Profit]]/Table1[[#This Row],[Sales]]*100</f>
        <v>57.181607242066733</v>
      </c>
      <c r="K1799" t="str">
        <f>IF(Table1[[#This Row],[Sales]]&gt;=30000,"High", IF(Table1[[#This Row],[Sales]]&gt;=15000,"Medium","Low"))</f>
        <v>High</v>
      </c>
      <c r="L1799" t="str">
        <f>TEXT(Table1[[#This Row],[Order_Date]],"MMM")</f>
        <v>Jan</v>
      </c>
      <c r="M1799" t="str">
        <f>IF(Table1[[#This Row],[Profit]]&gt;=10000,"Excellent",IF(Table1[[#This Row],[Profit]]&gt;5000,"Good","Low"))</f>
        <v>Excellent</v>
      </c>
      <c r="N1799" t="str">
        <f>TEXT(Table1[[#This Row],[Order_Date]],"YYYY")</f>
        <v>2026</v>
      </c>
    </row>
    <row r="1800" spans="1:14" x14ac:dyDescent="0.25">
      <c r="A1800" s="1">
        <v>45927</v>
      </c>
      <c r="B1800" t="s">
        <v>17</v>
      </c>
      <c r="C1800" t="s">
        <v>41</v>
      </c>
      <c r="D1800">
        <v>19517</v>
      </c>
      <c r="E1800">
        <v>16249</v>
      </c>
      <c r="F1800">
        <v>3268</v>
      </c>
      <c r="G1800" t="s">
        <v>27</v>
      </c>
      <c r="H1800" t="s">
        <v>63</v>
      </c>
      <c r="I1800" t="s">
        <v>29</v>
      </c>
      <c r="J1800" s="2">
        <f>Table1[[#This Row],[Profit]]/Table1[[#This Row],[Sales]]*100</f>
        <v>16.744376697238305</v>
      </c>
      <c r="K1800" t="str">
        <f>IF(Table1[[#This Row],[Sales]]&gt;=30000,"High", IF(Table1[[#This Row],[Sales]]&gt;=15000,"Medium","Low"))</f>
        <v>Medium</v>
      </c>
      <c r="L1800" t="str">
        <f>TEXT(Table1[[#This Row],[Order_Date]],"MMM")</f>
        <v>Sep</v>
      </c>
      <c r="M1800" t="str">
        <f>IF(Table1[[#This Row],[Profit]]&gt;=10000,"Excellent",IF(Table1[[#This Row],[Profit]]&gt;5000,"Good","Low"))</f>
        <v>Low</v>
      </c>
      <c r="N1800" t="str">
        <f>TEXT(Table1[[#This Row],[Order_Date]],"YYYY")</f>
        <v>2025</v>
      </c>
    </row>
    <row r="1801" spans="1:14" x14ac:dyDescent="0.25">
      <c r="A1801" s="1">
        <v>45477</v>
      </c>
      <c r="B1801" t="s">
        <v>22</v>
      </c>
      <c r="C1801" t="s">
        <v>12</v>
      </c>
      <c r="D1801">
        <v>11200</v>
      </c>
      <c r="E1801">
        <v>10631</v>
      </c>
      <c r="F1801">
        <v>569</v>
      </c>
      <c r="G1801" t="s">
        <v>13</v>
      </c>
      <c r="H1801" t="s">
        <v>23</v>
      </c>
      <c r="I1801" t="s">
        <v>29</v>
      </c>
      <c r="J1801" s="2">
        <f>Table1[[#This Row],[Profit]]/Table1[[#This Row],[Sales]]*100</f>
        <v>5.0803571428571423</v>
      </c>
      <c r="K1801" t="str">
        <f>IF(Table1[[#This Row],[Sales]]&gt;=30000,"High", IF(Table1[[#This Row],[Sales]]&gt;=15000,"Medium","Low"))</f>
        <v>Low</v>
      </c>
      <c r="L1801" t="str">
        <f>TEXT(Table1[[#This Row],[Order_Date]],"MMM")</f>
        <v>Jul</v>
      </c>
      <c r="M1801" t="str">
        <f>IF(Table1[[#This Row],[Profit]]&gt;=10000,"Excellent",IF(Table1[[#This Row],[Profit]]&gt;5000,"Good","Low"))</f>
        <v>Low</v>
      </c>
      <c r="N1801" t="str">
        <f>TEXT(Table1[[#This Row],[Order_Date]],"YYYY")</f>
        <v>2024</v>
      </c>
    </row>
    <row r="1802" spans="1:14" x14ac:dyDescent="0.25">
      <c r="A1802" s="1">
        <v>45946</v>
      </c>
      <c r="B1802" t="s">
        <v>44</v>
      </c>
      <c r="C1802" t="s">
        <v>18</v>
      </c>
      <c r="D1802">
        <v>20975</v>
      </c>
      <c r="E1802">
        <v>8146</v>
      </c>
      <c r="F1802">
        <v>12829</v>
      </c>
      <c r="G1802" t="s">
        <v>19</v>
      </c>
      <c r="H1802" t="s">
        <v>31</v>
      </c>
      <c r="I1802" t="s">
        <v>24</v>
      </c>
      <c r="J1802" s="2">
        <f>Table1[[#This Row],[Profit]]/Table1[[#This Row],[Sales]]*100</f>
        <v>61.163289630512516</v>
      </c>
      <c r="K1802" t="str">
        <f>IF(Table1[[#This Row],[Sales]]&gt;=30000,"High", IF(Table1[[#This Row],[Sales]]&gt;=15000,"Medium","Low"))</f>
        <v>Medium</v>
      </c>
      <c r="L1802" t="str">
        <f>TEXT(Table1[[#This Row],[Order_Date]],"MMM")</f>
        <v>Oct</v>
      </c>
      <c r="M1802" t="str">
        <f>IF(Table1[[#This Row],[Profit]]&gt;=10000,"Excellent",IF(Table1[[#This Row],[Profit]]&gt;5000,"Good","Low"))</f>
        <v>Excellent</v>
      </c>
      <c r="N1802" t="str">
        <f>TEXT(Table1[[#This Row],[Order_Date]],"YYYY")</f>
        <v>2025</v>
      </c>
    </row>
    <row r="1803" spans="1:14" x14ac:dyDescent="0.25">
      <c r="A1803" s="1">
        <v>46094</v>
      </c>
      <c r="B1803" t="s">
        <v>22</v>
      </c>
      <c r="C1803" t="s">
        <v>33</v>
      </c>
      <c r="D1803">
        <v>20228</v>
      </c>
      <c r="E1803">
        <v>8408</v>
      </c>
      <c r="F1803">
        <v>11820</v>
      </c>
      <c r="G1803" t="s">
        <v>27</v>
      </c>
      <c r="H1803" t="s">
        <v>31</v>
      </c>
      <c r="I1803" t="s">
        <v>15</v>
      </c>
      <c r="J1803" s="2">
        <f>Table1[[#This Row],[Profit]]/Table1[[#This Row],[Sales]]*100</f>
        <v>58.433854063674119</v>
      </c>
      <c r="K1803" t="str">
        <f>IF(Table1[[#This Row],[Sales]]&gt;=30000,"High", IF(Table1[[#This Row],[Sales]]&gt;=15000,"Medium","Low"))</f>
        <v>Medium</v>
      </c>
      <c r="L1803" t="str">
        <f>TEXT(Table1[[#This Row],[Order_Date]],"MMM")</f>
        <v>Mar</v>
      </c>
      <c r="M1803" t="str">
        <f>IF(Table1[[#This Row],[Profit]]&gt;=10000,"Excellent",IF(Table1[[#This Row],[Profit]]&gt;5000,"Good","Low"))</f>
        <v>Excellent</v>
      </c>
      <c r="N1803" t="str">
        <f>TEXT(Table1[[#This Row],[Order_Date]],"YYYY")</f>
        <v>2026</v>
      </c>
    </row>
    <row r="1804" spans="1:14" x14ac:dyDescent="0.25">
      <c r="A1804" s="1">
        <v>45924</v>
      </c>
      <c r="B1804" t="s">
        <v>22</v>
      </c>
      <c r="C1804" t="s">
        <v>41</v>
      </c>
      <c r="D1804">
        <v>40850</v>
      </c>
      <c r="E1804">
        <v>24056</v>
      </c>
      <c r="F1804">
        <v>16794</v>
      </c>
      <c r="G1804" t="s">
        <v>13</v>
      </c>
      <c r="H1804" t="s">
        <v>45</v>
      </c>
      <c r="I1804" t="s">
        <v>42</v>
      </c>
      <c r="J1804" s="2">
        <f>Table1[[#This Row],[Profit]]/Table1[[#This Row],[Sales]]*100</f>
        <v>41.111383108935129</v>
      </c>
      <c r="K1804" t="str">
        <f>IF(Table1[[#This Row],[Sales]]&gt;=30000,"High", IF(Table1[[#This Row],[Sales]]&gt;=15000,"Medium","Low"))</f>
        <v>High</v>
      </c>
      <c r="L1804" t="str">
        <f>TEXT(Table1[[#This Row],[Order_Date]],"MMM")</f>
        <v>Sep</v>
      </c>
      <c r="M1804" t="str">
        <f>IF(Table1[[#This Row],[Profit]]&gt;=10000,"Excellent",IF(Table1[[#This Row],[Profit]]&gt;5000,"Good","Low"))</f>
        <v>Excellent</v>
      </c>
      <c r="N1804" t="str">
        <f>TEXT(Table1[[#This Row],[Order_Date]],"YYYY")</f>
        <v>2025</v>
      </c>
    </row>
    <row r="1805" spans="1:14" x14ac:dyDescent="0.25">
      <c r="A1805" s="1">
        <v>45386</v>
      </c>
      <c r="B1805" t="s">
        <v>11</v>
      </c>
      <c r="C1805" t="s">
        <v>18</v>
      </c>
      <c r="D1805">
        <v>22488</v>
      </c>
      <c r="E1805">
        <v>2830</v>
      </c>
      <c r="F1805">
        <v>19658</v>
      </c>
      <c r="G1805" t="s">
        <v>13</v>
      </c>
      <c r="H1805" t="s">
        <v>20</v>
      </c>
      <c r="I1805" t="s">
        <v>29</v>
      </c>
      <c r="J1805" s="2">
        <f>Table1[[#This Row],[Profit]]/Table1[[#This Row],[Sales]]*100</f>
        <v>87.415510494485943</v>
      </c>
      <c r="K1805" t="str">
        <f>IF(Table1[[#This Row],[Sales]]&gt;=30000,"High", IF(Table1[[#This Row],[Sales]]&gt;=15000,"Medium","Low"))</f>
        <v>Medium</v>
      </c>
      <c r="L1805" t="str">
        <f>TEXT(Table1[[#This Row],[Order_Date]],"MMM")</f>
        <v>Apr</v>
      </c>
      <c r="M1805" t="str">
        <f>IF(Table1[[#This Row],[Profit]]&gt;=10000,"Excellent",IF(Table1[[#This Row],[Profit]]&gt;5000,"Good","Low"))</f>
        <v>Excellent</v>
      </c>
      <c r="N1805" t="str">
        <f>TEXT(Table1[[#This Row],[Order_Date]],"YYYY")</f>
        <v>2024</v>
      </c>
    </row>
    <row r="1806" spans="1:14" x14ac:dyDescent="0.25">
      <c r="A1806" s="1">
        <v>45910</v>
      </c>
      <c r="B1806" t="s">
        <v>44</v>
      </c>
      <c r="C1806" t="s">
        <v>33</v>
      </c>
      <c r="D1806">
        <v>45697</v>
      </c>
      <c r="E1806">
        <v>27050</v>
      </c>
      <c r="F1806">
        <v>18647</v>
      </c>
      <c r="G1806" t="s">
        <v>19</v>
      </c>
      <c r="H1806" t="s">
        <v>78</v>
      </c>
      <c r="I1806" t="s">
        <v>15</v>
      </c>
      <c r="J1806" s="2">
        <f>Table1[[#This Row],[Profit]]/Table1[[#This Row],[Sales]]*100</f>
        <v>40.805742171258508</v>
      </c>
      <c r="K1806" t="str">
        <f>IF(Table1[[#This Row],[Sales]]&gt;=30000,"High", IF(Table1[[#This Row],[Sales]]&gt;=15000,"Medium","Low"))</f>
        <v>High</v>
      </c>
      <c r="L1806" t="str">
        <f>TEXT(Table1[[#This Row],[Order_Date]],"MMM")</f>
        <v>Sep</v>
      </c>
      <c r="M1806" t="str">
        <f>IF(Table1[[#This Row],[Profit]]&gt;=10000,"Excellent",IF(Table1[[#This Row],[Profit]]&gt;5000,"Good","Low"))</f>
        <v>Excellent</v>
      </c>
      <c r="N1806" t="str">
        <f>TEXT(Table1[[#This Row],[Order_Date]],"YYYY")</f>
        <v>2025</v>
      </c>
    </row>
    <row r="1807" spans="1:14" x14ac:dyDescent="0.25">
      <c r="A1807" s="1">
        <v>45226</v>
      </c>
      <c r="B1807" t="s">
        <v>44</v>
      </c>
      <c r="C1807" t="s">
        <v>36</v>
      </c>
      <c r="D1807">
        <v>6253</v>
      </c>
      <c r="E1807">
        <v>3872</v>
      </c>
      <c r="F1807">
        <v>2381</v>
      </c>
      <c r="G1807" t="s">
        <v>19</v>
      </c>
      <c r="H1807" t="s">
        <v>14</v>
      </c>
      <c r="I1807" t="s">
        <v>15</v>
      </c>
      <c r="J1807" s="2">
        <f>Table1[[#This Row],[Profit]]/Table1[[#This Row],[Sales]]*100</f>
        <v>38.077722693107305</v>
      </c>
      <c r="K1807" t="str">
        <f>IF(Table1[[#This Row],[Sales]]&gt;=30000,"High", IF(Table1[[#This Row],[Sales]]&gt;=15000,"Medium","Low"))</f>
        <v>Low</v>
      </c>
      <c r="L1807" t="str">
        <f>TEXT(Table1[[#This Row],[Order_Date]],"MMM")</f>
        <v>Oct</v>
      </c>
      <c r="M1807" t="str">
        <f>IF(Table1[[#This Row],[Profit]]&gt;=10000,"Excellent",IF(Table1[[#This Row],[Profit]]&gt;5000,"Good","Low"))</f>
        <v>Low</v>
      </c>
      <c r="N1807" t="str">
        <f>TEXT(Table1[[#This Row],[Order_Date]],"YYYY")</f>
        <v>2023</v>
      </c>
    </row>
    <row r="1808" spans="1:14" x14ac:dyDescent="0.25">
      <c r="A1808" s="1">
        <v>45806</v>
      </c>
      <c r="B1808" t="s">
        <v>44</v>
      </c>
      <c r="C1808" t="s">
        <v>36</v>
      </c>
      <c r="D1808">
        <v>42135</v>
      </c>
      <c r="E1808">
        <v>37957</v>
      </c>
      <c r="F1808">
        <v>4178</v>
      </c>
      <c r="G1808" t="s">
        <v>38</v>
      </c>
      <c r="H1808" t="s">
        <v>60</v>
      </c>
      <c r="I1808" t="s">
        <v>29</v>
      </c>
      <c r="J1808" s="2">
        <f>Table1[[#This Row],[Profit]]/Table1[[#This Row],[Sales]]*100</f>
        <v>9.9157470036786517</v>
      </c>
      <c r="K1808" t="str">
        <f>IF(Table1[[#This Row],[Sales]]&gt;=30000,"High", IF(Table1[[#This Row],[Sales]]&gt;=15000,"Medium","Low"))</f>
        <v>High</v>
      </c>
      <c r="L1808" t="str">
        <f>TEXT(Table1[[#This Row],[Order_Date]],"MMM")</f>
        <v>May</v>
      </c>
      <c r="M1808" t="str">
        <f>IF(Table1[[#This Row],[Profit]]&gt;=10000,"Excellent",IF(Table1[[#This Row],[Profit]]&gt;5000,"Good","Low"))</f>
        <v>Low</v>
      </c>
      <c r="N1808" t="str">
        <f>TEXT(Table1[[#This Row],[Order_Date]],"YYYY")</f>
        <v>2025</v>
      </c>
    </row>
    <row r="1809" spans="1:14" x14ac:dyDescent="0.25">
      <c r="A1809" s="1">
        <v>45161</v>
      </c>
      <c r="B1809" t="s">
        <v>26</v>
      </c>
      <c r="C1809" t="s">
        <v>12</v>
      </c>
      <c r="D1809">
        <v>10824</v>
      </c>
      <c r="E1809">
        <v>2897</v>
      </c>
      <c r="F1809">
        <v>7927</v>
      </c>
      <c r="G1809" t="s">
        <v>19</v>
      </c>
      <c r="H1809" t="s">
        <v>31</v>
      </c>
      <c r="I1809" t="s">
        <v>53</v>
      </c>
      <c r="J1809" s="2">
        <f>Table1[[#This Row],[Profit]]/Table1[[#This Row],[Sales]]*100</f>
        <v>73.235402808573539</v>
      </c>
      <c r="K1809" t="str">
        <f>IF(Table1[[#This Row],[Sales]]&gt;=30000,"High", IF(Table1[[#This Row],[Sales]]&gt;=15000,"Medium","Low"))</f>
        <v>Low</v>
      </c>
      <c r="L1809" t="str">
        <f>TEXT(Table1[[#This Row],[Order_Date]],"MMM")</f>
        <v>Aug</v>
      </c>
      <c r="M1809" t="str">
        <f>IF(Table1[[#This Row],[Profit]]&gt;=10000,"Excellent",IF(Table1[[#This Row],[Profit]]&gt;5000,"Good","Low"))</f>
        <v>Good</v>
      </c>
      <c r="N1809" t="str">
        <f>TEXT(Table1[[#This Row],[Order_Date]],"YYYY")</f>
        <v>2023</v>
      </c>
    </row>
    <row r="1810" spans="1:14" x14ac:dyDescent="0.25">
      <c r="A1810" s="1">
        <v>45365</v>
      </c>
      <c r="B1810" t="s">
        <v>26</v>
      </c>
      <c r="C1810" t="s">
        <v>41</v>
      </c>
      <c r="D1810">
        <v>5008</v>
      </c>
      <c r="E1810">
        <v>837</v>
      </c>
      <c r="F1810">
        <v>4171</v>
      </c>
      <c r="G1810" t="s">
        <v>27</v>
      </c>
      <c r="H1810" t="s">
        <v>45</v>
      </c>
      <c r="I1810" t="s">
        <v>24</v>
      </c>
      <c r="J1810" s="2">
        <f>Table1[[#This Row],[Profit]]/Table1[[#This Row],[Sales]]*100</f>
        <v>83.2867412140575</v>
      </c>
      <c r="K1810" t="str">
        <f>IF(Table1[[#This Row],[Sales]]&gt;=30000,"High", IF(Table1[[#This Row],[Sales]]&gt;=15000,"Medium","Low"))</f>
        <v>Low</v>
      </c>
      <c r="L1810" t="str">
        <f>TEXT(Table1[[#This Row],[Order_Date]],"MMM")</f>
        <v>Mar</v>
      </c>
      <c r="M1810" t="str">
        <f>IF(Table1[[#This Row],[Profit]]&gt;=10000,"Excellent",IF(Table1[[#This Row],[Profit]]&gt;5000,"Good","Low"))</f>
        <v>Low</v>
      </c>
      <c r="N1810" t="str">
        <f>TEXT(Table1[[#This Row],[Order_Date]],"YYYY")</f>
        <v>2024</v>
      </c>
    </row>
    <row r="1811" spans="1:14" x14ac:dyDescent="0.25">
      <c r="A1811" s="1">
        <v>45740</v>
      </c>
      <c r="B1811" t="s">
        <v>11</v>
      </c>
      <c r="C1811" t="s">
        <v>12</v>
      </c>
      <c r="D1811">
        <v>15339</v>
      </c>
      <c r="E1811">
        <v>9666</v>
      </c>
      <c r="F1811">
        <v>5673</v>
      </c>
      <c r="G1811" t="s">
        <v>38</v>
      </c>
      <c r="H1811" t="s">
        <v>34</v>
      </c>
      <c r="I1811" t="s">
        <v>53</v>
      </c>
      <c r="J1811" s="2">
        <f>Table1[[#This Row],[Profit]]/Table1[[#This Row],[Sales]]*100</f>
        <v>36.984158028554667</v>
      </c>
      <c r="K1811" t="str">
        <f>IF(Table1[[#This Row],[Sales]]&gt;=30000,"High", IF(Table1[[#This Row],[Sales]]&gt;=15000,"Medium","Low"))</f>
        <v>Medium</v>
      </c>
      <c r="L1811" t="str">
        <f>TEXT(Table1[[#This Row],[Order_Date]],"MMM")</f>
        <v>Mar</v>
      </c>
      <c r="M1811" t="str">
        <f>IF(Table1[[#This Row],[Profit]]&gt;=10000,"Excellent",IF(Table1[[#This Row],[Profit]]&gt;5000,"Good","Low"))</f>
        <v>Good</v>
      </c>
      <c r="N1811" t="str">
        <f>TEXT(Table1[[#This Row],[Order_Date]],"YYYY")</f>
        <v>2025</v>
      </c>
    </row>
    <row r="1812" spans="1:14" x14ac:dyDescent="0.25">
      <c r="A1812" s="1">
        <v>45230</v>
      </c>
      <c r="B1812" t="s">
        <v>17</v>
      </c>
      <c r="C1812" t="s">
        <v>12</v>
      </c>
      <c r="D1812">
        <v>42031</v>
      </c>
      <c r="E1812">
        <v>28986</v>
      </c>
      <c r="F1812">
        <v>13045</v>
      </c>
      <c r="G1812" t="s">
        <v>13</v>
      </c>
      <c r="H1812" t="s">
        <v>23</v>
      </c>
      <c r="I1812" t="s">
        <v>15</v>
      </c>
      <c r="J1812" s="2">
        <f>Table1[[#This Row],[Profit]]/Table1[[#This Row],[Sales]]*100</f>
        <v>31.036615831172231</v>
      </c>
      <c r="K1812" t="str">
        <f>IF(Table1[[#This Row],[Sales]]&gt;=30000,"High", IF(Table1[[#This Row],[Sales]]&gt;=15000,"Medium","Low"))</f>
        <v>High</v>
      </c>
      <c r="L1812" t="str">
        <f>TEXT(Table1[[#This Row],[Order_Date]],"MMM")</f>
        <v>Oct</v>
      </c>
      <c r="M1812" t="str">
        <f>IF(Table1[[#This Row],[Profit]]&gt;=10000,"Excellent",IF(Table1[[#This Row],[Profit]]&gt;5000,"Good","Low"))</f>
        <v>Excellent</v>
      </c>
      <c r="N1812" t="str">
        <f>TEXT(Table1[[#This Row],[Order_Date]],"YYYY")</f>
        <v>2023</v>
      </c>
    </row>
    <row r="1813" spans="1:14" x14ac:dyDescent="0.25">
      <c r="A1813" s="1">
        <v>45417</v>
      </c>
      <c r="B1813" t="s">
        <v>44</v>
      </c>
      <c r="C1813" t="s">
        <v>36</v>
      </c>
      <c r="D1813">
        <v>46947</v>
      </c>
      <c r="E1813">
        <v>40853</v>
      </c>
      <c r="F1813">
        <v>6094</v>
      </c>
      <c r="G1813" t="s">
        <v>13</v>
      </c>
      <c r="H1813" t="s">
        <v>63</v>
      </c>
      <c r="I1813" t="s">
        <v>24</v>
      </c>
      <c r="J1813" s="2">
        <f>Table1[[#This Row],[Profit]]/Table1[[#This Row],[Sales]]*100</f>
        <v>12.980595139199522</v>
      </c>
      <c r="K1813" t="str">
        <f>IF(Table1[[#This Row],[Sales]]&gt;=30000,"High", IF(Table1[[#This Row],[Sales]]&gt;=15000,"Medium","Low"))</f>
        <v>High</v>
      </c>
      <c r="L1813" t="str">
        <f>TEXT(Table1[[#This Row],[Order_Date]],"MMM")</f>
        <v>May</v>
      </c>
      <c r="M1813" t="str">
        <f>IF(Table1[[#This Row],[Profit]]&gt;=10000,"Excellent",IF(Table1[[#This Row],[Profit]]&gt;5000,"Good","Low"))</f>
        <v>Good</v>
      </c>
      <c r="N1813" t="str">
        <f>TEXT(Table1[[#This Row],[Order_Date]],"YYYY")</f>
        <v>2024</v>
      </c>
    </row>
    <row r="1814" spans="1:14" x14ac:dyDescent="0.25">
      <c r="A1814" s="1">
        <v>45502</v>
      </c>
      <c r="B1814" t="s">
        <v>11</v>
      </c>
      <c r="C1814" t="s">
        <v>41</v>
      </c>
      <c r="D1814">
        <v>27836</v>
      </c>
      <c r="E1814">
        <v>10369</v>
      </c>
      <c r="F1814">
        <v>17467</v>
      </c>
      <c r="G1814" t="s">
        <v>38</v>
      </c>
      <c r="H1814" t="s">
        <v>63</v>
      </c>
      <c r="I1814" t="s">
        <v>42</v>
      </c>
      <c r="J1814" s="2">
        <f>Table1[[#This Row],[Profit]]/Table1[[#This Row],[Sales]]*100</f>
        <v>62.749676677683574</v>
      </c>
      <c r="K1814" t="str">
        <f>IF(Table1[[#This Row],[Sales]]&gt;=30000,"High", IF(Table1[[#This Row],[Sales]]&gt;=15000,"Medium","Low"))</f>
        <v>Medium</v>
      </c>
      <c r="L1814" t="str">
        <f>TEXT(Table1[[#This Row],[Order_Date]],"MMM")</f>
        <v>Jul</v>
      </c>
      <c r="M1814" t="str">
        <f>IF(Table1[[#This Row],[Profit]]&gt;=10000,"Excellent",IF(Table1[[#This Row],[Profit]]&gt;5000,"Good","Low"))</f>
        <v>Excellent</v>
      </c>
      <c r="N1814" t="str">
        <f>TEXT(Table1[[#This Row],[Order_Date]],"YYYY")</f>
        <v>2024</v>
      </c>
    </row>
    <row r="1815" spans="1:14" x14ac:dyDescent="0.25">
      <c r="A1815" s="1">
        <v>45594</v>
      </c>
      <c r="B1815" t="s">
        <v>44</v>
      </c>
      <c r="C1815" t="s">
        <v>18</v>
      </c>
      <c r="D1815">
        <v>26377</v>
      </c>
      <c r="E1815">
        <v>8700</v>
      </c>
      <c r="F1815">
        <v>17677</v>
      </c>
      <c r="G1815" t="s">
        <v>38</v>
      </c>
      <c r="H1815" t="s">
        <v>14</v>
      </c>
      <c r="I1815" t="s">
        <v>29</v>
      </c>
      <c r="J1815" s="2">
        <f>Table1[[#This Row],[Profit]]/Table1[[#This Row],[Sales]]*100</f>
        <v>67.016719111347015</v>
      </c>
      <c r="K1815" t="str">
        <f>IF(Table1[[#This Row],[Sales]]&gt;=30000,"High", IF(Table1[[#This Row],[Sales]]&gt;=15000,"Medium","Low"))</f>
        <v>Medium</v>
      </c>
      <c r="L1815" t="str">
        <f>TEXT(Table1[[#This Row],[Order_Date]],"MMM")</f>
        <v>Oct</v>
      </c>
      <c r="M1815" t="str">
        <f>IF(Table1[[#This Row],[Profit]]&gt;=10000,"Excellent",IF(Table1[[#This Row],[Profit]]&gt;5000,"Good","Low"))</f>
        <v>Excellent</v>
      </c>
      <c r="N1815" t="str">
        <f>TEXT(Table1[[#This Row],[Order_Date]],"YYYY")</f>
        <v>2024</v>
      </c>
    </row>
    <row r="1816" spans="1:14" x14ac:dyDescent="0.25">
      <c r="A1816" s="1">
        <v>45266</v>
      </c>
      <c r="B1816" t="s">
        <v>11</v>
      </c>
      <c r="C1816" t="s">
        <v>36</v>
      </c>
      <c r="D1816">
        <v>18239</v>
      </c>
      <c r="E1816">
        <v>10090</v>
      </c>
      <c r="F1816">
        <v>8149</v>
      </c>
      <c r="G1816" t="s">
        <v>27</v>
      </c>
      <c r="H1816" t="s">
        <v>63</v>
      </c>
      <c r="I1816" t="s">
        <v>42</v>
      </c>
      <c r="J1816" s="2">
        <f>Table1[[#This Row],[Profit]]/Table1[[#This Row],[Sales]]*100</f>
        <v>44.678984593453592</v>
      </c>
      <c r="K1816" t="str">
        <f>IF(Table1[[#This Row],[Sales]]&gt;=30000,"High", IF(Table1[[#This Row],[Sales]]&gt;=15000,"Medium","Low"))</f>
        <v>Medium</v>
      </c>
      <c r="L1816" t="str">
        <f>TEXT(Table1[[#This Row],[Order_Date]],"MMM")</f>
        <v>Dec</v>
      </c>
      <c r="M1816" t="str">
        <f>IF(Table1[[#This Row],[Profit]]&gt;=10000,"Excellent",IF(Table1[[#This Row],[Profit]]&gt;5000,"Good","Low"))</f>
        <v>Good</v>
      </c>
      <c r="N1816" t="str">
        <f>TEXT(Table1[[#This Row],[Order_Date]],"YYYY")</f>
        <v>2023</v>
      </c>
    </row>
    <row r="1817" spans="1:14" x14ac:dyDescent="0.25">
      <c r="A1817" s="1">
        <v>45871</v>
      </c>
      <c r="B1817" t="s">
        <v>44</v>
      </c>
      <c r="C1817" t="s">
        <v>33</v>
      </c>
      <c r="D1817">
        <v>43725</v>
      </c>
      <c r="E1817">
        <v>40142</v>
      </c>
      <c r="F1817">
        <v>3583</v>
      </c>
      <c r="G1817" t="s">
        <v>19</v>
      </c>
      <c r="H1817" t="s">
        <v>31</v>
      </c>
      <c r="I1817" t="s">
        <v>29</v>
      </c>
      <c r="J1817" s="2">
        <f>Table1[[#This Row],[Profit]]/Table1[[#This Row],[Sales]]*100</f>
        <v>8.1943967981703842</v>
      </c>
      <c r="K1817" t="str">
        <f>IF(Table1[[#This Row],[Sales]]&gt;=30000,"High", IF(Table1[[#This Row],[Sales]]&gt;=15000,"Medium","Low"))</f>
        <v>High</v>
      </c>
      <c r="L1817" t="str">
        <f>TEXT(Table1[[#This Row],[Order_Date]],"MMM")</f>
        <v>Aug</v>
      </c>
      <c r="M1817" t="str">
        <f>IF(Table1[[#This Row],[Profit]]&gt;=10000,"Excellent",IF(Table1[[#This Row],[Profit]]&gt;5000,"Good","Low"))</f>
        <v>Low</v>
      </c>
      <c r="N1817" t="str">
        <f>TEXT(Table1[[#This Row],[Order_Date]],"YYYY")</f>
        <v>2025</v>
      </c>
    </row>
    <row r="1818" spans="1:14" x14ac:dyDescent="0.25">
      <c r="A1818" s="1">
        <v>45546</v>
      </c>
      <c r="B1818" t="s">
        <v>26</v>
      </c>
      <c r="C1818" t="s">
        <v>41</v>
      </c>
      <c r="D1818">
        <v>24266</v>
      </c>
      <c r="E1818">
        <v>20946</v>
      </c>
      <c r="F1818">
        <v>3320</v>
      </c>
      <c r="G1818" t="s">
        <v>13</v>
      </c>
      <c r="H1818" t="s">
        <v>23</v>
      </c>
      <c r="I1818" t="s">
        <v>29</v>
      </c>
      <c r="J1818" s="2">
        <f>Table1[[#This Row],[Profit]]/Table1[[#This Row],[Sales]]*100</f>
        <v>13.681694552048132</v>
      </c>
      <c r="K1818" t="str">
        <f>IF(Table1[[#This Row],[Sales]]&gt;=30000,"High", IF(Table1[[#This Row],[Sales]]&gt;=15000,"Medium","Low"))</f>
        <v>Medium</v>
      </c>
      <c r="L1818" t="str">
        <f>TEXT(Table1[[#This Row],[Order_Date]],"MMM")</f>
        <v>Sep</v>
      </c>
      <c r="M1818" t="str">
        <f>IF(Table1[[#This Row],[Profit]]&gt;=10000,"Excellent",IF(Table1[[#This Row],[Profit]]&gt;5000,"Good","Low"))</f>
        <v>Low</v>
      </c>
      <c r="N1818" t="str">
        <f>TEXT(Table1[[#This Row],[Order_Date]],"YYYY")</f>
        <v>2024</v>
      </c>
    </row>
    <row r="1819" spans="1:14" x14ac:dyDescent="0.25">
      <c r="A1819" s="1">
        <v>45572</v>
      </c>
      <c r="B1819" t="s">
        <v>26</v>
      </c>
      <c r="C1819" t="s">
        <v>33</v>
      </c>
      <c r="D1819">
        <v>28585</v>
      </c>
      <c r="E1819">
        <v>27293</v>
      </c>
      <c r="F1819">
        <v>1292</v>
      </c>
      <c r="G1819" t="s">
        <v>38</v>
      </c>
      <c r="H1819" t="s">
        <v>60</v>
      </c>
      <c r="I1819" t="s">
        <v>15</v>
      </c>
      <c r="J1819" s="2">
        <f>Table1[[#This Row],[Profit]]/Table1[[#This Row],[Sales]]*100</f>
        <v>4.5198530697918491</v>
      </c>
      <c r="K1819" t="str">
        <f>IF(Table1[[#This Row],[Sales]]&gt;=30000,"High", IF(Table1[[#This Row],[Sales]]&gt;=15000,"Medium","Low"))</f>
        <v>Medium</v>
      </c>
      <c r="L1819" t="str">
        <f>TEXT(Table1[[#This Row],[Order_Date]],"MMM")</f>
        <v>Oct</v>
      </c>
      <c r="M1819" t="str">
        <f>IF(Table1[[#This Row],[Profit]]&gt;=10000,"Excellent",IF(Table1[[#This Row],[Profit]]&gt;5000,"Good","Low"))</f>
        <v>Low</v>
      </c>
      <c r="N1819" t="str">
        <f>TEXT(Table1[[#This Row],[Order_Date]],"YYYY")</f>
        <v>2024</v>
      </c>
    </row>
    <row r="1820" spans="1:14" x14ac:dyDescent="0.25">
      <c r="A1820" s="1">
        <v>45543</v>
      </c>
      <c r="B1820" t="s">
        <v>11</v>
      </c>
      <c r="C1820" t="s">
        <v>41</v>
      </c>
      <c r="D1820">
        <v>49209</v>
      </c>
      <c r="E1820">
        <v>42963</v>
      </c>
      <c r="F1820">
        <v>6246</v>
      </c>
      <c r="G1820" t="s">
        <v>19</v>
      </c>
      <c r="H1820" t="s">
        <v>60</v>
      </c>
      <c r="I1820" t="s">
        <v>24</v>
      </c>
      <c r="J1820" s="2">
        <f>Table1[[#This Row],[Profit]]/Table1[[#This Row],[Sales]]*100</f>
        <v>12.692800097543133</v>
      </c>
      <c r="K1820" t="str">
        <f>IF(Table1[[#This Row],[Sales]]&gt;=30000,"High", IF(Table1[[#This Row],[Sales]]&gt;=15000,"Medium","Low"))</f>
        <v>High</v>
      </c>
      <c r="L1820" t="str">
        <f>TEXT(Table1[[#This Row],[Order_Date]],"MMM")</f>
        <v>Sep</v>
      </c>
      <c r="M1820" t="str">
        <f>IF(Table1[[#This Row],[Profit]]&gt;=10000,"Excellent",IF(Table1[[#This Row],[Profit]]&gt;5000,"Good","Low"))</f>
        <v>Good</v>
      </c>
      <c r="N1820" t="str">
        <f>TEXT(Table1[[#This Row],[Order_Date]],"YYYY")</f>
        <v>2024</v>
      </c>
    </row>
    <row r="1821" spans="1:14" x14ac:dyDescent="0.25">
      <c r="A1821" s="1">
        <v>45759</v>
      </c>
      <c r="B1821" t="s">
        <v>26</v>
      </c>
      <c r="C1821" t="s">
        <v>36</v>
      </c>
      <c r="D1821">
        <v>8527</v>
      </c>
      <c r="E1821">
        <v>1571</v>
      </c>
      <c r="F1821">
        <v>6956</v>
      </c>
      <c r="G1821" t="s">
        <v>19</v>
      </c>
      <c r="H1821" t="s">
        <v>63</v>
      </c>
      <c r="I1821" t="s">
        <v>29</v>
      </c>
      <c r="J1821" s="2">
        <f>Table1[[#This Row],[Profit]]/Table1[[#This Row],[Sales]]*100</f>
        <v>81.576169813533483</v>
      </c>
      <c r="K1821" t="str">
        <f>IF(Table1[[#This Row],[Sales]]&gt;=30000,"High", IF(Table1[[#This Row],[Sales]]&gt;=15000,"Medium","Low"))</f>
        <v>Low</v>
      </c>
      <c r="L1821" t="str">
        <f>TEXT(Table1[[#This Row],[Order_Date]],"MMM")</f>
        <v>Apr</v>
      </c>
      <c r="M1821" t="str">
        <f>IF(Table1[[#This Row],[Profit]]&gt;=10000,"Excellent",IF(Table1[[#This Row],[Profit]]&gt;5000,"Good","Low"))</f>
        <v>Good</v>
      </c>
      <c r="N1821" t="str">
        <f>TEXT(Table1[[#This Row],[Order_Date]],"YYYY")</f>
        <v>2025</v>
      </c>
    </row>
    <row r="1822" spans="1:14" x14ac:dyDescent="0.25">
      <c r="A1822" s="1">
        <v>45325</v>
      </c>
      <c r="B1822" t="s">
        <v>11</v>
      </c>
      <c r="C1822" t="s">
        <v>12</v>
      </c>
      <c r="D1822">
        <v>18819</v>
      </c>
      <c r="E1822">
        <v>12856</v>
      </c>
      <c r="F1822">
        <v>5963</v>
      </c>
      <c r="G1822" t="s">
        <v>19</v>
      </c>
      <c r="H1822" t="s">
        <v>31</v>
      </c>
      <c r="I1822" t="s">
        <v>15</v>
      </c>
      <c r="J1822" s="2">
        <f>Table1[[#This Row],[Profit]]/Table1[[#This Row],[Sales]]*100</f>
        <v>31.686061958658801</v>
      </c>
      <c r="K1822" t="str">
        <f>IF(Table1[[#This Row],[Sales]]&gt;=30000,"High", IF(Table1[[#This Row],[Sales]]&gt;=15000,"Medium","Low"))</f>
        <v>Medium</v>
      </c>
      <c r="L1822" t="str">
        <f>TEXT(Table1[[#This Row],[Order_Date]],"MMM")</f>
        <v>Feb</v>
      </c>
      <c r="M1822" t="str">
        <f>IF(Table1[[#This Row],[Profit]]&gt;=10000,"Excellent",IF(Table1[[#This Row],[Profit]]&gt;5000,"Good","Low"))</f>
        <v>Good</v>
      </c>
      <c r="N1822" t="str">
        <f>TEXT(Table1[[#This Row],[Order_Date]],"YYYY")</f>
        <v>2024</v>
      </c>
    </row>
    <row r="1823" spans="1:14" x14ac:dyDescent="0.25">
      <c r="A1823" s="1">
        <v>45866</v>
      </c>
      <c r="B1823" t="s">
        <v>22</v>
      </c>
      <c r="C1823" t="s">
        <v>41</v>
      </c>
      <c r="D1823">
        <v>45909</v>
      </c>
      <c r="E1823">
        <v>41588</v>
      </c>
      <c r="F1823">
        <v>4321</v>
      </c>
      <c r="G1823" t="s">
        <v>13</v>
      </c>
      <c r="H1823" t="s">
        <v>14</v>
      </c>
      <c r="I1823" t="s">
        <v>29</v>
      </c>
      <c r="J1823" s="2">
        <f>Table1[[#This Row],[Profit]]/Table1[[#This Row],[Sales]]*100</f>
        <v>9.4120978457383089</v>
      </c>
      <c r="K1823" t="str">
        <f>IF(Table1[[#This Row],[Sales]]&gt;=30000,"High", IF(Table1[[#This Row],[Sales]]&gt;=15000,"Medium","Low"))</f>
        <v>High</v>
      </c>
      <c r="L1823" t="str">
        <f>TEXT(Table1[[#This Row],[Order_Date]],"MMM")</f>
        <v>Jul</v>
      </c>
      <c r="M1823" t="str">
        <f>IF(Table1[[#This Row],[Profit]]&gt;=10000,"Excellent",IF(Table1[[#This Row],[Profit]]&gt;5000,"Good","Low"))</f>
        <v>Low</v>
      </c>
      <c r="N1823" t="str">
        <f>TEXT(Table1[[#This Row],[Order_Date]],"YYYY")</f>
        <v>2025</v>
      </c>
    </row>
    <row r="1824" spans="1:14" x14ac:dyDescent="0.25">
      <c r="A1824" s="1">
        <v>45363</v>
      </c>
      <c r="B1824" t="s">
        <v>11</v>
      </c>
      <c r="C1824" t="s">
        <v>18</v>
      </c>
      <c r="D1824">
        <v>47972</v>
      </c>
      <c r="E1824">
        <v>42406</v>
      </c>
      <c r="F1824">
        <v>5566</v>
      </c>
      <c r="G1824" t="s">
        <v>27</v>
      </c>
      <c r="H1824" t="s">
        <v>20</v>
      </c>
      <c r="I1824" t="s">
        <v>29</v>
      </c>
      <c r="J1824" s="2">
        <f>Table1[[#This Row],[Profit]]/Table1[[#This Row],[Sales]]*100</f>
        <v>11.602601517551905</v>
      </c>
      <c r="K1824" t="str">
        <f>IF(Table1[[#This Row],[Sales]]&gt;=30000,"High", IF(Table1[[#This Row],[Sales]]&gt;=15000,"Medium","Low"))</f>
        <v>High</v>
      </c>
      <c r="L1824" t="str">
        <f>TEXT(Table1[[#This Row],[Order_Date]],"MMM")</f>
        <v>Mar</v>
      </c>
      <c r="M1824" t="str">
        <f>IF(Table1[[#This Row],[Profit]]&gt;=10000,"Excellent",IF(Table1[[#This Row],[Profit]]&gt;5000,"Good","Low"))</f>
        <v>Good</v>
      </c>
      <c r="N1824" t="str">
        <f>TEXT(Table1[[#This Row],[Order_Date]],"YYYY")</f>
        <v>2024</v>
      </c>
    </row>
    <row r="1825" spans="1:14" x14ac:dyDescent="0.25">
      <c r="A1825" s="1">
        <v>46007</v>
      </c>
      <c r="B1825" t="s">
        <v>44</v>
      </c>
      <c r="C1825" t="s">
        <v>33</v>
      </c>
      <c r="D1825">
        <v>44023</v>
      </c>
      <c r="E1825">
        <v>38520</v>
      </c>
      <c r="F1825">
        <v>5503</v>
      </c>
      <c r="G1825" t="s">
        <v>13</v>
      </c>
      <c r="H1825" t="s">
        <v>45</v>
      </c>
      <c r="I1825" t="s">
        <v>53</v>
      </c>
      <c r="J1825" s="2">
        <f>Table1[[#This Row],[Profit]]/Table1[[#This Row],[Sales]]*100</f>
        <v>12.500283942484611</v>
      </c>
      <c r="K1825" t="str">
        <f>IF(Table1[[#This Row],[Sales]]&gt;=30000,"High", IF(Table1[[#This Row],[Sales]]&gt;=15000,"Medium","Low"))</f>
        <v>High</v>
      </c>
      <c r="L1825" t="str">
        <f>TEXT(Table1[[#This Row],[Order_Date]],"MMM")</f>
        <v>Dec</v>
      </c>
      <c r="M1825" t="str">
        <f>IF(Table1[[#This Row],[Profit]]&gt;=10000,"Excellent",IF(Table1[[#This Row],[Profit]]&gt;5000,"Good","Low"))</f>
        <v>Good</v>
      </c>
      <c r="N1825" t="str">
        <f>TEXT(Table1[[#This Row],[Order_Date]],"YYYY")</f>
        <v>2025</v>
      </c>
    </row>
    <row r="1826" spans="1:14" x14ac:dyDescent="0.25">
      <c r="A1826" s="1">
        <v>45357</v>
      </c>
      <c r="B1826" t="s">
        <v>44</v>
      </c>
      <c r="C1826" t="s">
        <v>41</v>
      </c>
      <c r="D1826">
        <v>17274</v>
      </c>
      <c r="E1826">
        <v>4361</v>
      </c>
      <c r="F1826">
        <v>12913</v>
      </c>
      <c r="G1826" t="s">
        <v>13</v>
      </c>
      <c r="H1826" t="s">
        <v>14</v>
      </c>
      <c r="I1826" t="s">
        <v>24</v>
      </c>
      <c r="J1826" s="2">
        <f>Table1[[#This Row],[Profit]]/Table1[[#This Row],[Sales]]*100</f>
        <v>74.753965497279154</v>
      </c>
      <c r="K1826" t="str">
        <f>IF(Table1[[#This Row],[Sales]]&gt;=30000,"High", IF(Table1[[#This Row],[Sales]]&gt;=15000,"Medium","Low"))</f>
        <v>Medium</v>
      </c>
      <c r="L1826" t="str">
        <f>TEXT(Table1[[#This Row],[Order_Date]],"MMM")</f>
        <v>Mar</v>
      </c>
      <c r="M1826" t="str">
        <f>IF(Table1[[#This Row],[Profit]]&gt;=10000,"Excellent",IF(Table1[[#This Row],[Profit]]&gt;5000,"Good","Low"))</f>
        <v>Excellent</v>
      </c>
      <c r="N1826" t="str">
        <f>TEXT(Table1[[#This Row],[Order_Date]],"YYYY")</f>
        <v>2024</v>
      </c>
    </row>
    <row r="1827" spans="1:14" x14ac:dyDescent="0.25">
      <c r="A1827" s="1">
        <v>45749</v>
      </c>
      <c r="B1827" t="s">
        <v>26</v>
      </c>
      <c r="C1827" t="s">
        <v>18</v>
      </c>
      <c r="D1827">
        <v>28262</v>
      </c>
      <c r="E1827">
        <v>22007</v>
      </c>
      <c r="F1827">
        <v>6255</v>
      </c>
      <c r="G1827" t="s">
        <v>19</v>
      </c>
      <c r="H1827" t="s">
        <v>31</v>
      </c>
      <c r="I1827" t="s">
        <v>42</v>
      </c>
      <c r="J1827" s="2">
        <f>Table1[[#This Row],[Profit]]/Table1[[#This Row],[Sales]]*100</f>
        <v>22.132191635411509</v>
      </c>
      <c r="K1827" t="str">
        <f>IF(Table1[[#This Row],[Sales]]&gt;=30000,"High", IF(Table1[[#This Row],[Sales]]&gt;=15000,"Medium","Low"))</f>
        <v>Medium</v>
      </c>
      <c r="L1827" t="str">
        <f>TEXT(Table1[[#This Row],[Order_Date]],"MMM")</f>
        <v>Apr</v>
      </c>
      <c r="M1827" t="str">
        <f>IF(Table1[[#This Row],[Profit]]&gt;=10000,"Excellent",IF(Table1[[#This Row],[Profit]]&gt;5000,"Good","Low"))</f>
        <v>Good</v>
      </c>
      <c r="N1827" t="str">
        <f>TEXT(Table1[[#This Row],[Order_Date]],"YYYY")</f>
        <v>2025</v>
      </c>
    </row>
    <row r="1828" spans="1:14" x14ac:dyDescent="0.25">
      <c r="A1828" s="1">
        <v>45887</v>
      </c>
      <c r="B1828" t="s">
        <v>44</v>
      </c>
      <c r="C1828" t="s">
        <v>18</v>
      </c>
      <c r="D1828">
        <v>23501</v>
      </c>
      <c r="E1828">
        <v>8896</v>
      </c>
      <c r="F1828">
        <v>14605</v>
      </c>
      <c r="G1828" t="s">
        <v>27</v>
      </c>
      <c r="H1828" t="s">
        <v>78</v>
      </c>
      <c r="I1828" t="s">
        <v>15</v>
      </c>
      <c r="J1828" s="2">
        <f>Table1[[#This Row],[Profit]]/Table1[[#This Row],[Sales]]*100</f>
        <v>62.146291647163956</v>
      </c>
      <c r="K1828" t="str">
        <f>IF(Table1[[#This Row],[Sales]]&gt;=30000,"High", IF(Table1[[#This Row],[Sales]]&gt;=15000,"Medium","Low"))</f>
        <v>Medium</v>
      </c>
      <c r="L1828" t="str">
        <f>TEXT(Table1[[#This Row],[Order_Date]],"MMM")</f>
        <v>Aug</v>
      </c>
      <c r="M1828" t="str">
        <f>IF(Table1[[#This Row],[Profit]]&gt;=10000,"Excellent",IF(Table1[[#This Row],[Profit]]&gt;5000,"Good","Low"))</f>
        <v>Excellent</v>
      </c>
      <c r="N1828" t="str">
        <f>TEXT(Table1[[#This Row],[Order_Date]],"YYYY")</f>
        <v>2025</v>
      </c>
    </row>
    <row r="1829" spans="1:14" x14ac:dyDescent="0.25">
      <c r="A1829" s="1">
        <v>45255</v>
      </c>
      <c r="B1829" t="s">
        <v>26</v>
      </c>
      <c r="C1829" t="s">
        <v>36</v>
      </c>
      <c r="D1829">
        <v>39692</v>
      </c>
      <c r="E1829">
        <v>28618</v>
      </c>
      <c r="F1829">
        <v>11074</v>
      </c>
      <c r="G1829" t="s">
        <v>19</v>
      </c>
      <c r="H1829" t="s">
        <v>14</v>
      </c>
      <c r="I1829" t="s">
        <v>15</v>
      </c>
      <c r="J1829" s="2">
        <f>Table1[[#This Row],[Profit]]/Table1[[#This Row],[Sales]]*100</f>
        <v>27.899828680842486</v>
      </c>
      <c r="K1829" t="str">
        <f>IF(Table1[[#This Row],[Sales]]&gt;=30000,"High", IF(Table1[[#This Row],[Sales]]&gt;=15000,"Medium","Low"))</f>
        <v>High</v>
      </c>
      <c r="L1829" t="str">
        <f>TEXT(Table1[[#This Row],[Order_Date]],"MMM")</f>
        <v>Nov</v>
      </c>
      <c r="M1829" t="str">
        <f>IF(Table1[[#This Row],[Profit]]&gt;=10000,"Excellent",IF(Table1[[#This Row],[Profit]]&gt;5000,"Good","Low"))</f>
        <v>Excellent</v>
      </c>
      <c r="N1829" t="str">
        <f>TEXT(Table1[[#This Row],[Order_Date]],"YYYY")</f>
        <v>2023</v>
      </c>
    </row>
    <row r="1830" spans="1:14" x14ac:dyDescent="0.25">
      <c r="A1830" s="1">
        <v>45254</v>
      </c>
      <c r="B1830" t="s">
        <v>17</v>
      </c>
      <c r="C1830" t="s">
        <v>33</v>
      </c>
      <c r="D1830">
        <v>33060</v>
      </c>
      <c r="E1830">
        <v>31376</v>
      </c>
      <c r="F1830">
        <v>1684</v>
      </c>
      <c r="G1830" t="s">
        <v>19</v>
      </c>
      <c r="H1830" t="s">
        <v>23</v>
      </c>
      <c r="I1830" t="s">
        <v>15</v>
      </c>
      <c r="J1830" s="2">
        <f>Table1[[#This Row],[Profit]]/Table1[[#This Row],[Sales]]*100</f>
        <v>5.0937689050211743</v>
      </c>
      <c r="K1830" t="str">
        <f>IF(Table1[[#This Row],[Sales]]&gt;=30000,"High", IF(Table1[[#This Row],[Sales]]&gt;=15000,"Medium","Low"))</f>
        <v>High</v>
      </c>
      <c r="L1830" t="str">
        <f>TEXT(Table1[[#This Row],[Order_Date]],"MMM")</f>
        <v>Nov</v>
      </c>
      <c r="M1830" t="str">
        <f>IF(Table1[[#This Row],[Profit]]&gt;=10000,"Excellent",IF(Table1[[#This Row],[Profit]]&gt;5000,"Good","Low"))</f>
        <v>Low</v>
      </c>
      <c r="N1830" t="str">
        <f>TEXT(Table1[[#This Row],[Order_Date]],"YYYY")</f>
        <v>2023</v>
      </c>
    </row>
    <row r="1831" spans="1:14" x14ac:dyDescent="0.25">
      <c r="A1831" s="1">
        <v>45340</v>
      </c>
      <c r="B1831" t="s">
        <v>17</v>
      </c>
      <c r="C1831" t="s">
        <v>33</v>
      </c>
      <c r="D1831">
        <v>7940</v>
      </c>
      <c r="E1831">
        <v>1198</v>
      </c>
      <c r="F1831">
        <v>6742</v>
      </c>
      <c r="G1831" t="s">
        <v>13</v>
      </c>
      <c r="H1831" t="s">
        <v>45</v>
      </c>
      <c r="I1831" t="s">
        <v>29</v>
      </c>
      <c r="J1831" s="2">
        <f>Table1[[#This Row],[Profit]]/Table1[[#This Row],[Sales]]*100</f>
        <v>84.911838790931995</v>
      </c>
      <c r="K1831" t="str">
        <f>IF(Table1[[#This Row],[Sales]]&gt;=30000,"High", IF(Table1[[#This Row],[Sales]]&gt;=15000,"Medium","Low"))</f>
        <v>Low</v>
      </c>
      <c r="L1831" t="str">
        <f>TEXT(Table1[[#This Row],[Order_Date]],"MMM")</f>
        <v>Feb</v>
      </c>
      <c r="M1831" t="str">
        <f>IF(Table1[[#This Row],[Profit]]&gt;=10000,"Excellent",IF(Table1[[#This Row],[Profit]]&gt;5000,"Good","Low"))</f>
        <v>Good</v>
      </c>
      <c r="N1831" t="str">
        <f>TEXT(Table1[[#This Row],[Order_Date]],"YYYY")</f>
        <v>2024</v>
      </c>
    </row>
    <row r="1832" spans="1:14" x14ac:dyDescent="0.25">
      <c r="A1832" s="1">
        <v>46090</v>
      </c>
      <c r="B1832" t="s">
        <v>17</v>
      </c>
      <c r="C1832" t="s">
        <v>33</v>
      </c>
      <c r="D1832">
        <v>7736</v>
      </c>
      <c r="E1832">
        <v>6926</v>
      </c>
      <c r="F1832">
        <v>810</v>
      </c>
      <c r="G1832" t="s">
        <v>27</v>
      </c>
      <c r="H1832" t="s">
        <v>14</v>
      </c>
      <c r="I1832" t="s">
        <v>15</v>
      </c>
      <c r="J1832" s="2">
        <f>Table1[[#This Row],[Profit]]/Table1[[#This Row],[Sales]]*100</f>
        <v>10.470527404343329</v>
      </c>
      <c r="K1832" t="str">
        <f>IF(Table1[[#This Row],[Sales]]&gt;=30000,"High", IF(Table1[[#This Row],[Sales]]&gt;=15000,"Medium","Low"))</f>
        <v>Low</v>
      </c>
      <c r="L1832" t="str">
        <f>TEXT(Table1[[#This Row],[Order_Date]],"MMM")</f>
        <v>Mar</v>
      </c>
      <c r="M1832" t="str">
        <f>IF(Table1[[#This Row],[Profit]]&gt;=10000,"Excellent",IF(Table1[[#This Row],[Profit]]&gt;5000,"Good","Low"))</f>
        <v>Low</v>
      </c>
      <c r="N1832" t="str">
        <f>TEXT(Table1[[#This Row],[Order_Date]],"YYYY")</f>
        <v>2026</v>
      </c>
    </row>
    <row r="1833" spans="1:14" x14ac:dyDescent="0.25">
      <c r="A1833" s="1">
        <v>45485</v>
      </c>
      <c r="B1833" t="s">
        <v>17</v>
      </c>
      <c r="C1833" t="s">
        <v>41</v>
      </c>
      <c r="D1833">
        <v>17006</v>
      </c>
      <c r="E1833">
        <v>14725</v>
      </c>
      <c r="F1833">
        <v>2281</v>
      </c>
      <c r="G1833" t="s">
        <v>19</v>
      </c>
      <c r="H1833" t="s">
        <v>34</v>
      </c>
      <c r="I1833" t="s">
        <v>24</v>
      </c>
      <c r="J1833" s="2">
        <f>Table1[[#This Row],[Profit]]/Table1[[#This Row],[Sales]]*100</f>
        <v>13.412913089497824</v>
      </c>
      <c r="K1833" t="str">
        <f>IF(Table1[[#This Row],[Sales]]&gt;=30000,"High", IF(Table1[[#This Row],[Sales]]&gt;=15000,"Medium","Low"))</f>
        <v>Medium</v>
      </c>
      <c r="L1833" t="str">
        <f>TEXT(Table1[[#This Row],[Order_Date]],"MMM")</f>
        <v>Jul</v>
      </c>
      <c r="M1833" t="str">
        <f>IF(Table1[[#This Row],[Profit]]&gt;=10000,"Excellent",IF(Table1[[#This Row],[Profit]]&gt;5000,"Good","Low"))</f>
        <v>Low</v>
      </c>
      <c r="N1833" t="str">
        <f>TEXT(Table1[[#This Row],[Order_Date]],"YYYY")</f>
        <v>2024</v>
      </c>
    </row>
    <row r="1834" spans="1:14" x14ac:dyDescent="0.25">
      <c r="A1834" s="1">
        <v>46059</v>
      </c>
      <c r="B1834" t="s">
        <v>22</v>
      </c>
      <c r="C1834" t="s">
        <v>12</v>
      </c>
      <c r="D1834">
        <v>46749</v>
      </c>
      <c r="E1834">
        <v>35363</v>
      </c>
      <c r="F1834">
        <v>11386</v>
      </c>
      <c r="G1834" t="s">
        <v>19</v>
      </c>
      <c r="H1834" t="s">
        <v>45</v>
      </c>
      <c r="I1834" t="s">
        <v>24</v>
      </c>
      <c r="J1834" s="2">
        <f>Table1[[#This Row],[Profit]]/Table1[[#This Row],[Sales]]*100</f>
        <v>24.355601189330255</v>
      </c>
      <c r="K1834" t="str">
        <f>IF(Table1[[#This Row],[Sales]]&gt;=30000,"High", IF(Table1[[#This Row],[Sales]]&gt;=15000,"Medium","Low"))</f>
        <v>High</v>
      </c>
      <c r="L1834" t="str">
        <f>TEXT(Table1[[#This Row],[Order_Date]],"MMM")</f>
        <v>Feb</v>
      </c>
      <c r="M1834" t="str">
        <f>IF(Table1[[#This Row],[Profit]]&gt;=10000,"Excellent",IF(Table1[[#This Row],[Profit]]&gt;5000,"Good","Low"))</f>
        <v>Excellent</v>
      </c>
      <c r="N1834" t="str">
        <f>TEXT(Table1[[#This Row],[Order_Date]],"YYYY")</f>
        <v>2026</v>
      </c>
    </row>
    <row r="1835" spans="1:14" x14ac:dyDescent="0.25">
      <c r="A1835" s="1">
        <v>45699</v>
      </c>
      <c r="B1835" t="s">
        <v>22</v>
      </c>
      <c r="C1835" t="s">
        <v>12</v>
      </c>
      <c r="D1835">
        <v>26590</v>
      </c>
      <c r="E1835">
        <v>10350</v>
      </c>
      <c r="F1835">
        <v>16240</v>
      </c>
      <c r="G1835" t="s">
        <v>27</v>
      </c>
      <c r="H1835" t="s">
        <v>60</v>
      </c>
      <c r="I1835" t="s">
        <v>42</v>
      </c>
      <c r="J1835" s="2">
        <f>Table1[[#This Row],[Profit]]/Table1[[#This Row],[Sales]]*100</f>
        <v>61.075592327942843</v>
      </c>
      <c r="K1835" t="str">
        <f>IF(Table1[[#This Row],[Sales]]&gt;=30000,"High", IF(Table1[[#This Row],[Sales]]&gt;=15000,"Medium","Low"))</f>
        <v>Medium</v>
      </c>
      <c r="L1835" t="str">
        <f>TEXT(Table1[[#This Row],[Order_Date]],"MMM")</f>
        <v>Feb</v>
      </c>
      <c r="M1835" t="str">
        <f>IF(Table1[[#This Row],[Profit]]&gt;=10000,"Excellent",IF(Table1[[#This Row],[Profit]]&gt;5000,"Good","Low"))</f>
        <v>Excellent</v>
      </c>
      <c r="N1835" t="str">
        <f>TEXT(Table1[[#This Row],[Order_Date]],"YYYY")</f>
        <v>2025</v>
      </c>
    </row>
    <row r="1836" spans="1:14" x14ac:dyDescent="0.25">
      <c r="A1836" s="1">
        <v>45872</v>
      </c>
      <c r="B1836" t="s">
        <v>17</v>
      </c>
      <c r="C1836" t="s">
        <v>18</v>
      </c>
      <c r="D1836">
        <v>22909</v>
      </c>
      <c r="E1836">
        <v>14752</v>
      </c>
      <c r="F1836">
        <v>8157</v>
      </c>
      <c r="G1836" t="s">
        <v>38</v>
      </c>
      <c r="H1836" t="s">
        <v>34</v>
      </c>
      <c r="I1836" t="s">
        <v>15</v>
      </c>
      <c r="J1836" s="2">
        <f>Table1[[#This Row],[Profit]]/Table1[[#This Row],[Sales]]*100</f>
        <v>35.6060936749749</v>
      </c>
      <c r="K1836" t="str">
        <f>IF(Table1[[#This Row],[Sales]]&gt;=30000,"High", IF(Table1[[#This Row],[Sales]]&gt;=15000,"Medium","Low"))</f>
        <v>Medium</v>
      </c>
      <c r="L1836" t="str">
        <f>TEXT(Table1[[#This Row],[Order_Date]],"MMM")</f>
        <v>Aug</v>
      </c>
      <c r="M1836" t="str">
        <f>IF(Table1[[#This Row],[Profit]]&gt;=10000,"Excellent",IF(Table1[[#This Row],[Profit]]&gt;5000,"Good","Low"))</f>
        <v>Good</v>
      </c>
      <c r="N1836" t="str">
        <f>TEXT(Table1[[#This Row],[Order_Date]],"YYYY")</f>
        <v>2025</v>
      </c>
    </row>
    <row r="1837" spans="1:14" x14ac:dyDescent="0.25">
      <c r="A1837" s="1">
        <v>45887</v>
      </c>
      <c r="B1837" t="s">
        <v>44</v>
      </c>
      <c r="C1837" t="s">
        <v>33</v>
      </c>
      <c r="D1837">
        <v>12469</v>
      </c>
      <c r="E1837">
        <v>2182</v>
      </c>
      <c r="F1837">
        <v>10287</v>
      </c>
      <c r="G1837" t="s">
        <v>19</v>
      </c>
      <c r="H1837" t="s">
        <v>45</v>
      </c>
      <c r="I1837" t="s">
        <v>42</v>
      </c>
      <c r="J1837" s="2">
        <f>Table1[[#This Row],[Profit]]/Table1[[#This Row],[Sales]]*100</f>
        <v>82.500601491699413</v>
      </c>
      <c r="K1837" t="str">
        <f>IF(Table1[[#This Row],[Sales]]&gt;=30000,"High", IF(Table1[[#This Row],[Sales]]&gt;=15000,"Medium","Low"))</f>
        <v>Low</v>
      </c>
      <c r="L1837" t="str">
        <f>TEXT(Table1[[#This Row],[Order_Date]],"MMM")</f>
        <v>Aug</v>
      </c>
      <c r="M1837" t="str">
        <f>IF(Table1[[#This Row],[Profit]]&gt;=10000,"Excellent",IF(Table1[[#This Row],[Profit]]&gt;5000,"Good","Low"))</f>
        <v>Excellent</v>
      </c>
      <c r="N1837" t="str">
        <f>TEXT(Table1[[#This Row],[Order_Date]],"YYYY")</f>
        <v>2025</v>
      </c>
    </row>
    <row r="1838" spans="1:14" x14ac:dyDescent="0.25">
      <c r="A1838" s="1">
        <v>45911</v>
      </c>
      <c r="B1838" t="s">
        <v>11</v>
      </c>
      <c r="C1838" t="s">
        <v>41</v>
      </c>
      <c r="D1838">
        <v>16923</v>
      </c>
      <c r="E1838">
        <v>12432</v>
      </c>
      <c r="F1838">
        <v>4491</v>
      </c>
      <c r="G1838" t="s">
        <v>13</v>
      </c>
      <c r="H1838" t="s">
        <v>78</v>
      </c>
      <c r="I1838" t="s">
        <v>15</v>
      </c>
      <c r="J1838" s="2">
        <f>Table1[[#This Row],[Profit]]/Table1[[#This Row],[Sales]]*100</f>
        <v>26.53784789930863</v>
      </c>
      <c r="K1838" t="str">
        <f>IF(Table1[[#This Row],[Sales]]&gt;=30000,"High", IF(Table1[[#This Row],[Sales]]&gt;=15000,"Medium","Low"))</f>
        <v>Medium</v>
      </c>
      <c r="L1838" t="str">
        <f>TEXT(Table1[[#This Row],[Order_Date]],"MMM")</f>
        <v>Sep</v>
      </c>
      <c r="M1838" t="str">
        <f>IF(Table1[[#This Row],[Profit]]&gt;=10000,"Excellent",IF(Table1[[#This Row],[Profit]]&gt;5000,"Good","Low"))</f>
        <v>Low</v>
      </c>
      <c r="N1838" t="str">
        <f>TEXT(Table1[[#This Row],[Order_Date]],"YYYY")</f>
        <v>2025</v>
      </c>
    </row>
    <row r="1839" spans="1:14" x14ac:dyDescent="0.25">
      <c r="A1839" s="1">
        <v>45795</v>
      </c>
      <c r="B1839" t="s">
        <v>22</v>
      </c>
      <c r="C1839" t="s">
        <v>41</v>
      </c>
      <c r="D1839">
        <v>24910</v>
      </c>
      <c r="E1839">
        <v>20859</v>
      </c>
      <c r="F1839">
        <v>4051</v>
      </c>
      <c r="G1839" t="s">
        <v>19</v>
      </c>
      <c r="H1839" t="s">
        <v>14</v>
      </c>
      <c r="I1839" t="s">
        <v>15</v>
      </c>
      <c r="J1839" s="2">
        <f>Table1[[#This Row],[Profit]]/Table1[[#This Row],[Sales]]*100</f>
        <v>16.262545162585308</v>
      </c>
      <c r="K1839" t="str">
        <f>IF(Table1[[#This Row],[Sales]]&gt;=30000,"High", IF(Table1[[#This Row],[Sales]]&gt;=15000,"Medium","Low"))</f>
        <v>Medium</v>
      </c>
      <c r="L1839" t="str">
        <f>TEXT(Table1[[#This Row],[Order_Date]],"MMM")</f>
        <v>May</v>
      </c>
      <c r="M1839" t="str">
        <f>IF(Table1[[#This Row],[Profit]]&gt;=10000,"Excellent",IF(Table1[[#This Row],[Profit]]&gt;5000,"Good","Low"))</f>
        <v>Low</v>
      </c>
      <c r="N1839" t="str">
        <f>TEXT(Table1[[#This Row],[Order_Date]],"YYYY")</f>
        <v>2025</v>
      </c>
    </row>
    <row r="1840" spans="1:14" x14ac:dyDescent="0.25">
      <c r="A1840" s="1">
        <v>46174</v>
      </c>
      <c r="B1840" t="s">
        <v>11</v>
      </c>
      <c r="C1840" t="s">
        <v>33</v>
      </c>
      <c r="D1840">
        <v>22352</v>
      </c>
      <c r="E1840">
        <v>15456</v>
      </c>
      <c r="F1840">
        <v>6896</v>
      </c>
      <c r="G1840" t="s">
        <v>27</v>
      </c>
      <c r="H1840" t="s">
        <v>34</v>
      </c>
      <c r="I1840" t="s">
        <v>15</v>
      </c>
      <c r="J1840" s="2">
        <f>Table1[[#This Row],[Profit]]/Table1[[#This Row],[Sales]]*100</f>
        <v>30.851825340014315</v>
      </c>
      <c r="K1840" t="str">
        <f>IF(Table1[[#This Row],[Sales]]&gt;=30000,"High", IF(Table1[[#This Row],[Sales]]&gt;=15000,"Medium","Low"))</f>
        <v>Medium</v>
      </c>
      <c r="L1840" t="str">
        <f>TEXT(Table1[[#This Row],[Order_Date]],"MMM")</f>
        <v>Jun</v>
      </c>
      <c r="M1840" t="str">
        <f>IF(Table1[[#This Row],[Profit]]&gt;=10000,"Excellent",IF(Table1[[#This Row],[Profit]]&gt;5000,"Good","Low"))</f>
        <v>Good</v>
      </c>
      <c r="N1840" t="str">
        <f>TEXT(Table1[[#This Row],[Order_Date]],"YYYY")</f>
        <v>2026</v>
      </c>
    </row>
    <row r="1841" spans="1:14" x14ac:dyDescent="0.25">
      <c r="A1841" s="1">
        <v>45826</v>
      </c>
      <c r="B1841" t="s">
        <v>26</v>
      </c>
      <c r="C1841" t="s">
        <v>12</v>
      </c>
      <c r="D1841">
        <v>46196</v>
      </c>
      <c r="E1841">
        <v>42549</v>
      </c>
      <c r="F1841">
        <v>3647</v>
      </c>
      <c r="G1841" t="s">
        <v>27</v>
      </c>
      <c r="H1841" t="s">
        <v>28</v>
      </c>
      <c r="I1841" t="s">
        <v>53</v>
      </c>
      <c r="J1841" s="2">
        <f>Table1[[#This Row],[Profit]]/Table1[[#This Row],[Sales]]*100</f>
        <v>7.8946229110745518</v>
      </c>
      <c r="K1841" t="str">
        <f>IF(Table1[[#This Row],[Sales]]&gt;=30000,"High", IF(Table1[[#This Row],[Sales]]&gt;=15000,"Medium","Low"))</f>
        <v>High</v>
      </c>
      <c r="L1841" t="str">
        <f>TEXT(Table1[[#This Row],[Order_Date]],"MMM")</f>
        <v>Jun</v>
      </c>
      <c r="M1841" t="str">
        <f>IF(Table1[[#This Row],[Profit]]&gt;=10000,"Excellent",IF(Table1[[#This Row],[Profit]]&gt;5000,"Good","Low"))</f>
        <v>Low</v>
      </c>
      <c r="N1841" t="str">
        <f>TEXT(Table1[[#This Row],[Order_Date]],"YYYY")</f>
        <v>2025</v>
      </c>
    </row>
    <row r="1842" spans="1:14" x14ac:dyDescent="0.25">
      <c r="A1842" s="1">
        <v>45204</v>
      </c>
      <c r="B1842" t="s">
        <v>26</v>
      </c>
      <c r="C1842" t="s">
        <v>33</v>
      </c>
      <c r="D1842">
        <v>48040</v>
      </c>
      <c r="E1842">
        <v>45568</v>
      </c>
      <c r="F1842">
        <v>2472</v>
      </c>
      <c r="G1842" t="s">
        <v>27</v>
      </c>
      <c r="H1842" t="s">
        <v>45</v>
      </c>
      <c r="I1842" t="s">
        <v>29</v>
      </c>
      <c r="J1842" s="2">
        <f>Table1[[#This Row],[Profit]]/Table1[[#This Row],[Sales]]*100</f>
        <v>5.1457119067443795</v>
      </c>
      <c r="K1842" t="str">
        <f>IF(Table1[[#This Row],[Sales]]&gt;=30000,"High", IF(Table1[[#This Row],[Sales]]&gt;=15000,"Medium","Low"))</f>
        <v>High</v>
      </c>
      <c r="L1842" t="str">
        <f>TEXT(Table1[[#This Row],[Order_Date]],"MMM")</f>
        <v>Oct</v>
      </c>
      <c r="M1842" t="str">
        <f>IF(Table1[[#This Row],[Profit]]&gt;=10000,"Excellent",IF(Table1[[#This Row],[Profit]]&gt;5000,"Good","Low"))</f>
        <v>Low</v>
      </c>
      <c r="N1842" t="str">
        <f>TEXT(Table1[[#This Row],[Order_Date]],"YYYY")</f>
        <v>2023</v>
      </c>
    </row>
    <row r="1843" spans="1:14" x14ac:dyDescent="0.25">
      <c r="A1843" s="1">
        <v>45671</v>
      </c>
      <c r="B1843" t="s">
        <v>17</v>
      </c>
      <c r="C1843" t="s">
        <v>41</v>
      </c>
      <c r="D1843">
        <v>42511</v>
      </c>
      <c r="E1843">
        <v>38260</v>
      </c>
      <c r="F1843">
        <v>4251</v>
      </c>
      <c r="G1843" t="s">
        <v>38</v>
      </c>
      <c r="H1843" t="s">
        <v>34</v>
      </c>
      <c r="I1843" t="s">
        <v>15</v>
      </c>
      <c r="J1843" s="2">
        <f>Table1[[#This Row],[Profit]]/Table1[[#This Row],[Sales]]*100</f>
        <v>9.9997647667662495</v>
      </c>
      <c r="K1843" t="str">
        <f>IF(Table1[[#This Row],[Sales]]&gt;=30000,"High", IF(Table1[[#This Row],[Sales]]&gt;=15000,"Medium","Low"))</f>
        <v>High</v>
      </c>
      <c r="L1843" t="str">
        <f>TEXT(Table1[[#This Row],[Order_Date]],"MMM")</f>
        <v>Jan</v>
      </c>
      <c r="M1843" t="str">
        <f>IF(Table1[[#This Row],[Profit]]&gt;=10000,"Excellent",IF(Table1[[#This Row],[Profit]]&gt;5000,"Good","Low"))</f>
        <v>Low</v>
      </c>
      <c r="N1843" t="str">
        <f>TEXT(Table1[[#This Row],[Order_Date]],"YYYY")</f>
        <v>2025</v>
      </c>
    </row>
    <row r="1844" spans="1:14" x14ac:dyDescent="0.25">
      <c r="A1844" s="1">
        <v>45803</v>
      </c>
      <c r="B1844" t="s">
        <v>22</v>
      </c>
      <c r="C1844" t="s">
        <v>36</v>
      </c>
      <c r="D1844">
        <v>42308</v>
      </c>
      <c r="E1844">
        <v>34166</v>
      </c>
      <c r="F1844">
        <v>8142</v>
      </c>
      <c r="G1844" t="s">
        <v>27</v>
      </c>
      <c r="H1844" t="s">
        <v>60</v>
      </c>
      <c r="I1844" t="s">
        <v>53</v>
      </c>
      <c r="J1844" s="2">
        <f>Table1[[#This Row],[Profit]]/Table1[[#This Row],[Sales]]*100</f>
        <v>19.244587312092275</v>
      </c>
      <c r="K1844" t="str">
        <f>IF(Table1[[#This Row],[Sales]]&gt;=30000,"High", IF(Table1[[#This Row],[Sales]]&gt;=15000,"Medium","Low"))</f>
        <v>High</v>
      </c>
      <c r="L1844" t="str">
        <f>TEXT(Table1[[#This Row],[Order_Date]],"MMM")</f>
        <v>May</v>
      </c>
      <c r="M1844" t="str">
        <f>IF(Table1[[#This Row],[Profit]]&gt;=10000,"Excellent",IF(Table1[[#This Row],[Profit]]&gt;5000,"Good","Low"))</f>
        <v>Good</v>
      </c>
      <c r="N1844" t="str">
        <f>TEXT(Table1[[#This Row],[Order_Date]],"YYYY")</f>
        <v>2025</v>
      </c>
    </row>
    <row r="1845" spans="1:14" x14ac:dyDescent="0.25">
      <c r="A1845" s="1">
        <v>45233</v>
      </c>
      <c r="B1845" t="s">
        <v>11</v>
      </c>
      <c r="C1845" t="s">
        <v>41</v>
      </c>
      <c r="D1845">
        <v>45682</v>
      </c>
      <c r="E1845">
        <v>33032</v>
      </c>
      <c r="F1845">
        <v>12650</v>
      </c>
      <c r="G1845" t="s">
        <v>38</v>
      </c>
      <c r="H1845" t="s">
        <v>45</v>
      </c>
      <c r="I1845" t="s">
        <v>24</v>
      </c>
      <c r="J1845" s="2">
        <f>Table1[[#This Row],[Profit]]/Table1[[#This Row],[Sales]]*100</f>
        <v>27.691432073902195</v>
      </c>
      <c r="K1845" t="str">
        <f>IF(Table1[[#This Row],[Sales]]&gt;=30000,"High", IF(Table1[[#This Row],[Sales]]&gt;=15000,"Medium","Low"))</f>
        <v>High</v>
      </c>
      <c r="L1845" t="str">
        <f>TEXT(Table1[[#This Row],[Order_Date]],"MMM")</f>
        <v>Nov</v>
      </c>
      <c r="M1845" t="str">
        <f>IF(Table1[[#This Row],[Profit]]&gt;=10000,"Excellent",IF(Table1[[#This Row],[Profit]]&gt;5000,"Good","Low"))</f>
        <v>Excellent</v>
      </c>
      <c r="N1845" t="str">
        <f>TEXT(Table1[[#This Row],[Order_Date]],"YYYY")</f>
        <v>2023</v>
      </c>
    </row>
    <row r="1846" spans="1:14" x14ac:dyDescent="0.25">
      <c r="A1846" s="1">
        <v>46066</v>
      </c>
      <c r="B1846" t="s">
        <v>22</v>
      </c>
      <c r="C1846" t="s">
        <v>36</v>
      </c>
      <c r="D1846">
        <v>10266</v>
      </c>
      <c r="E1846">
        <v>7844</v>
      </c>
      <c r="F1846">
        <v>2422</v>
      </c>
      <c r="G1846" t="s">
        <v>19</v>
      </c>
      <c r="H1846" t="s">
        <v>63</v>
      </c>
      <c r="I1846" t="s">
        <v>53</v>
      </c>
      <c r="J1846" s="2">
        <f>Table1[[#This Row],[Profit]]/Table1[[#This Row],[Sales]]*100</f>
        <v>23.59244106760179</v>
      </c>
      <c r="K1846" t="str">
        <f>IF(Table1[[#This Row],[Sales]]&gt;=30000,"High", IF(Table1[[#This Row],[Sales]]&gt;=15000,"Medium","Low"))</f>
        <v>Low</v>
      </c>
      <c r="L1846" t="str">
        <f>TEXT(Table1[[#This Row],[Order_Date]],"MMM")</f>
        <v>Feb</v>
      </c>
      <c r="M1846" t="str">
        <f>IF(Table1[[#This Row],[Profit]]&gt;=10000,"Excellent",IF(Table1[[#This Row],[Profit]]&gt;5000,"Good","Low"))</f>
        <v>Low</v>
      </c>
      <c r="N1846" t="str">
        <f>TEXT(Table1[[#This Row],[Order_Date]],"YYYY")</f>
        <v>2026</v>
      </c>
    </row>
    <row r="1847" spans="1:14" x14ac:dyDescent="0.25">
      <c r="A1847" s="1">
        <v>46132</v>
      </c>
      <c r="B1847" t="s">
        <v>22</v>
      </c>
      <c r="C1847" t="s">
        <v>18</v>
      </c>
      <c r="D1847">
        <v>7164</v>
      </c>
      <c r="E1847">
        <v>1999</v>
      </c>
      <c r="F1847">
        <v>5165</v>
      </c>
      <c r="G1847" t="s">
        <v>13</v>
      </c>
      <c r="H1847" t="s">
        <v>14</v>
      </c>
      <c r="I1847" t="s">
        <v>42</v>
      </c>
      <c r="J1847" s="2">
        <f>Table1[[#This Row],[Profit]]/Table1[[#This Row],[Sales]]*100</f>
        <v>72.096594081518703</v>
      </c>
      <c r="K1847" t="str">
        <f>IF(Table1[[#This Row],[Sales]]&gt;=30000,"High", IF(Table1[[#This Row],[Sales]]&gt;=15000,"Medium","Low"))</f>
        <v>Low</v>
      </c>
      <c r="L1847" t="str">
        <f>TEXT(Table1[[#This Row],[Order_Date]],"MMM")</f>
        <v>Apr</v>
      </c>
      <c r="M1847" t="str">
        <f>IF(Table1[[#This Row],[Profit]]&gt;=10000,"Excellent",IF(Table1[[#This Row],[Profit]]&gt;5000,"Good","Low"))</f>
        <v>Good</v>
      </c>
      <c r="N1847" t="str">
        <f>TEXT(Table1[[#This Row],[Order_Date]],"YYYY")</f>
        <v>2026</v>
      </c>
    </row>
    <row r="1848" spans="1:14" x14ac:dyDescent="0.25">
      <c r="A1848" s="1">
        <v>45899</v>
      </c>
      <c r="B1848" t="s">
        <v>22</v>
      </c>
      <c r="C1848" t="s">
        <v>41</v>
      </c>
      <c r="D1848">
        <v>24349</v>
      </c>
      <c r="E1848">
        <v>9967</v>
      </c>
      <c r="F1848">
        <v>14382</v>
      </c>
      <c r="G1848" t="s">
        <v>19</v>
      </c>
      <c r="H1848" t="s">
        <v>20</v>
      </c>
      <c r="I1848" t="s">
        <v>29</v>
      </c>
      <c r="J1848" s="2">
        <f>Table1[[#This Row],[Profit]]/Table1[[#This Row],[Sales]]*100</f>
        <v>59.066080742535632</v>
      </c>
      <c r="K1848" t="str">
        <f>IF(Table1[[#This Row],[Sales]]&gt;=30000,"High", IF(Table1[[#This Row],[Sales]]&gt;=15000,"Medium","Low"))</f>
        <v>Medium</v>
      </c>
      <c r="L1848" t="str">
        <f>TEXT(Table1[[#This Row],[Order_Date]],"MMM")</f>
        <v>Aug</v>
      </c>
      <c r="M1848" t="str">
        <f>IF(Table1[[#This Row],[Profit]]&gt;=10000,"Excellent",IF(Table1[[#This Row],[Profit]]&gt;5000,"Good","Low"))</f>
        <v>Excellent</v>
      </c>
      <c r="N1848" t="str">
        <f>TEXT(Table1[[#This Row],[Order_Date]],"YYYY")</f>
        <v>2025</v>
      </c>
    </row>
    <row r="1849" spans="1:14" x14ac:dyDescent="0.25">
      <c r="A1849" s="1">
        <v>45684</v>
      </c>
      <c r="B1849" t="s">
        <v>17</v>
      </c>
      <c r="C1849" t="s">
        <v>41</v>
      </c>
      <c r="D1849">
        <v>45894</v>
      </c>
      <c r="E1849">
        <v>33258</v>
      </c>
      <c r="F1849">
        <v>12636</v>
      </c>
      <c r="G1849" t="s">
        <v>38</v>
      </c>
      <c r="H1849" t="s">
        <v>45</v>
      </c>
      <c r="I1849" t="s">
        <v>15</v>
      </c>
      <c r="J1849" s="2">
        <f>Table1[[#This Row],[Profit]]/Table1[[#This Row],[Sales]]*100</f>
        <v>27.533010851091642</v>
      </c>
      <c r="K1849" t="str">
        <f>IF(Table1[[#This Row],[Sales]]&gt;=30000,"High", IF(Table1[[#This Row],[Sales]]&gt;=15000,"Medium","Low"))</f>
        <v>High</v>
      </c>
      <c r="L1849" t="str">
        <f>TEXT(Table1[[#This Row],[Order_Date]],"MMM")</f>
        <v>Jan</v>
      </c>
      <c r="M1849" t="str">
        <f>IF(Table1[[#This Row],[Profit]]&gt;=10000,"Excellent",IF(Table1[[#This Row],[Profit]]&gt;5000,"Good","Low"))</f>
        <v>Excellent</v>
      </c>
      <c r="N1849" t="str">
        <f>TEXT(Table1[[#This Row],[Order_Date]],"YYYY")</f>
        <v>2025</v>
      </c>
    </row>
    <row r="1850" spans="1:14" x14ac:dyDescent="0.25">
      <c r="A1850" s="1">
        <v>45681</v>
      </c>
      <c r="B1850" t="s">
        <v>11</v>
      </c>
      <c r="C1850" t="s">
        <v>36</v>
      </c>
      <c r="D1850">
        <v>11101</v>
      </c>
      <c r="E1850">
        <v>2789</v>
      </c>
      <c r="F1850">
        <v>8312</v>
      </c>
      <c r="G1850" t="s">
        <v>38</v>
      </c>
      <c r="H1850" t="s">
        <v>23</v>
      </c>
      <c r="I1850" t="s">
        <v>42</v>
      </c>
      <c r="J1850" s="2">
        <f>Table1[[#This Row],[Profit]]/Table1[[#This Row],[Sales]]*100</f>
        <v>74.876137284929285</v>
      </c>
      <c r="K1850" t="str">
        <f>IF(Table1[[#This Row],[Sales]]&gt;=30000,"High", IF(Table1[[#This Row],[Sales]]&gt;=15000,"Medium","Low"))</f>
        <v>Low</v>
      </c>
      <c r="L1850" t="str">
        <f>TEXT(Table1[[#This Row],[Order_Date]],"MMM")</f>
        <v>Jan</v>
      </c>
      <c r="M1850" t="str">
        <f>IF(Table1[[#This Row],[Profit]]&gt;=10000,"Excellent",IF(Table1[[#This Row],[Profit]]&gt;5000,"Good","Low"))</f>
        <v>Good</v>
      </c>
      <c r="N1850" t="str">
        <f>TEXT(Table1[[#This Row],[Order_Date]],"YYYY")</f>
        <v>2025</v>
      </c>
    </row>
    <row r="1851" spans="1:14" x14ac:dyDescent="0.25">
      <c r="A1851" s="1">
        <v>46132</v>
      </c>
      <c r="B1851" t="s">
        <v>17</v>
      </c>
      <c r="C1851" t="s">
        <v>33</v>
      </c>
      <c r="D1851">
        <v>20166</v>
      </c>
      <c r="E1851">
        <v>395</v>
      </c>
      <c r="F1851">
        <v>19771</v>
      </c>
      <c r="G1851" t="s">
        <v>19</v>
      </c>
      <c r="H1851" t="s">
        <v>28</v>
      </c>
      <c r="I1851" t="s">
        <v>15</v>
      </c>
      <c r="J1851" s="2">
        <f>Table1[[#This Row],[Profit]]/Table1[[#This Row],[Sales]]*100</f>
        <v>98.041257562233469</v>
      </c>
      <c r="K1851" t="str">
        <f>IF(Table1[[#This Row],[Sales]]&gt;=30000,"High", IF(Table1[[#This Row],[Sales]]&gt;=15000,"Medium","Low"))</f>
        <v>Medium</v>
      </c>
      <c r="L1851" t="str">
        <f>TEXT(Table1[[#This Row],[Order_Date]],"MMM")</f>
        <v>Apr</v>
      </c>
      <c r="M1851" t="str">
        <f>IF(Table1[[#This Row],[Profit]]&gt;=10000,"Excellent",IF(Table1[[#This Row],[Profit]]&gt;5000,"Good","Low"))</f>
        <v>Excellent</v>
      </c>
      <c r="N1851" t="str">
        <f>TEXT(Table1[[#This Row],[Order_Date]],"YYYY")</f>
        <v>2026</v>
      </c>
    </row>
    <row r="1852" spans="1:14" x14ac:dyDescent="0.25">
      <c r="A1852" s="1">
        <v>45903</v>
      </c>
      <c r="B1852" t="s">
        <v>44</v>
      </c>
      <c r="C1852" t="s">
        <v>12</v>
      </c>
      <c r="D1852">
        <v>36396</v>
      </c>
      <c r="E1852">
        <v>32289</v>
      </c>
      <c r="F1852">
        <v>4107</v>
      </c>
      <c r="G1852" t="s">
        <v>38</v>
      </c>
      <c r="H1852" t="s">
        <v>60</v>
      </c>
      <c r="I1852" t="s">
        <v>29</v>
      </c>
      <c r="J1852" s="2">
        <f>Table1[[#This Row],[Profit]]/Table1[[#This Row],[Sales]]*100</f>
        <v>11.28420705572041</v>
      </c>
      <c r="K1852" t="str">
        <f>IF(Table1[[#This Row],[Sales]]&gt;=30000,"High", IF(Table1[[#This Row],[Sales]]&gt;=15000,"Medium","Low"))</f>
        <v>High</v>
      </c>
      <c r="L1852" t="str">
        <f>TEXT(Table1[[#This Row],[Order_Date]],"MMM")</f>
        <v>Sep</v>
      </c>
      <c r="M1852" t="str">
        <f>IF(Table1[[#This Row],[Profit]]&gt;=10000,"Excellent",IF(Table1[[#This Row],[Profit]]&gt;5000,"Good","Low"))</f>
        <v>Low</v>
      </c>
      <c r="N1852" t="str">
        <f>TEXT(Table1[[#This Row],[Order_Date]],"YYYY")</f>
        <v>2025</v>
      </c>
    </row>
    <row r="1853" spans="1:14" x14ac:dyDescent="0.25">
      <c r="A1853" s="1">
        <v>45637</v>
      </c>
      <c r="B1853" t="s">
        <v>44</v>
      </c>
      <c r="C1853" t="s">
        <v>41</v>
      </c>
      <c r="D1853">
        <v>7720</v>
      </c>
      <c r="E1853">
        <v>3467</v>
      </c>
      <c r="F1853">
        <v>4253</v>
      </c>
      <c r="G1853" t="s">
        <v>38</v>
      </c>
      <c r="H1853" t="s">
        <v>23</v>
      </c>
      <c r="I1853" t="s">
        <v>24</v>
      </c>
      <c r="J1853" s="2">
        <f>Table1[[#This Row],[Profit]]/Table1[[#This Row],[Sales]]*100</f>
        <v>55.090673575129536</v>
      </c>
      <c r="K1853" t="str">
        <f>IF(Table1[[#This Row],[Sales]]&gt;=30000,"High", IF(Table1[[#This Row],[Sales]]&gt;=15000,"Medium","Low"))</f>
        <v>Low</v>
      </c>
      <c r="L1853" t="str">
        <f>TEXT(Table1[[#This Row],[Order_Date]],"MMM")</f>
        <v>Dec</v>
      </c>
      <c r="M1853" t="str">
        <f>IF(Table1[[#This Row],[Profit]]&gt;=10000,"Excellent",IF(Table1[[#This Row],[Profit]]&gt;5000,"Good","Low"))</f>
        <v>Low</v>
      </c>
      <c r="N1853" t="str">
        <f>TEXT(Table1[[#This Row],[Order_Date]],"YYYY")</f>
        <v>2024</v>
      </c>
    </row>
    <row r="1854" spans="1:14" x14ac:dyDescent="0.25">
      <c r="A1854" s="1">
        <v>46195</v>
      </c>
      <c r="B1854" t="s">
        <v>44</v>
      </c>
      <c r="C1854" t="s">
        <v>12</v>
      </c>
      <c r="D1854">
        <v>10072</v>
      </c>
      <c r="E1854">
        <v>859</v>
      </c>
      <c r="F1854">
        <v>9213</v>
      </c>
      <c r="G1854" t="s">
        <v>38</v>
      </c>
      <c r="H1854" t="s">
        <v>23</v>
      </c>
      <c r="I1854" t="s">
        <v>53</v>
      </c>
      <c r="J1854" s="2">
        <f>Table1[[#This Row],[Profit]]/Table1[[#This Row],[Sales]]*100</f>
        <v>91.471405877680695</v>
      </c>
      <c r="K1854" t="str">
        <f>IF(Table1[[#This Row],[Sales]]&gt;=30000,"High", IF(Table1[[#This Row],[Sales]]&gt;=15000,"Medium","Low"))</f>
        <v>Low</v>
      </c>
      <c r="L1854" t="str">
        <f>TEXT(Table1[[#This Row],[Order_Date]],"MMM")</f>
        <v>Jun</v>
      </c>
      <c r="M1854" t="str">
        <f>IF(Table1[[#This Row],[Profit]]&gt;=10000,"Excellent",IF(Table1[[#This Row],[Profit]]&gt;5000,"Good","Low"))</f>
        <v>Good</v>
      </c>
      <c r="N1854" t="str">
        <f>TEXT(Table1[[#This Row],[Order_Date]],"YYYY")</f>
        <v>2026</v>
      </c>
    </row>
    <row r="1855" spans="1:14" x14ac:dyDescent="0.25">
      <c r="A1855" s="1">
        <v>45744</v>
      </c>
      <c r="B1855" t="s">
        <v>11</v>
      </c>
      <c r="C1855" t="s">
        <v>33</v>
      </c>
      <c r="D1855">
        <v>20146</v>
      </c>
      <c r="E1855">
        <v>3146</v>
      </c>
      <c r="F1855">
        <v>17000</v>
      </c>
      <c r="G1855" t="s">
        <v>38</v>
      </c>
      <c r="H1855" t="s">
        <v>63</v>
      </c>
      <c r="I1855" t="s">
        <v>29</v>
      </c>
      <c r="J1855" s="2">
        <f>Table1[[#This Row],[Profit]]/Table1[[#This Row],[Sales]]*100</f>
        <v>84.383996823190714</v>
      </c>
      <c r="K1855" t="str">
        <f>IF(Table1[[#This Row],[Sales]]&gt;=30000,"High", IF(Table1[[#This Row],[Sales]]&gt;=15000,"Medium","Low"))</f>
        <v>Medium</v>
      </c>
      <c r="L1855" t="str">
        <f>TEXT(Table1[[#This Row],[Order_Date]],"MMM")</f>
        <v>Mar</v>
      </c>
      <c r="M1855" t="str">
        <f>IF(Table1[[#This Row],[Profit]]&gt;=10000,"Excellent",IF(Table1[[#This Row],[Profit]]&gt;5000,"Good","Low"))</f>
        <v>Excellent</v>
      </c>
      <c r="N1855" t="str">
        <f>TEXT(Table1[[#This Row],[Order_Date]],"YYYY")</f>
        <v>2025</v>
      </c>
    </row>
    <row r="1856" spans="1:14" x14ac:dyDescent="0.25">
      <c r="A1856" s="1">
        <v>45721</v>
      </c>
      <c r="B1856" t="s">
        <v>17</v>
      </c>
      <c r="C1856" t="s">
        <v>33</v>
      </c>
      <c r="D1856">
        <v>37828</v>
      </c>
      <c r="E1856">
        <v>24067</v>
      </c>
      <c r="F1856">
        <v>13761</v>
      </c>
      <c r="G1856" t="s">
        <v>19</v>
      </c>
      <c r="H1856" t="s">
        <v>34</v>
      </c>
      <c r="I1856" t="s">
        <v>42</v>
      </c>
      <c r="J1856" s="2">
        <f>Table1[[#This Row],[Profit]]/Table1[[#This Row],[Sales]]*100</f>
        <v>36.377815374854606</v>
      </c>
      <c r="K1856" t="str">
        <f>IF(Table1[[#This Row],[Sales]]&gt;=30000,"High", IF(Table1[[#This Row],[Sales]]&gt;=15000,"Medium","Low"))</f>
        <v>High</v>
      </c>
      <c r="L1856" t="str">
        <f>TEXT(Table1[[#This Row],[Order_Date]],"MMM")</f>
        <v>Mar</v>
      </c>
      <c r="M1856" t="str">
        <f>IF(Table1[[#This Row],[Profit]]&gt;=10000,"Excellent",IF(Table1[[#This Row],[Profit]]&gt;5000,"Good","Low"))</f>
        <v>Excellent</v>
      </c>
      <c r="N1856" t="str">
        <f>TEXT(Table1[[#This Row],[Order_Date]],"YYYY")</f>
        <v>2025</v>
      </c>
    </row>
    <row r="1857" spans="1:14" x14ac:dyDescent="0.25">
      <c r="A1857" s="1">
        <v>45189</v>
      </c>
      <c r="B1857" t="s">
        <v>11</v>
      </c>
      <c r="C1857" t="s">
        <v>33</v>
      </c>
      <c r="D1857">
        <v>42853</v>
      </c>
      <c r="E1857">
        <v>36287</v>
      </c>
      <c r="F1857">
        <v>6566</v>
      </c>
      <c r="G1857" t="s">
        <v>13</v>
      </c>
      <c r="H1857" t="s">
        <v>63</v>
      </c>
      <c r="I1857" t="s">
        <v>15</v>
      </c>
      <c r="J1857" s="2">
        <f>Table1[[#This Row],[Profit]]/Table1[[#This Row],[Sales]]*100</f>
        <v>15.322147807621404</v>
      </c>
      <c r="K1857" t="str">
        <f>IF(Table1[[#This Row],[Sales]]&gt;=30000,"High", IF(Table1[[#This Row],[Sales]]&gt;=15000,"Medium","Low"))</f>
        <v>High</v>
      </c>
      <c r="L1857" t="str">
        <f>TEXT(Table1[[#This Row],[Order_Date]],"MMM")</f>
        <v>Sep</v>
      </c>
      <c r="M1857" t="str">
        <f>IF(Table1[[#This Row],[Profit]]&gt;=10000,"Excellent",IF(Table1[[#This Row],[Profit]]&gt;5000,"Good","Low"))</f>
        <v>Good</v>
      </c>
      <c r="N1857" t="str">
        <f>TEXT(Table1[[#This Row],[Order_Date]],"YYYY")</f>
        <v>2023</v>
      </c>
    </row>
    <row r="1858" spans="1:14" x14ac:dyDescent="0.25">
      <c r="A1858" s="1">
        <v>45229</v>
      </c>
      <c r="B1858" t="s">
        <v>11</v>
      </c>
      <c r="C1858" t="s">
        <v>36</v>
      </c>
      <c r="D1858">
        <v>12787</v>
      </c>
      <c r="E1858">
        <v>11460</v>
      </c>
      <c r="F1858">
        <v>1327</v>
      </c>
      <c r="G1858" t="s">
        <v>19</v>
      </c>
      <c r="H1858" t="s">
        <v>20</v>
      </c>
      <c r="I1858" t="s">
        <v>15</v>
      </c>
      <c r="J1858" s="2">
        <f>Table1[[#This Row],[Profit]]/Table1[[#This Row],[Sales]]*100</f>
        <v>10.377727379369672</v>
      </c>
      <c r="K1858" t="str">
        <f>IF(Table1[[#This Row],[Sales]]&gt;=30000,"High", IF(Table1[[#This Row],[Sales]]&gt;=15000,"Medium","Low"))</f>
        <v>Low</v>
      </c>
      <c r="L1858" t="str">
        <f>TEXT(Table1[[#This Row],[Order_Date]],"MMM")</f>
        <v>Oct</v>
      </c>
      <c r="M1858" t="str">
        <f>IF(Table1[[#This Row],[Profit]]&gt;=10000,"Excellent",IF(Table1[[#This Row],[Profit]]&gt;5000,"Good","Low"))</f>
        <v>Low</v>
      </c>
      <c r="N1858" t="str">
        <f>TEXT(Table1[[#This Row],[Order_Date]],"YYYY")</f>
        <v>2023</v>
      </c>
    </row>
    <row r="1859" spans="1:14" x14ac:dyDescent="0.25">
      <c r="A1859" s="1">
        <v>45610</v>
      </c>
      <c r="B1859" t="s">
        <v>22</v>
      </c>
      <c r="C1859" t="s">
        <v>12</v>
      </c>
      <c r="D1859">
        <v>22191</v>
      </c>
      <c r="E1859">
        <v>7000</v>
      </c>
      <c r="F1859">
        <v>15191</v>
      </c>
      <c r="G1859" t="s">
        <v>38</v>
      </c>
      <c r="H1859" t="s">
        <v>31</v>
      </c>
      <c r="I1859" t="s">
        <v>42</v>
      </c>
      <c r="J1859" s="2">
        <f>Table1[[#This Row],[Profit]]/Table1[[#This Row],[Sales]]*100</f>
        <v>68.45568023072417</v>
      </c>
      <c r="K1859" t="str">
        <f>IF(Table1[[#This Row],[Sales]]&gt;=30000,"High", IF(Table1[[#This Row],[Sales]]&gt;=15000,"Medium","Low"))</f>
        <v>Medium</v>
      </c>
      <c r="L1859" t="str">
        <f>TEXT(Table1[[#This Row],[Order_Date]],"MMM")</f>
        <v>Nov</v>
      </c>
      <c r="M1859" t="str">
        <f>IF(Table1[[#This Row],[Profit]]&gt;=10000,"Excellent",IF(Table1[[#This Row],[Profit]]&gt;5000,"Good","Low"))</f>
        <v>Excellent</v>
      </c>
      <c r="N1859" t="str">
        <f>TEXT(Table1[[#This Row],[Order_Date]],"YYYY")</f>
        <v>2024</v>
      </c>
    </row>
    <row r="1860" spans="1:14" x14ac:dyDescent="0.25">
      <c r="A1860" s="1">
        <v>45702</v>
      </c>
      <c r="B1860" t="s">
        <v>17</v>
      </c>
      <c r="C1860" t="s">
        <v>33</v>
      </c>
      <c r="D1860">
        <v>10822</v>
      </c>
      <c r="E1860">
        <v>1189</v>
      </c>
      <c r="F1860">
        <v>9633</v>
      </c>
      <c r="G1860" t="s">
        <v>38</v>
      </c>
      <c r="H1860" t="s">
        <v>60</v>
      </c>
      <c r="I1860" t="s">
        <v>24</v>
      </c>
      <c r="J1860" s="2">
        <f>Table1[[#This Row],[Profit]]/Table1[[#This Row],[Sales]]*100</f>
        <v>89.013121419330986</v>
      </c>
      <c r="K1860" t="str">
        <f>IF(Table1[[#This Row],[Sales]]&gt;=30000,"High", IF(Table1[[#This Row],[Sales]]&gt;=15000,"Medium","Low"))</f>
        <v>Low</v>
      </c>
      <c r="L1860" t="str">
        <f>TEXT(Table1[[#This Row],[Order_Date]],"MMM")</f>
        <v>Feb</v>
      </c>
      <c r="M1860" t="str">
        <f>IF(Table1[[#This Row],[Profit]]&gt;=10000,"Excellent",IF(Table1[[#This Row],[Profit]]&gt;5000,"Good","Low"))</f>
        <v>Good</v>
      </c>
      <c r="N1860" t="str">
        <f>TEXT(Table1[[#This Row],[Order_Date]],"YYYY")</f>
        <v>2025</v>
      </c>
    </row>
    <row r="1861" spans="1:14" x14ac:dyDescent="0.25">
      <c r="A1861" s="1">
        <v>45152</v>
      </c>
      <c r="B1861" t="s">
        <v>26</v>
      </c>
      <c r="C1861" t="s">
        <v>12</v>
      </c>
      <c r="D1861">
        <v>29403</v>
      </c>
      <c r="E1861">
        <v>12999</v>
      </c>
      <c r="F1861">
        <v>16404</v>
      </c>
      <c r="G1861" t="s">
        <v>38</v>
      </c>
      <c r="H1861" t="s">
        <v>34</v>
      </c>
      <c r="I1861" t="s">
        <v>29</v>
      </c>
      <c r="J1861" s="2">
        <f>Table1[[#This Row],[Profit]]/Table1[[#This Row],[Sales]]*100</f>
        <v>55.790225487195187</v>
      </c>
      <c r="K1861" t="str">
        <f>IF(Table1[[#This Row],[Sales]]&gt;=30000,"High", IF(Table1[[#This Row],[Sales]]&gt;=15000,"Medium","Low"))</f>
        <v>Medium</v>
      </c>
      <c r="L1861" t="str">
        <f>TEXT(Table1[[#This Row],[Order_Date]],"MMM")</f>
        <v>Aug</v>
      </c>
      <c r="M1861" t="str">
        <f>IF(Table1[[#This Row],[Profit]]&gt;=10000,"Excellent",IF(Table1[[#This Row],[Profit]]&gt;5000,"Good","Low"))</f>
        <v>Excellent</v>
      </c>
      <c r="N1861" t="str">
        <f>TEXT(Table1[[#This Row],[Order_Date]],"YYYY")</f>
        <v>2023</v>
      </c>
    </row>
    <row r="1862" spans="1:14" x14ac:dyDescent="0.25">
      <c r="A1862" s="1">
        <v>45713</v>
      </c>
      <c r="B1862" t="s">
        <v>11</v>
      </c>
      <c r="C1862" t="s">
        <v>33</v>
      </c>
      <c r="D1862">
        <v>15682</v>
      </c>
      <c r="E1862">
        <v>10888</v>
      </c>
      <c r="F1862">
        <v>4794</v>
      </c>
      <c r="G1862" t="s">
        <v>27</v>
      </c>
      <c r="H1862" t="s">
        <v>60</v>
      </c>
      <c r="I1862" t="s">
        <v>29</v>
      </c>
      <c r="J1862" s="2">
        <f>Table1[[#This Row],[Profit]]/Table1[[#This Row],[Sales]]*100</f>
        <v>30.570080346894528</v>
      </c>
      <c r="K1862" t="str">
        <f>IF(Table1[[#This Row],[Sales]]&gt;=30000,"High", IF(Table1[[#This Row],[Sales]]&gt;=15000,"Medium","Low"))</f>
        <v>Medium</v>
      </c>
      <c r="L1862" t="str">
        <f>TEXT(Table1[[#This Row],[Order_Date]],"MMM")</f>
        <v>Feb</v>
      </c>
      <c r="M1862" t="str">
        <f>IF(Table1[[#This Row],[Profit]]&gt;=10000,"Excellent",IF(Table1[[#This Row],[Profit]]&gt;5000,"Good","Low"))</f>
        <v>Low</v>
      </c>
      <c r="N1862" t="str">
        <f>TEXT(Table1[[#This Row],[Order_Date]],"YYYY")</f>
        <v>2025</v>
      </c>
    </row>
    <row r="1863" spans="1:14" x14ac:dyDescent="0.25">
      <c r="A1863" s="1">
        <v>45918</v>
      </c>
      <c r="B1863" t="s">
        <v>26</v>
      </c>
      <c r="C1863" t="s">
        <v>36</v>
      </c>
      <c r="D1863">
        <v>41516</v>
      </c>
      <c r="E1863">
        <v>29484</v>
      </c>
      <c r="F1863">
        <v>12032</v>
      </c>
      <c r="G1863" t="s">
        <v>38</v>
      </c>
      <c r="H1863" t="s">
        <v>60</v>
      </c>
      <c r="I1863" t="s">
        <v>53</v>
      </c>
      <c r="J1863" s="2">
        <f>Table1[[#This Row],[Profit]]/Table1[[#This Row],[Sales]]*100</f>
        <v>28.981597456402351</v>
      </c>
      <c r="K1863" t="str">
        <f>IF(Table1[[#This Row],[Sales]]&gt;=30000,"High", IF(Table1[[#This Row],[Sales]]&gt;=15000,"Medium","Low"))</f>
        <v>High</v>
      </c>
      <c r="L1863" t="str">
        <f>TEXT(Table1[[#This Row],[Order_Date]],"MMM")</f>
        <v>Sep</v>
      </c>
      <c r="M1863" t="str">
        <f>IF(Table1[[#This Row],[Profit]]&gt;=10000,"Excellent",IF(Table1[[#This Row],[Profit]]&gt;5000,"Good","Low"))</f>
        <v>Excellent</v>
      </c>
      <c r="N1863" t="str">
        <f>TEXT(Table1[[#This Row],[Order_Date]],"YYYY")</f>
        <v>2025</v>
      </c>
    </row>
    <row r="1864" spans="1:14" x14ac:dyDescent="0.25">
      <c r="A1864" s="1">
        <v>46109</v>
      </c>
      <c r="B1864" t="s">
        <v>26</v>
      </c>
      <c r="C1864" t="s">
        <v>18</v>
      </c>
      <c r="D1864">
        <v>34139</v>
      </c>
      <c r="E1864">
        <v>21257</v>
      </c>
      <c r="F1864">
        <v>12882</v>
      </c>
      <c r="G1864" t="s">
        <v>19</v>
      </c>
      <c r="H1864" t="s">
        <v>60</v>
      </c>
      <c r="I1864" t="s">
        <v>15</v>
      </c>
      <c r="J1864" s="2">
        <f>Table1[[#This Row],[Profit]]/Table1[[#This Row],[Sales]]*100</f>
        <v>37.733969946395618</v>
      </c>
      <c r="K1864" t="str">
        <f>IF(Table1[[#This Row],[Sales]]&gt;=30000,"High", IF(Table1[[#This Row],[Sales]]&gt;=15000,"Medium","Low"))</f>
        <v>High</v>
      </c>
      <c r="L1864" t="str">
        <f>TEXT(Table1[[#This Row],[Order_Date]],"MMM")</f>
        <v>Mar</v>
      </c>
      <c r="M1864" t="str">
        <f>IF(Table1[[#This Row],[Profit]]&gt;=10000,"Excellent",IF(Table1[[#This Row],[Profit]]&gt;5000,"Good","Low"))</f>
        <v>Excellent</v>
      </c>
      <c r="N1864" t="str">
        <f>TEXT(Table1[[#This Row],[Order_Date]],"YYYY")</f>
        <v>2026</v>
      </c>
    </row>
    <row r="1865" spans="1:14" x14ac:dyDescent="0.25">
      <c r="A1865" s="1">
        <v>46205</v>
      </c>
      <c r="B1865" t="s">
        <v>11</v>
      </c>
      <c r="C1865" t="s">
        <v>18</v>
      </c>
      <c r="D1865">
        <v>14619</v>
      </c>
      <c r="E1865">
        <v>3493</v>
      </c>
      <c r="F1865">
        <v>11126</v>
      </c>
      <c r="G1865" t="s">
        <v>19</v>
      </c>
      <c r="H1865" t="s">
        <v>63</v>
      </c>
      <c r="I1865" t="s">
        <v>29</v>
      </c>
      <c r="J1865" s="2">
        <f>Table1[[#This Row],[Profit]]/Table1[[#This Row],[Sales]]*100</f>
        <v>76.106436828784467</v>
      </c>
      <c r="K1865" t="str">
        <f>IF(Table1[[#This Row],[Sales]]&gt;=30000,"High", IF(Table1[[#This Row],[Sales]]&gt;=15000,"Medium","Low"))</f>
        <v>Low</v>
      </c>
      <c r="L1865" t="str">
        <f>TEXT(Table1[[#This Row],[Order_Date]],"MMM")</f>
        <v>Jul</v>
      </c>
      <c r="M1865" t="str">
        <f>IF(Table1[[#This Row],[Profit]]&gt;=10000,"Excellent",IF(Table1[[#This Row],[Profit]]&gt;5000,"Good","Low"))</f>
        <v>Excellent</v>
      </c>
      <c r="N1865" t="str">
        <f>TEXT(Table1[[#This Row],[Order_Date]],"YYYY")</f>
        <v>2026</v>
      </c>
    </row>
    <row r="1866" spans="1:14" x14ac:dyDescent="0.25">
      <c r="A1866" s="1">
        <v>46184</v>
      </c>
      <c r="B1866" t="s">
        <v>17</v>
      </c>
      <c r="C1866" t="s">
        <v>12</v>
      </c>
      <c r="D1866">
        <v>30496</v>
      </c>
      <c r="E1866">
        <v>25224</v>
      </c>
      <c r="F1866">
        <v>5272</v>
      </c>
      <c r="G1866" t="s">
        <v>27</v>
      </c>
      <c r="H1866" t="s">
        <v>14</v>
      </c>
      <c r="I1866" t="s">
        <v>15</v>
      </c>
      <c r="J1866" s="2">
        <f>Table1[[#This Row],[Profit]]/Table1[[#This Row],[Sales]]*100</f>
        <v>17.287513116474294</v>
      </c>
      <c r="K1866" t="str">
        <f>IF(Table1[[#This Row],[Sales]]&gt;=30000,"High", IF(Table1[[#This Row],[Sales]]&gt;=15000,"Medium","Low"))</f>
        <v>High</v>
      </c>
      <c r="L1866" t="str">
        <f>TEXT(Table1[[#This Row],[Order_Date]],"MMM")</f>
        <v>Jun</v>
      </c>
      <c r="M1866" t="str">
        <f>IF(Table1[[#This Row],[Profit]]&gt;=10000,"Excellent",IF(Table1[[#This Row],[Profit]]&gt;5000,"Good","Low"))</f>
        <v>Good</v>
      </c>
      <c r="N1866" t="str">
        <f>TEXT(Table1[[#This Row],[Order_Date]],"YYYY")</f>
        <v>2026</v>
      </c>
    </row>
    <row r="1867" spans="1:14" x14ac:dyDescent="0.25">
      <c r="A1867" s="1">
        <v>45654</v>
      </c>
      <c r="B1867" t="s">
        <v>44</v>
      </c>
      <c r="C1867" t="s">
        <v>18</v>
      </c>
      <c r="D1867">
        <v>41456</v>
      </c>
      <c r="E1867">
        <v>24827</v>
      </c>
      <c r="F1867">
        <v>16629</v>
      </c>
      <c r="G1867" t="s">
        <v>19</v>
      </c>
      <c r="H1867" t="s">
        <v>34</v>
      </c>
      <c r="I1867" t="s">
        <v>29</v>
      </c>
      <c r="J1867" s="2">
        <f>Table1[[#This Row],[Profit]]/Table1[[#This Row],[Sales]]*100</f>
        <v>40.112408336549592</v>
      </c>
      <c r="K1867" t="str">
        <f>IF(Table1[[#This Row],[Sales]]&gt;=30000,"High", IF(Table1[[#This Row],[Sales]]&gt;=15000,"Medium","Low"))</f>
        <v>High</v>
      </c>
      <c r="L1867" t="str">
        <f>TEXT(Table1[[#This Row],[Order_Date]],"MMM")</f>
        <v>Dec</v>
      </c>
      <c r="M1867" t="str">
        <f>IF(Table1[[#This Row],[Profit]]&gt;=10000,"Excellent",IF(Table1[[#This Row],[Profit]]&gt;5000,"Good","Low"))</f>
        <v>Excellent</v>
      </c>
      <c r="N1867" t="str">
        <f>TEXT(Table1[[#This Row],[Order_Date]],"YYYY")</f>
        <v>2024</v>
      </c>
    </row>
    <row r="1868" spans="1:14" x14ac:dyDescent="0.25">
      <c r="A1868" s="1">
        <v>46084</v>
      </c>
      <c r="B1868" t="s">
        <v>11</v>
      </c>
      <c r="C1868" t="s">
        <v>18</v>
      </c>
      <c r="D1868">
        <v>12529</v>
      </c>
      <c r="E1868">
        <v>2786</v>
      </c>
      <c r="F1868">
        <v>9743</v>
      </c>
      <c r="G1868" t="s">
        <v>38</v>
      </c>
      <c r="H1868" t="s">
        <v>78</v>
      </c>
      <c r="I1868" t="s">
        <v>29</v>
      </c>
      <c r="J1868" s="2">
        <f>Table1[[#This Row],[Profit]]/Table1[[#This Row],[Sales]]*100</f>
        <v>77.763588474738611</v>
      </c>
      <c r="K1868" t="str">
        <f>IF(Table1[[#This Row],[Sales]]&gt;=30000,"High", IF(Table1[[#This Row],[Sales]]&gt;=15000,"Medium","Low"))</f>
        <v>Low</v>
      </c>
      <c r="L1868" t="str">
        <f>TEXT(Table1[[#This Row],[Order_Date]],"MMM")</f>
        <v>Mar</v>
      </c>
      <c r="M1868" t="str">
        <f>IF(Table1[[#This Row],[Profit]]&gt;=10000,"Excellent",IF(Table1[[#This Row],[Profit]]&gt;5000,"Good","Low"))</f>
        <v>Good</v>
      </c>
      <c r="N1868" t="str">
        <f>TEXT(Table1[[#This Row],[Order_Date]],"YYYY")</f>
        <v>2026</v>
      </c>
    </row>
    <row r="1869" spans="1:14" x14ac:dyDescent="0.25">
      <c r="A1869" s="1">
        <v>45825</v>
      </c>
      <c r="B1869" t="s">
        <v>17</v>
      </c>
      <c r="C1869" t="s">
        <v>12</v>
      </c>
      <c r="D1869">
        <v>12801</v>
      </c>
      <c r="E1869">
        <v>735</v>
      </c>
      <c r="F1869">
        <v>12066</v>
      </c>
      <c r="G1869" t="s">
        <v>27</v>
      </c>
      <c r="H1869" t="s">
        <v>60</v>
      </c>
      <c r="I1869" t="s">
        <v>42</v>
      </c>
      <c r="J1869" s="2">
        <f>Table1[[#This Row],[Profit]]/Table1[[#This Row],[Sales]]*100</f>
        <v>94.258261073353651</v>
      </c>
      <c r="K1869" t="str">
        <f>IF(Table1[[#This Row],[Sales]]&gt;=30000,"High", IF(Table1[[#This Row],[Sales]]&gt;=15000,"Medium","Low"))</f>
        <v>Low</v>
      </c>
      <c r="L1869" t="str">
        <f>TEXT(Table1[[#This Row],[Order_Date]],"MMM")</f>
        <v>Jun</v>
      </c>
      <c r="M1869" t="str">
        <f>IF(Table1[[#This Row],[Profit]]&gt;=10000,"Excellent",IF(Table1[[#This Row],[Profit]]&gt;5000,"Good","Low"))</f>
        <v>Excellent</v>
      </c>
      <c r="N1869" t="str">
        <f>TEXT(Table1[[#This Row],[Order_Date]],"YYYY")</f>
        <v>2025</v>
      </c>
    </row>
    <row r="1870" spans="1:14" x14ac:dyDescent="0.25">
      <c r="A1870" s="1">
        <v>45831</v>
      </c>
      <c r="B1870" t="s">
        <v>22</v>
      </c>
      <c r="C1870" t="s">
        <v>36</v>
      </c>
      <c r="D1870">
        <v>8337</v>
      </c>
      <c r="E1870">
        <v>2155</v>
      </c>
      <c r="F1870">
        <v>6182</v>
      </c>
      <c r="G1870" t="s">
        <v>13</v>
      </c>
      <c r="H1870" t="s">
        <v>63</v>
      </c>
      <c r="I1870" t="s">
        <v>15</v>
      </c>
      <c r="J1870" s="2">
        <f>Table1[[#This Row],[Profit]]/Table1[[#This Row],[Sales]]*100</f>
        <v>74.151373395705889</v>
      </c>
      <c r="K1870" t="str">
        <f>IF(Table1[[#This Row],[Sales]]&gt;=30000,"High", IF(Table1[[#This Row],[Sales]]&gt;=15000,"Medium","Low"))</f>
        <v>Low</v>
      </c>
      <c r="L1870" t="str">
        <f>TEXT(Table1[[#This Row],[Order_Date]],"MMM")</f>
        <v>Jun</v>
      </c>
      <c r="M1870" t="str">
        <f>IF(Table1[[#This Row],[Profit]]&gt;=10000,"Excellent",IF(Table1[[#This Row],[Profit]]&gt;5000,"Good","Low"))</f>
        <v>Good</v>
      </c>
      <c r="N1870" t="str">
        <f>TEXT(Table1[[#This Row],[Order_Date]],"YYYY")</f>
        <v>2025</v>
      </c>
    </row>
    <row r="1871" spans="1:14" x14ac:dyDescent="0.25">
      <c r="A1871" s="1">
        <v>45797</v>
      </c>
      <c r="B1871" t="s">
        <v>17</v>
      </c>
      <c r="C1871" t="s">
        <v>12</v>
      </c>
      <c r="D1871">
        <v>11081</v>
      </c>
      <c r="E1871">
        <v>3691</v>
      </c>
      <c r="F1871">
        <v>7390</v>
      </c>
      <c r="G1871" t="s">
        <v>13</v>
      </c>
      <c r="H1871" t="s">
        <v>23</v>
      </c>
      <c r="I1871" t="s">
        <v>53</v>
      </c>
      <c r="J1871" s="2">
        <f>Table1[[#This Row],[Profit]]/Table1[[#This Row],[Sales]]*100</f>
        <v>66.690731883404027</v>
      </c>
      <c r="K1871" t="str">
        <f>IF(Table1[[#This Row],[Sales]]&gt;=30000,"High", IF(Table1[[#This Row],[Sales]]&gt;=15000,"Medium","Low"))</f>
        <v>Low</v>
      </c>
      <c r="L1871" t="str">
        <f>TEXT(Table1[[#This Row],[Order_Date]],"MMM")</f>
        <v>May</v>
      </c>
      <c r="M1871" t="str">
        <f>IF(Table1[[#This Row],[Profit]]&gt;=10000,"Excellent",IF(Table1[[#This Row],[Profit]]&gt;5000,"Good","Low"))</f>
        <v>Good</v>
      </c>
      <c r="N1871" t="str">
        <f>TEXT(Table1[[#This Row],[Order_Date]],"YYYY")</f>
        <v>2025</v>
      </c>
    </row>
    <row r="1872" spans="1:14" x14ac:dyDescent="0.25">
      <c r="A1872" s="1">
        <v>46024</v>
      </c>
      <c r="B1872" t="s">
        <v>17</v>
      </c>
      <c r="C1872" t="s">
        <v>41</v>
      </c>
      <c r="D1872">
        <v>30512</v>
      </c>
      <c r="E1872">
        <v>27793</v>
      </c>
      <c r="F1872">
        <v>2719</v>
      </c>
      <c r="G1872" t="s">
        <v>13</v>
      </c>
      <c r="H1872" t="s">
        <v>34</v>
      </c>
      <c r="I1872" t="s">
        <v>42</v>
      </c>
      <c r="J1872" s="2">
        <f>Table1[[#This Row],[Profit]]/Table1[[#This Row],[Sales]]*100</f>
        <v>8.9112480335605664</v>
      </c>
      <c r="K1872" t="str">
        <f>IF(Table1[[#This Row],[Sales]]&gt;=30000,"High", IF(Table1[[#This Row],[Sales]]&gt;=15000,"Medium","Low"))</f>
        <v>High</v>
      </c>
      <c r="L1872" t="str">
        <f>TEXT(Table1[[#This Row],[Order_Date]],"MMM")</f>
        <v>Jan</v>
      </c>
      <c r="M1872" t="str">
        <f>IF(Table1[[#This Row],[Profit]]&gt;=10000,"Excellent",IF(Table1[[#This Row],[Profit]]&gt;5000,"Good","Low"))</f>
        <v>Low</v>
      </c>
      <c r="N1872" t="str">
        <f>TEXT(Table1[[#This Row],[Order_Date]],"YYYY")</f>
        <v>2026</v>
      </c>
    </row>
    <row r="1873" spans="1:14" x14ac:dyDescent="0.25">
      <c r="A1873" s="1">
        <v>45732</v>
      </c>
      <c r="B1873" t="s">
        <v>26</v>
      </c>
      <c r="C1873" t="s">
        <v>41</v>
      </c>
      <c r="D1873">
        <v>32705</v>
      </c>
      <c r="E1873">
        <v>15206</v>
      </c>
      <c r="F1873">
        <v>17499</v>
      </c>
      <c r="G1873" t="s">
        <v>19</v>
      </c>
      <c r="H1873" t="s">
        <v>23</v>
      </c>
      <c r="I1873" t="s">
        <v>15</v>
      </c>
      <c r="J1873" s="2">
        <f>Table1[[#This Row],[Profit]]/Table1[[#This Row],[Sales]]*100</f>
        <v>53.505580186515822</v>
      </c>
      <c r="K1873" t="str">
        <f>IF(Table1[[#This Row],[Sales]]&gt;=30000,"High", IF(Table1[[#This Row],[Sales]]&gt;=15000,"Medium","Low"))</f>
        <v>High</v>
      </c>
      <c r="L1873" t="str">
        <f>TEXT(Table1[[#This Row],[Order_Date]],"MMM")</f>
        <v>Mar</v>
      </c>
      <c r="M1873" t="str">
        <f>IF(Table1[[#This Row],[Profit]]&gt;=10000,"Excellent",IF(Table1[[#This Row],[Profit]]&gt;5000,"Good","Low"))</f>
        <v>Excellent</v>
      </c>
      <c r="N1873" t="str">
        <f>TEXT(Table1[[#This Row],[Order_Date]],"YYYY")</f>
        <v>2025</v>
      </c>
    </row>
    <row r="1874" spans="1:14" x14ac:dyDescent="0.25">
      <c r="A1874" s="1">
        <v>45427</v>
      </c>
      <c r="B1874" t="s">
        <v>17</v>
      </c>
      <c r="C1874" t="s">
        <v>41</v>
      </c>
      <c r="D1874">
        <v>10396</v>
      </c>
      <c r="E1874">
        <v>6918</v>
      </c>
      <c r="F1874">
        <v>3478</v>
      </c>
      <c r="G1874" t="s">
        <v>13</v>
      </c>
      <c r="H1874" t="s">
        <v>20</v>
      </c>
      <c r="I1874" t="s">
        <v>29</v>
      </c>
      <c r="J1874" s="2">
        <f>Table1[[#This Row],[Profit]]/Table1[[#This Row],[Sales]]*100</f>
        <v>33.455175067333592</v>
      </c>
      <c r="K1874" t="str">
        <f>IF(Table1[[#This Row],[Sales]]&gt;=30000,"High", IF(Table1[[#This Row],[Sales]]&gt;=15000,"Medium","Low"))</f>
        <v>Low</v>
      </c>
      <c r="L1874" t="str">
        <f>TEXT(Table1[[#This Row],[Order_Date]],"MMM")</f>
        <v>May</v>
      </c>
      <c r="M1874" t="str">
        <f>IF(Table1[[#This Row],[Profit]]&gt;=10000,"Excellent",IF(Table1[[#This Row],[Profit]]&gt;5000,"Good","Low"))</f>
        <v>Low</v>
      </c>
      <c r="N1874" t="str">
        <f>TEXT(Table1[[#This Row],[Order_Date]],"YYYY")</f>
        <v>2024</v>
      </c>
    </row>
    <row r="1875" spans="1:14" x14ac:dyDescent="0.25">
      <c r="A1875" s="1">
        <v>45610</v>
      </c>
      <c r="B1875" t="s">
        <v>17</v>
      </c>
      <c r="C1875" t="s">
        <v>18</v>
      </c>
      <c r="D1875">
        <v>31863</v>
      </c>
      <c r="E1875">
        <v>25948</v>
      </c>
      <c r="F1875">
        <v>5915</v>
      </c>
      <c r="G1875" t="s">
        <v>38</v>
      </c>
      <c r="H1875" t="s">
        <v>60</v>
      </c>
      <c r="I1875" t="s">
        <v>42</v>
      </c>
      <c r="J1875" s="2">
        <f>Table1[[#This Row],[Profit]]/Table1[[#This Row],[Sales]]*100</f>
        <v>18.563851489188085</v>
      </c>
      <c r="K1875" t="str">
        <f>IF(Table1[[#This Row],[Sales]]&gt;=30000,"High", IF(Table1[[#This Row],[Sales]]&gt;=15000,"Medium","Low"))</f>
        <v>High</v>
      </c>
      <c r="L1875" t="str">
        <f>TEXT(Table1[[#This Row],[Order_Date]],"MMM")</f>
        <v>Nov</v>
      </c>
      <c r="M1875" t="str">
        <f>IF(Table1[[#This Row],[Profit]]&gt;=10000,"Excellent",IF(Table1[[#This Row],[Profit]]&gt;5000,"Good","Low"))</f>
        <v>Good</v>
      </c>
      <c r="N1875" t="str">
        <f>TEXT(Table1[[#This Row],[Order_Date]],"YYYY")</f>
        <v>2024</v>
      </c>
    </row>
    <row r="1876" spans="1:14" x14ac:dyDescent="0.25">
      <c r="A1876" s="1">
        <v>45116</v>
      </c>
      <c r="B1876" t="s">
        <v>11</v>
      </c>
      <c r="C1876" t="s">
        <v>36</v>
      </c>
      <c r="D1876">
        <v>42852</v>
      </c>
      <c r="E1876">
        <v>34911</v>
      </c>
      <c r="F1876">
        <v>7941</v>
      </c>
      <c r="G1876" t="s">
        <v>38</v>
      </c>
      <c r="H1876" t="s">
        <v>60</v>
      </c>
      <c r="I1876" t="s">
        <v>42</v>
      </c>
      <c r="J1876" s="2">
        <f>Table1[[#This Row],[Profit]]/Table1[[#This Row],[Sales]]*100</f>
        <v>18.531223746849623</v>
      </c>
      <c r="K1876" t="str">
        <f>IF(Table1[[#This Row],[Sales]]&gt;=30000,"High", IF(Table1[[#This Row],[Sales]]&gt;=15000,"Medium","Low"))</f>
        <v>High</v>
      </c>
      <c r="L1876" t="str">
        <f>TEXT(Table1[[#This Row],[Order_Date]],"MMM")</f>
        <v>Jul</v>
      </c>
      <c r="M1876" t="str">
        <f>IF(Table1[[#This Row],[Profit]]&gt;=10000,"Excellent",IF(Table1[[#This Row],[Profit]]&gt;5000,"Good","Low"))</f>
        <v>Good</v>
      </c>
      <c r="N1876" t="str">
        <f>TEXT(Table1[[#This Row],[Order_Date]],"YYYY")</f>
        <v>2023</v>
      </c>
    </row>
    <row r="1877" spans="1:14" x14ac:dyDescent="0.25">
      <c r="A1877" s="1">
        <v>45854</v>
      </c>
      <c r="B1877" t="s">
        <v>11</v>
      </c>
      <c r="C1877" t="s">
        <v>33</v>
      </c>
      <c r="D1877">
        <v>5173</v>
      </c>
      <c r="E1877">
        <v>3827</v>
      </c>
      <c r="F1877">
        <v>1346</v>
      </c>
      <c r="G1877" t="s">
        <v>13</v>
      </c>
      <c r="H1877" t="s">
        <v>31</v>
      </c>
      <c r="I1877" t="s">
        <v>24</v>
      </c>
      <c r="J1877" s="2">
        <f>Table1[[#This Row],[Profit]]/Table1[[#This Row],[Sales]]*100</f>
        <v>26.019717765319932</v>
      </c>
      <c r="K1877" t="str">
        <f>IF(Table1[[#This Row],[Sales]]&gt;=30000,"High", IF(Table1[[#This Row],[Sales]]&gt;=15000,"Medium","Low"))</f>
        <v>Low</v>
      </c>
      <c r="L1877" t="str">
        <f>TEXT(Table1[[#This Row],[Order_Date]],"MMM")</f>
        <v>Jul</v>
      </c>
      <c r="M1877" t="str">
        <f>IF(Table1[[#This Row],[Profit]]&gt;=10000,"Excellent",IF(Table1[[#This Row],[Profit]]&gt;5000,"Good","Low"))</f>
        <v>Low</v>
      </c>
      <c r="N1877" t="str">
        <f>TEXT(Table1[[#This Row],[Order_Date]],"YYYY")</f>
        <v>2025</v>
      </c>
    </row>
    <row r="1878" spans="1:14" x14ac:dyDescent="0.25">
      <c r="A1878" s="1">
        <v>45984</v>
      </c>
      <c r="B1878" t="s">
        <v>22</v>
      </c>
      <c r="C1878" t="s">
        <v>36</v>
      </c>
      <c r="D1878">
        <v>44950</v>
      </c>
      <c r="E1878">
        <v>29434</v>
      </c>
      <c r="F1878">
        <v>15516</v>
      </c>
      <c r="G1878" t="s">
        <v>19</v>
      </c>
      <c r="H1878" t="s">
        <v>63</v>
      </c>
      <c r="I1878" t="s">
        <v>15</v>
      </c>
      <c r="J1878" s="2">
        <f>Table1[[#This Row],[Profit]]/Table1[[#This Row],[Sales]]*100</f>
        <v>34.518353726362626</v>
      </c>
      <c r="K1878" t="str">
        <f>IF(Table1[[#This Row],[Sales]]&gt;=30000,"High", IF(Table1[[#This Row],[Sales]]&gt;=15000,"Medium","Low"))</f>
        <v>High</v>
      </c>
      <c r="L1878" t="str">
        <f>TEXT(Table1[[#This Row],[Order_Date]],"MMM")</f>
        <v>Nov</v>
      </c>
      <c r="M1878" t="str">
        <f>IF(Table1[[#This Row],[Profit]]&gt;=10000,"Excellent",IF(Table1[[#This Row],[Profit]]&gt;5000,"Good","Low"))</f>
        <v>Excellent</v>
      </c>
      <c r="N1878" t="str">
        <f>TEXT(Table1[[#This Row],[Order_Date]],"YYYY")</f>
        <v>2025</v>
      </c>
    </row>
    <row r="1879" spans="1:14" x14ac:dyDescent="0.25">
      <c r="A1879" s="1">
        <v>45121</v>
      </c>
      <c r="B1879" t="s">
        <v>26</v>
      </c>
      <c r="C1879" t="s">
        <v>12</v>
      </c>
      <c r="D1879">
        <v>10420</v>
      </c>
      <c r="E1879">
        <v>9527</v>
      </c>
      <c r="F1879">
        <v>893</v>
      </c>
      <c r="G1879" t="s">
        <v>13</v>
      </c>
      <c r="H1879" t="s">
        <v>78</v>
      </c>
      <c r="I1879" t="s">
        <v>24</v>
      </c>
      <c r="J1879" s="2">
        <f>Table1[[#This Row],[Profit]]/Table1[[#This Row],[Sales]]*100</f>
        <v>8.5700575815738969</v>
      </c>
      <c r="K1879" t="str">
        <f>IF(Table1[[#This Row],[Sales]]&gt;=30000,"High", IF(Table1[[#This Row],[Sales]]&gt;=15000,"Medium","Low"))</f>
        <v>Low</v>
      </c>
      <c r="L1879" t="str">
        <f>TEXT(Table1[[#This Row],[Order_Date]],"MMM")</f>
        <v>Jul</v>
      </c>
      <c r="M1879" t="str">
        <f>IF(Table1[[#This Row],[Profit]]&gt;=10000,"Excellent",IF(Table1[[#This Row],[Profit]]&gt;5000,"Good","Low"))</f>
        <v>Low</v>
      </c>
      <c r="N1879" t="str">
        <f>TEXT(Table1[[#This Row],[Order_Date]],"YYYY")</f>
        <v>2023</v>
      </c>
    </row>
    <row r="1880" spans="1:14" x14ac:dyDescent="0.25">
      <c r="A1880" s="1">
        <v>45238</v>
      </c>
      <c r="B1880" t="s">
        <v>22</v>
      </c>
      <c r="C1880" t="s">
        <v>18</v>
      </c>
      <c r="D1880">
        <v>16509</v>
      </c>
      <c r="E1880">
        <v>7256</v>
      </c>
      <c r="F1880">
        <v>9253</v>
      </c>
      <c r="G1880" t="s">
        <v>13</v>
      </c>
      <c r="H1880" t="s">
        <v>28</v>
      </c>
      <c r="I1880" t="s">
        <v>42</v>
      </c>
      <c r="J1880" s="2">
        <f>Table1[[#This Row],[Profit]]/Table1[[#This Row],[Sales]]*100</f>
        <v>56.048216124538129</v>
      </c>
      <c r="K1880" t="str">
        <f>IF(Table1[[#This Row],[Sales]]&gt;=30000,"High", IF(Table1[[#This Row],[Sales]]&gt;=15000,"Medium","Low"))</f>
        <v>Medium</v>
      </c>
      <c r="L1880" t="str">
        <f>TEXT(Table1[[#This Row],[Order_Date]],"MMM")</f>
        <v>Nov</v>
      </c>
      <c r="M1880" t="str">
        <f>IF(Table1[[#This Row],[Profit]]&gt;=10000,"Excellent",IF(Table1[[#This Row],[Profit]]&gt;5000,"Good","Low"))</f>
        <v>Good</v>
      </c>
      <c r="N1880" t="str">
        <f>TEXT(Table1[[#This Row],[Order_Date]],"YYYY")</f>
        <v>2023</v>
      </c>
    </row>
    <row r="1881" spans="1:14" x14ac:dyDescent="0.25">
      <c r="A1881" s="1">
        <v>45422</v>
      </c>
      <c r="B1881" t="s">
        <v>17</v>
      </c>
      <c r="C1881" t="s">
        <v>33</v>
      </c>
      <c r="D1881">
        <v>8778</v>
      </c>
      <c r="E1881">
        <v>1547</v>
      </c>
      <c r="F1881">
        <v>7231</v>
      </c>
      <c r="G1881" t="s">
        <v>13</v>
      </c>
      <c r="H1881" t="s">
        <v>20</v>
      </c>
      <c r="I1881" t="s">
        <v>29</v>
      </c>
      <c r="J1881" s="2">
        <f>Table1[[#This Row],[Profit]]/Table1[[#This Row],[Sales]]*100</f>
        <v>82.376395534290268</v>
      </c>
      <c r="K1881" t="str">
        <f>IF(Table1[[#This Row],[Sales]]&gt;=30000,"High", IF(Table1[[#This Row],[Sales]]&gt;=15000,"Medium","Low"))</f>
        <v>Low</v>
      </c>
      <c r="L1881" t="str">
        <f>TEXT(Table1[[#This Row],[Order_Date]],"MMM")</f>
        <v>May</v>
      </c>
      <c r="M1881" t="str">
        <f>IF(Table1[[#This Row],[Profit]]&gt;=10000,"Excellent",IF(Table1[[#This Row],[Profit]]&gt;5000,"Good","Low"))</f>
        <v>Good</v>
      </c>
      <c r="N1881" t="str">
        <f>TEXT(Table1[[#This Row],[Order_Date]],"YYYY")</f>
        <v>2024</v>
      </c>
    </row>
    <row r="1882" spans="1:14" x14ac:dyDescent="0.25">
      <c r="A1882" s="1">
        <v>45450</v>
      </c>
      <c r="B1882" t="s">
        <v>11</v>
      </c>
      <c r="C1882" t="s">
        <v>18</v>
      </c>
      <c r="D1882">
        <v>48456</v>
      </c>
      <c r="E1882">
        <v>38684</v>
      </c>
      <c r="F1882">
        <v>9772</v>
      </c>
      <c r="G1882" t="s">
        <v>19</v>
      </c>
      <c r="H1882" t="s">
        <v>45</v>
      </c>
      <c r="I1882" t="s">
        <v>42</v>
      </c>
      <c r="J1882" s="2">
        <f>Table1[[#This Row],[Profit]]/Table1[[#This Row],[Sales]]*100</f>
        <v>20.166749215783391</v>
      </c>
      <c r="K1882" t="str">
        <f>IF(Table1[[#This Row],[Sales]]&gt;=30000,"High", IF(Table1[[#This Row],[Sales]]&gt;=15000,"Medium","Low"))</f>
        <v>High</v>
      </c>
      <c r="L1882" t="str">
        <f>TEXT(Table1[[#This Row],[Order_Date]],"MMM")</f>
        <v>Jun</v>
      </c>
      <c r="M1882" t="str">
        <f>IF(Table1[[#This Row],[Profit]]&gt;=10000,"Excellent",IF(Table1[[#This Row],[Profit]]&gt;5000,"Good","Low"))</f>
        <v>Good</v>
      </c>
      <c r="N1882" t="str">
        <f>TEXT(Table1[[#This Row],[Order_Date]],"YYYY")</f>
        <v>2024</v>
      </c>
    </row>
    <row r="1883" spans="1:14" x14ac:dyDescent="0.25">
      <c r="A1883" s="1">
        <v>46194</v>
      </c>
      <c r="B1883" t="s">
        <v>26</v>
      </c>
      <c r="C1883" t="s">
        <v>36</v>
      </c>
      <c r="D1883">
        <v>36925</v>
      </c>
      <c r="E1883">
        <v>28348</v>
      </c>
      <c r="F1883">
        <v>8577</v>
      </c>
      <c r="G1883" t="s">
        <v>19</v>
      </c>
      <c r="H1883" t="s">
        <v>14</v>
      </c>
      <c r="I1883" t="s">
        <v>53</v>
      </c>
      <c r="J1883" s="2">
        <f>Table1[[#This Row],[Profit]]/Table1[[#This Row],[Sales]]*100</f>
        <v>23.22816519972918</v>
      </c>
      <c r="K1883" t="str">
        <f>IF(Table1[[#This Row],[Sales]]&gt;=30000,"High", IF(Table1[[#This Row],[Sales]]&gt;=15000,"Medium","Low"))</f>
        <v>High</v>
      </c>
      <c r="L1883" t="str">
        <f>TEXT(Table1[[#This Row],[Order_Date]],"MMM")</f>
        <v>Jun</v>
      </c>
      <c r="M1883" t="str">
        <f>IF(Table1[[#This Row],[Profit]]&gt;=10000,"Excellent",IF(Table1[[#This Row],[Profit]]&gt;5000,"Good","Low"))</f>
        <v>Good</v>
      </c>
      <c r="N1883" t="str">
        <f>TEXT(Table1[[#This Row],[Order_Date]],"YYYY")</f>
        <v>2026</v>
      </c>
    </row>
    <row r="1884" spans="1:14" x14ac:dyDescent="0.25">
      <c r="A1884" s="1">
        <v>45551</v>
      </c>
      <c r="B1884" t="s">
        <v>26</v>
      </c>
      <c r="C1884" t="s">
        <v>12</v>
      </c>
      <c r="D1884">
        <v>15015</v>
      </c>
      <c r="E1884">
        <v>227</v>
      </c>
      <c r="F1884">
        <v>14788</v>
      </c>
      <c r="G1884" t="s">
        <v>27</v>
      </c>
      <c r="H1884" t="s">
        <v>31</v>
      </c>
      <c r="I1884" t="s">
        <v>24</v>
      </c>
      <c r="J1884" s="2">
        <f>Table1[[#This Row],[Profit]]/Table1[[#This Row],[Sales]]*100</f>
        <v>98.488178488178491</v>
      </c>
      <c r="K1884" t="str">
        <f>IF(Table1[[#This Row],[Sales]]&gt;=30000,"High", IF(Table1[[#This Row],[Sales]]&gt;=15000,"Medium","Low"))</f>
        <v>Medium</v>
      </c>
      <c r="L1884" t="str">
        <f>TEXT(Table1[[#This Row],[Order_Date]],"MMM")</f>
        <v>Sep</v>
      </c>
      <c r="M1884" t="str">
        <f>IF(Table1[[#This Row],[Profit]]&gt;=10000,"Excellent",IF(Table1[[#This Row],[Profit]]&gt;5000,"Good","Low"))</f>
        <v>Excellent</v>
      </c>
      <c r="N1884" t="str">
        <f>TEXT(Table1[[#This Row],[Order_Date]],"YYYY")</f>
        <v>2024</v>
      </c>
    </row>
    <row r="1885" spans="1:14" x14ac:dyDescent="0.25">
      <c r="A1885" s="1">
        <v>46048</v>
      </c>
      <c r="B1885" t="s">
        <v>17</v>
      </c>
      <c r="C1885" t="s">
        <v>12</v>
      </c>
      <c r="D1885">
        <v>33268</v>
      </c>
      <c r="E1885">
        <v>30804</v>
      </c>
      <c r="F1885">
        <v>2464</v>
      </c>
      <c r="G1885" t="s">
        <v>27</v>
      </c>
      <c r="H1885" t="s">
        <v>20</v>
      </c>
      <c r="I1885" t="s">
        <v>42</v>
      </c>
      <c r="J1885" s="2">
        <f>Table1[[#This Row],[Profit]]/Table1[[#This Row],[Sales]]*100</f>
        <v>7.4065167728748342</v>
      </c>
      <c r="K1885" t="str">
        <f>IF(Table1[[#This Row],[Sales]]&gt;=30000,"High", IF(Table1[[#This Row],[Sales]]&gt;=15000,"Medium","Low"))</f>
        <v>High</v>
      </c>
      <c r="L1885" t="str">
        <f>TEXT(Table1[[#This Row],[Order_Date]],"MMM")</f>
        <v>Jan</v>
      </c>
      <c r="M1885" t="str">
        <f>IF(Table1[[#This Row],[Profit]]&gt;=10000,"Excellent",IF(Table1[[#This Row],[Profit]]&gt;5000,"Good","Low"))</f>
        <v>Low</v>
      </c>
      <c r="N1885" t="str">
        <f>TEXT(Table1[[#This Row],[Order_Date]],"YYYY")</f>
        <v>2026</v>
      </c>
    </row>
    <row r="1886" spans="1:14" x14ac:dyDescent="0.25">
      <c r="A1886" s="1">
        <v>45274</v>
      </c>
      <c r="B1886" t="s">
        <v>11</v>
      </c>
      <c r="C1886" t="s">
        <v>18</v>
      </c>
      <c r="D1886">
        <v>19593</v>
      </c>
      <c r="E1886">
        <v>17347</v>
      </c>
      <c r="F1886">
        <v>2246</v>
      </c>
      <c r="G1886" t="s">
        <v>13</v>
      </c>
      <c r="H1886" t="s">
        <v>34</v>
      </c>
      <c r="I1886" t="s">
        <v>53</v>
      </c>
      <c r="J1886" s="2">
        <f>Table1[[#This Row],[Profit]]/Table1[[#This Row],[Sales]]*100</f>
        <v>11.463277701219823</v>
      </c>
      <c r="K1886" t="str">
        <f>IF(Table1[[#This Row],[Sales]]&gt;=30000,"High", IF(Table1[[#This Row],[Sales]]&gt;=15000,"Medium","Low"))</f>
        <v>Medium</v>
      </c>
      <c r="L1886" t="str">
        <f>TEXT(Table1[[#This Row],[Order_Date]],"MMM")</f>
        <v>Dec</v>
      </c>
      <c r="M1886" t="str">
        <f>IF(Table1[[#This Row],[Profit]]&gt;=10000,"Excellent",IF(Table1[[#This Row],[Profit]]&gt;5000,"Good","Low"))</f>
        <v>Low</v>
      </c>
      <c r="N1886" t="str">
        <f>TEXT(Table1[[#This Row],[Order_Date]],"YYYY")</f>
        <v>2023</v>
      </c>
    </row>
    <row r="1887" spans="1:14" x14ac:dyDescent="0.25">
      <c r="A1887" s="1">
        <v>45451</v>
      </c>
      <c r="B1887" t="s">
        <v>26</v>
      </c>
      <c r="C1887" t="s">
        <v>18</v>
      </c>
      <c r="D1887">
        <v>7878</v>
      </c>
      <c r="E1887">
        <v>2677</v>
      </c>
      <c r="F1887">
        <v>5201</v>
      </c>
      <c r="G1887" t="s">
        <v>38</v>
      </c>
      <c r="H1887" t="s">
        <v>45</v>
      </c>
      <c r="I1887" t="s">
        <v>53</v>
      </c>
      <c r="J1887" s="2">
        <f>Table1[[#This Row],[Profit]]/Table1[[#This Row],[Sales]]*100</f>
        <v>66.019294237116029</v>
      </c>
      <c r="K1887" t="str">
        <f>IF(Table1[[#This Row],[Sales]]&gt;=30000,"High", IF(Table1[[#This Row],[Sales]]&gt;=15000,"Medium","Low"))</f>
        <v>Low</v>
      </c>
      <c r="L1887" t="str">
        <f>TEXT(Table1[[#This Row],[Order_Date]],"MMM")</f>
        <v>Jun</v>
      </c>
      <c r="M1887" t="str">
        <f>IF(Table1[[#This Row],[Profit]]&gt;=10000,"Excellent",IF(Table1[[#This Row],[Profit]]&gt;5000,"Good","Low"))</f>
        <v>Good</v>
      </c>
      <c r="N1887" t="str">
        <f>TEXT(Table1[[#This Row],[Order_Date]],"YYYY")</f>
        <v>2024</v>
      </c>
    </row>
    <row r="1888" spans="1:14" x14ac:dyDescent="0.25">
      <c r="A1888" s="1">
        <v>46006</v>
      </c>
      <c r="B1888" t="s">
        <v>11</v>
      </c>
      <c r="C1888" t="s">
        <v>12</v>
      </c>
      <c r="D1888">
        <v>24736</v>
      </c>
      <c r="E1888">
        <v>5851</v>
      </c>
      <c r="F1888">
        <v>18885</v>
      </c>
      <c r="G1888" t="s">
        <v>19</v>
      </c>
      <c r="H1888" t="s">
        <v>14</v>
      </c>
      <c r="I1888" t="s">
        <v>53</v>
      </c>
      <c r="J1888" s="2">
        <f>Table1[[#This Row],[Profit]]/Table1[[#This Row],[Sales]]*100</f>
        <v>76.346216041397156</v>
      </c>
      <c r="K1888" t="str">
        <f>IF(Table1[[#This Row],[Sales]]&gt;=30000,"High", IF(Table1[[#This Row],[Sales]]&gt;=15000,"Medium","Low"))</f>
        <v>Medium</v>
      </c>
      <c r="L1888" t="str">
        <f>TEXT(Table1[[#This Row],[Order_Date]],"MMM")</f>
        <v>Dec</v>
      </c>
      <c r="M1888" t="str">
        <f>IF(Table1[[#This Row],[Profit]]&gt;=10000,"Excellent",IF(Table1[[#This Row],[Profit]]&gt;5000,"Good","Low"))</f>
        <v>Excellent</v>
      </c>
      <c r="N1888" t="str">
        <f>TEXT(Table1[[#This Row],[Order_Date]],"YYYY")</f>
        <v>2025</v>
      </c>
    </row>
    <row r="1889" spans="1:14" x14ac:dyDescent="0.25">
      <c r="A1889" s="1">
        <v>46041</v>
      </c>
      <c r="B1889" t="s">
        <v>26</v>
      </c>
      <c r="C1889" t="s">
        <v>41</v>
      </c>
      <c r="D1889">
        <v>33107</v>
      </c>
      <c r="E1889">
        <v>14534</v>
      </c>
      <c r="F1889">
        <v>18573</v>
      </c>
      <c r="G1889" t="s">
        <v>13</v>
      </c>
      <c r="H1889" t="s">
        <v>78</v>
      </c>
      <c r="I1889" t="s">
        <v>42</v>
      </c>
      <c r="J1889" s="2">
        <f>Table1[[#This Row],[Profit]]/Table1[[#This Row],[Sales]]*100</f>
        <v>56.099918446250044</v>
      </c>
      <c r="K1889" t="str">
        <f>IF(Table1[[#This Row],[Sales]]&gt;=30000,"High", IF(Table1[[#This Row],[Sales]]&gt;=15000,"Medium","Low"))</f>
        <v>High</v>
      </c>
      <c r="L1889" t="str">
        <f>TEXT(Table1[[#This Row],[Order_Date]],"MMM")</f>
        <v>Jan</v>
      </c>
      <c r="M1889" t="str">
        <f>IF(Table1[[#This Row],[Profit]]&gt;=10000,"Excellent",IF(Table1[[#This Row],[Profit]]&gt;5000,"Good","Low"))</f>
        <v>Excellent</v>
      </c>
      <c r="N1889" t="str">
        <f>TEXT(Table1[[#This Row],[Order_Date]],"YYYY")</f>
        <v>2026</v>
      </c>
    </row>
    <row r="1890" spans="1:14" x14ac:dyDescent="0.25">
      <c r="A1890" s="1">
        <v>46176</v>
      </c>
      <c r="B1890" t="s">
        <v>44</v>
      </c>
      <c r="C1890" t="s">
        <v>33</v>
      </c>
      <c r="D1890">
        <v>29391</v>
      </c>
      <c r="E1890">
        <v>12910</v>
      </c>
      <c r="F1890">
        <v>16481</v>
      </c>
      <c r="G1890" t="s">
        <v>38</v>
      </c>
      <c r="H1890" t="s">
        <v>20</v>
      </c>
      <c r="I1890" t="s">
        <v>53</v>
      </c>
      <c r="J1890" s="2">
        <f>Table1[[#This Row],[Profit]]/Table1[[#This Row],[Sales]]*100</f>
        <v>56.074988942193194</v>
      </c>
      <c r="K1890" t="str">
        <f>IF(Table1[[#This Row],[Sales]]&gt;=30000,"High", IF(Table1[[#This Row],[Sales]]&gt;=15000,"Medium","Low"))</f>
        <v>Medium</v>
      </c>
      <c r="L1890" t="str">
        <f>TEXT(Table1[[#This Row],[Order_Date]],"MMM")</f>
        <v>Jun</v>
      </c>
      <c r="M1890" t="str">
        <f>IF(Table1[[#This Row],[Profit]]&gt;=10000,"Excellent",IF(Table1[[#This Row],[Profit]]&gt;5000,"Good","Low"))</f>
        <v>Excellent</v>
      </c>
      <c r="N1890" t="str">
        <f>TEXT(Table1[[#This Row],[Order_Date]],"YYYY")</f>
        <v>2026</v>
      </c>
    </row>
    <row r="1891" spans="1:14" x14ac:dyDescent="0.25">
      <c r="A1891" s="1">
        <v>45617</v>
      </c>
      <c r="B1891" t="s">
        <v>44</v>
      </c>
      <c r="C1891" t="s">
        <v>36</v>
      </c>
      <c r="D1891">
        <v>32947</v>
      </c>
      <c r="E1891">
        <v>21602</v>
      </c>
      <c r="F1891">
        <v>11345</v>
      </c>
      <c r="G1891" t="s">
        <v>38</v>
      </c>
      <c r="H1891" t="s">
        <v>20</v>
      </c>
      <c r="I1891" t="s">
        <v>42</v>
      </c>
      <c r="J1891" s="2">
        <f>Table1[[#This Row],[Profit]]/Table1[[#This Row],[Sales]]*100</f>
        <v>34.434091116034843</v>
      </c>
      <c r="K1891" t="str">
        <f>IF(Table1[[#This Row],[Sales]]&gt;=30000,"High", IF(Table1[[#This Row],[Sales]]&gt;=15000,"Medium","Low"))</f>
        <v>High</v>
      </c>
      <c r="L1891" t="str">
        <f>TEXT(Table1[[#This Row],[Order_Date]],"MMM")</f>
        <v>Nov</v>
      </c>
      <c r="M1891" t="str">
        <f>IF(Table1[[#This Row],[Profit]]&gt;=10000,"Excellent",IF(Table1[[#This Row],[Profit]]&gt;5000,"Good","Low"))</f>
        <v>Excellent</v>
      </c>
      <c r="N1891" t="str">
        <f>TEXT(Table1[[#This Row],[Order_Date]],"YYYY")</f>
        <v>2024</v>
      </c>
    </row>
    <row r="1892" spans="1:14" x14ac:dyDescent="0.25">
      <c r="A1892" s="1">
        <v>46142</v>
      </c>
      <c r="B1892" t="s">
        <v>26</v>
      </c>
      <c r="C1892" t="s">
        <v>41</v>
      </c>
      <c r="D1892">
        <v>21208</v>
      </c>
      <c r="E1892">
        <v>9480</v>
      </c>
      <c r="F1892">
        <v>11728</v>
      </c>
      <c r="G1892" t="s">
        <v>19</v>
      </c>
      <c r="H1892" t="s">
        <v>63</v>
      </c>
      <c r="I1892" t="s">
        <v>15</v>
      </c>
      <c r="J1892" s="2">
        <f>Table1[[#This Row],[Profit]]/Table1[[#This Row],[Sales]]*100</f>
        <v>55.299886835156542</v>
      </c>
      <c r="K1892" t="str">
        <f>IF(Table1[[#This Row],[Sales]]&gt;=30000,"High", IF(Table1[[#This Row],[Sales]]&gt;=15000,"Medium","Low"))</f>
        <v>Medium</v>
      </c>
      <c r="L1892" t="str">
        <f>TEXT(Table1[[#This Row],[Order_Date]],"MMM")</f>
        <v>Apr</v>
      </c>
      <c r="M1892" t="str">
        <f>IF(Table1[[#This Row],[Profit]]&gt;=10000,"Excellent",IF(Table1[[#This Row],[Profit]]&gt;5000,"Good","Low"))</f>
        <v>Excellent</v>
      </c>
      <c r="N1892" t="str">
        <f>TEXT(Table1[[#This Row],[Order_Date]],"YYYY")</f>
        <v>2026</v>
      </c>
    </row>
    <row r="1893" spans="1:14" x14ac:dyDescent="0.25">
      <c r="A1893" s="1">
        <v>45388</v>
      </c>
      <c r="B1893" t="s">
        <v>44</v>
      </c>
      <c r="C1893" t="s">
        <v>41</v>
      </c>
      <c r="D1893">
        <v>42477</v>
      </c>
      <c r="E1893">
        <v>27665</v>
      </c>
      <c r="F1893">
        <v>14812</v>
      </c>
      <c r="G1893" t="s">
        <v>19</v>
      </c>
      <c r="H1893" t="s">
        <v>34</v>
      </c>
      <c r="I1893" t="s">
        <v>53</v>
      </c>
      <c r="J1893" s="2">
        <f>Table1[[#This Row],[Profit]]/Table1[[#This Row],[Sales]]*100</f>
        <v>34.870635873531555</v>
      </c>
      <c r="K1893" t="str">
        <f>IF(Table1[[#This Row],[Sales]]&gt;=30000,"High", IF(Table1[[#This Row],[Sales]]&gt;=15000,"Medium","Low"))</f>
        <v>High</v>
      </c>
      <c r="L1893" t="str">
        <f>TEXT(Table1[[#This Row],[Order_Date]],"MMM")</f>
        <v>Apr</v>
      </c>
      <c r="M1893" t="str">
        <f>IF(Table1[[#This Row],[Profit]]&gt;=10000,"Excellent",IF(Table1[[#This Row],[Profit]]&gt;5000,"Good","Low"))</f>
        <v>Excellent</v>
      </c>
      <c r="N1893" t="str">
        <f>TEXT(Table1[[#This Row],[Order_Date]],"YYYY")</f>
        <v>2024</v>
      </c>
    </row>
    <row r="1894" spans="1:14" x14ac:dyDescent="0.25">
      <c r="A1894" s="1">
        <v>45361</v>
      </c>
      <c r="B1894" t="s">
        <v>22</v>
      </c>
      <c r="C1894" t="s">
        <v>18</v>
      </c>
      <c r="D1894">
        <v>7303</v>
      </c>
      <c r="E1894">
        <v>5491</v>
      </c>
      <c r="F1894">
        <v>1812</v>
      </c>
      <c r="G1894" t="s">
        <v>13</v>
      </c>
      <c r="H1894" t="s">
        <v>78</v>
      </c>
      <c r="I1894" t="s">
        <v>42</v>
      </c>
      <c r="J1894" s="2">
        <f>Table1[[#This Row],[Profit]]/Table1[[#This Row],[Sales]]*100</f>
        <v>24.811721210461453</v>
      </c>
      <c r="K1894" t="str">
        <f>IF(Table1[[#This Row],[Sales]]&gt;=30000,"High", IF(Table1[[#This Row],[Sales]]&gt;=15000,"Medium","Low"))</f>
        <v>Low</v>
      </c>
      <c r="L1894" t="str">
        <f>TEXT(Table1[[#This Row],[Order_Date]],"MMM")</f>
        <v>Mar</v>
      </c>
      <c r="M1894" t="str">
        <f>IF(Table1[[#This Row],[Profit]]&gt;=10000,"Excellent",IF(Table1[[#This Row],[Profit]]&gt;5000,"Good","Low"))</f>
        <v>Low</v>
      </c>
      <c r="N1894" t="str">
        <f>TEXT(Table1[[#This Row],[Order_Date]],"YYYY")</f>
        <v>2024</v>
      </c>
    </row>
    <row r="1895" spans="1:14" x14ac:dyDescent="0.25">
      <c r="A1895" s="1">
        <v>45129</v>
      </c>
      <c r="B1895" t="s">
        <v>26</v>
      </c>
      <c r="C1895" t="s">
        <v>36</v>
      </c>
      <c r="D1895">
        <v>29509</v>
      </c>
      <c r="E1895">
        <v>26717</v>
      </c>
      <c r="F1895">
        <v>2792</v>
      </c>
      <c r="G1895" t="s">
        <v>19</v>
      </c>
      <c r="H1895" t="s">
        <v>45</v>
      </c>
      <c r="I1895" t="s">
        <v>53</v>
      </c>
      <c r="J1895" s="2">
        <f>Table1[[#This Row],[Profit]]/Table1[[#This Row],[Sales]]*100</f>
        <v>9.4615202141719479</v>
      </c>
      <c r="K1895" t="str">
        <f>IF(Table1[[#This Row],[Sales]]&gt;=30000,"High", IF(Table1[[#This Row],[Sales]]&gt;=15000,"Medium","Low"))</f>
        <v>Medium</v>
      </c>
      <c r="L1895" t="str">
        <f>TEXT(Table1[[#This Row],[Order_Date]],"MMM")</f>
        <v>Jul</v>
      </c>
      <c r="M1895" t="str">
        <f>IF(Table1[[#This Row],[Profit]]&gt;=10000,"Excellent",IF(Table1[[#This Row],[Profit]]&gt;5000,"Good","Low"))</f>
        <v>Low</v>
      </c>
      <c r="N1895" t="str">
        <f>TEXT(Table1[[#This Row],[Order_Date]],"YYYY")</f>
        <v>2023</v>
      </c>
    </row>
    <row r="1896" spans="1:14" x14ac:dyDescent="0.25">
      <c r="A1896" s="1">
        <v>45891</v>
      </c>
      <c r="B1896" t="s">
        <v>17</v>
      </c>
      <c r="C1896" t="s">
        <v>12</v>
      </c>
      <c r="D1896">
        <v>47739</v>
      </c>
      <c r="E1896">
        <v>43380</v>
      </c>
      <c r="F1896">
        <v>4359</v>
      </c>
      <c r="G1896" t="s">
        <v>19</v>
      </c>
      <c r="H1896" t="s">
        <v>20</v>
      </c>
      <c r="I1896" t="s">
        <v>24</v>
      </c>
      <c r="J1896" s="2">
        <f>Table1[[#This Row],[Profit]]/Table1[[#This Row],[Sales]]*100</f>
        <v>9.1308992647520881</v>
      </c>
      <c r="K1896" t="str">
        <f>IF(Table1[[#This Row],[Sales]]&gt;=30000,"High", IF(Table1[[#This Row],[Sales]]&gt;=15000,"Medium","Low"))</f>
        <v>High</v>
      </c>
      <c r="L1896" t="str">
        <f>TEXT(Table1[[#This Row],[Order_Date]],"MMM")</f>
        <v>Aug</v>
      </c>
      <c r="M1896" t="str">
        <f>IF(Table1[[#This Row],[Profit]]&gt;=10000,"Excellent",IF(Table1[[#This Row],[Profit]]&gt;5000,"Good","Low"))</f>
        <v>Low</v>
      </c>
      <c r="N1896" t="str">
        <f>TEXT(Table1[[#This Row],[Order_Date]],"YYYY")</f>
        <v>2025</v>
      </c>
    </row>
    <row r="1897" spans="1:14" x14ac:dyDescent="0.25">
      <c r="A1897" s="1">
        <v>45517</v>
      </c>
      <c r="B1897" t="s">
        <v>17</v>
      </c>
      <c r="C1897" t="s">
        <v>36</v>
      </c>
      <c r="D1897">
        <v>39368</v>
      </c>
      <c r="E1897">
        <v>20004</v>
      </c>
      <c r="F1897">
        <v>19364</v>
      </c>
      <c r="G1897" t="s">
        <v>27</v>
      </c>
      <c r="H1897" t="s">
        <v>63</v>
      </c>
      <c r="I1897" t="s">
        <v>24</v>
      </c>
      <c r="J1897" s="2">
        <f>Table1[[#This Row],[Profit]]/Table1[[#This Row],[Sales]]*100</f>
        <v>49.187157081893922</v>
      </c>
      <c r="K1897" t="str">
        <f>IF(Table1[[#This Row],[Sales]]&gt;=30000,"High", IF(Table1[[#This Row],[Sales]]&gt;=15000,"Medium","Low"))</f>
        <v>High</v>
      </c>
      <c r="L1897" t="str">
        <f>TEXT(Table1[[#This Row],[Order_Date]],"MMM")</f>
        <v>Aug</v>
      </c>
      <c r="M1897" t="str">
        <f>IF(Table1[[#This Row],[Profit]]&gt;=10000,"Excellent",IF(Table1[[#This Row],[Profit]]&gt;5000,"Good","Low"))</f>
        <v>Excellent</v>
      </c>
      <c r="N1897" t="str">
        <f>TEXT(Table1[[#This Row],[Order_Date]],"YYYY")</f>
        <v>2024</v>
      </c>
    </row>
    <row r="1898" spans="1:14" x14ac:dyDescent="0.25">
      <c r="A1898" s="1">
        <v>45797</v>
      </c>
      <c r="B1898" t="s">
        <v>44</v>
      </c>
      <c r="C1898" t="s">
        <v>41</v>
      </c>
      <c r="D1898">
        <v>14237</v>
      </c>
      <c r="E1898">
        <v>10861</v>
      </c>
      <c r="F1898">
        <v>3376</v>
      </c>
      <c r="G1898" t="s">
        <v>13</v>
      </c>
      <c r="H1898" t="s">
        <v>63</v>
      </c>
      <c r="I1898" t="s">
        <v>53</v>
      </c>
      <c r="J1898" s="2">
        <f>Table1[[#This Row],[Profit]]/Table1[[#This Row],[Sales]]*100</f>
        <v>23.712860855517313</v>
      </c>
      <c r="K1898" t="str">
        <f>IF(Table1[[#This Row],[Sales]]&gt;=30000,"High", IF(Table1[[#This Row],[Sales]]&gt;=15000,"Medium","Low"))</f>
        <v>Low</v>
      </c>
      <c r="L1898" t="str">
        <f>TEXT(Table1[[#This Row],[Order_Date]],"MMM")</f>
        <v>May</v>
      </c>
      <c r="M1898" t="str">
        <f>IF(Table1[[#This Row],[Profit]]&gt;=10000,"Excellent",IF(Table1[[#This Row],[Profit]]&gt;5000,"Good","Low"))</f>
        <v>Low</v>
      </c>
      <c r="N1898" t="str">
        <f>TEXT(Table1[[#This Row],[Order_Date]],"YYYY")</f>
        <v>2025</v>
      </c>
    </row>
    <row r="1899" spans="1:14" x14ac:dyDescent="0.25">
      <c r="A1899" s="1">
        <v>45503</v>
      </c>
      <c r="B1899" t="s">
        <v>11</v>
      </c>
      <c r="C1899" t="s">
        <v>33</v>
      </c>
      <c r="D1899">
        <v>21725</v>
      </c>
      <c r="E1899">
        <v>20362</v>
      </c>
      <c r="F1899">
        <v>1363</v>
      </c>
      <c r="G1899" t="s">
        <v>13</v>
      </c>
      <c r="H1899" t="s">
        <v>60</v>
      </c>
      <c r="I1899" t="s">
        <v>24</v>
      </c>
      <c r="J1899" s="2">
        <f>Table1[[#This Row],[Profit]]/Table1[[#This Row],[Sales]]*100</f>
        <v>6.2738780207134637</v>
      </c>
      <c r="K1899" t="str">
        <f>IF(Table1[[#This Row],[Sales]]&gt;=30000,"High", IF(Table1[[#This Row],[Sales]]&gt;=15000,"Medium","Low"))</f>
        <v>Medium</v>
      </c>
      <c r="L1899" t="str">
        <f>TEXT(Table1[[#This Row],[Order_Date]],"MMM")</f>
        <v>Jul</v>
      </c>
      <c r="M1899" t="str">
        <f>IF(Table1[[#This Row],[Profit]]&gt;=10000,"Excellent",IF(Table1[[#This Row],[Profit]]&gt;5000,"Good","Low"))</f>
        <v>Low</v>
      </c>
      <c r="N1899" t="str">
        <f>TEXT(Table1[[#This Row],[Order_Date]],"YYYY")</f>
        <v>2024</v>
      </c>
    </row>
    <row r="1900" spans="1:14" x14ac:dyDescent="0.25">
      <c r="A1900" s="1">
        <v>45777</v>
      </c>
      <c r="B1900" t="s">
        <v>11</v>
      </c>
      <c r="C1900" t="s">
        <v>12</v>
      </c>
      <c r="D1900">
        <v>35723</v>
      </c>
      <c r="E1900">
        <v>33759</v>
      </c>
      <c r="F1900">
        <v>1964</v>
      </c>
      <c r="G1900" t="s">
        <v>27</v>
      </c>
      <c r="H1900" t="s">
        <v>31</v>
      </c>
      <c r="I1900" t="s">
        <v>42</v>
      </c>
      <c r="J1900" s="2">
        <f>Table1[[#This Row],[Profit]]/Table1[[#This Row],[Sales]]*100</f>
        <v>5.497858522520505</v>
      </c>
      <c r="K1900" t="str">
        <f>IF(Table1[[#This Row],[Sales]]&gt;=30000,"High", IF(Table1[[#This Row],[Sales]]&gt;=15000,"Medium","Low"))</f>
        <v>High</v>
      </c>
      <c r="L1900" t="str">
        <f>TEXT(Table1[[#This Row],[Order_Date]],"MMM")</f>
        <v>Apr</v>
      </c>
      <c r="M1900" t="str">
        <f>IF(Table1[[#This Row],[Profit]]&gt;=10000,"Excellent",IF(Table1[[#This Row],[Profit]]&gt;5000,"Good","Low"))</f>
        <v>Low</v>
      </c>
      <c r="N1900" t="str">
        <f>TEXT(Table1[[#This Row],[Order_Date]],"YYYY")</f>
        <v>2025</v>
      </c>
    </row>
    <row r="1901" spans="1:14" x14ac:dyDescent="0.25">
      <c r="A1901" s="1">
        <v>46006</v>
      </c>
      <c r="B1901" t="s">
        <v>26</v>
      </c>
      <c r="C1901" t="s">
        <v>12</v>
      </c>
      <c r="D1901">
        <v>22857</v>
      </c>
      <c r="E1901">
        <v>14198</v>
      </c>
      <c r="F1901">
        <v>8659</v>
      </c>
      <c r="G1901" t="s">
        <v>38</v>
      </c>
      <c r="H1901" t="s">
        <v>63</v>
      </c>
      <c r="I1901" t="s">
        <v>29</v>
      </c>
      <c r="J1901" s="2">
        <f>Table1[[#This Row],[Profit]]/Table1[[#This Row],[Sales]]*100</f>
        <v>37.883361771011067</v>
      </c>
      <c r="K1901" t="str">
        <f>IF(Table1[[#This Row],[Sales]]&gt;=30000,"High", IF(Table1[[#This Row],[Sales]]&gt;=15000,"Medium","Low"))</f>
        <v>Medium</v>
      </c>
      <c r="L1901" t="str">
        <f>TEXT(Table1[[#This Row],[Order_Date]],"MMM")</f>
        <v>Dec</v>
      </c>
      <c r="M1901" t="str">
        <f>IF(Table1[[#This Row],[Profit]]&gt;=10000,"Excellent",IF(Table1[[#This Row],[Profit]]&gt;5000,"Good","Low"))</f>
        <v>Good</v>
      </c>
      <c r="N1901" t="str">
        <f>TEXT(Table1[[#This Row],[Order_Date]],"YYYY")</f>
        <v>2025</v>
      </c>
    </row>
    <row r="1902" spans="1:14" x14ac:dyDescent="0.25">
      <c r="A1902" s="1">
        <v>45903</v>
      </c>
      <c r="B1902" t="s">
        <v>22</v>
      </c>
      <c r="C1902" t="s">
        <v>41</v>
      </c>
      <c r="D1902">
        <v>42916</v>
      </c>
      <c r="E1902">
        <v>25671</v>
      </c>
      <c r="F1902">
        <v>17245</v>
      </c>
      <c r="G1902" t="s">
        <v>27</v>
      </c>
      <c r="H1902" t="s">
        <v>20</v>
      </c>
      <c r="I1902" t="s">
        <v>29</v>
      </c>
      <c r="J1902" s="2">
        <f>Table1[[#This Row],[Profit]]/Table1[[#This Row],[Sales]]*100</f>
        <v>40.183148476092832</v>
      </c>
      <c r="K1902" t="str">
        <f>IF(Table1[[#This Row],[Sales]]&gt;=30000,"High", IF(Table1[[#This Row],[Sales]]&gt;=15000,"Medium","Low"))</f>
        <v>High</v>
      </c>
      <c r="L1902" t="str">
        <f>TEXT(Table1[[#This Row],[Order_Date]],"MMM")</f>
        <v>Sep</v>
      </c>
      <c r="M1902" t="str">
        <f>IF(Table1[[#This Row],[Profit]]&gt;=10000,"Excellent",IF(Table1[[#This Row],[Profit]]&gt;5000,"Good","Low"))</f>
        <v>Excellent</v>
      </c>
      <c r="N1902" t="str">
        <f>TEXT(Table1[[#This Row],[Order_Date]],"YYYY")</f>
        <v>2025</v>
      </c>
    </row>
    <row r="1903" spans="1:14" x14ac:dyDescent="0.25">
      <c r="A1903" s="1">
        <v>46018</v>
      </c>
      <c r="B1903" t="s">
        <v>17</v>
      </c>
      <c r="C1903" t="s">
        <v>33</v>
      </c>
      <c r="D1903">
        <v>11313</v>
      </c>
      <c r="E1903">
        <v>306</v>
      </c>
      <c r="F1903">
        <v>11007</v>
      </c>
      <c r="G1903" t="s">
        <v>19</v>
      </c>
      <c r="H1903" t="s">
        <v>28</v>
      </c>
      <c r="I1903" t="s">
        <v>29</v>
      </c>
      <c r="J1903" s="2">
        <f>Table1[[#This Row],[Profit]]/Table1[[#This Row],[Sales]]*100</f>
        <v>97.29514717581543</v>
      </c>
      <c r="K1903" t="str">
        <f>IF(Table1[[#This Row],[Sales]]&gt;=30000,"High", IF(Table1[[#This Row],[Sales]]&gt;=15000,"Medium","Low"))</f>
        <v>Low</v>
      </c>
      <c r="L1903" t="str">
        <f>TEXT(Table1[[#This Row],[Order_Date]],"MMM")</f>
        <v>Dec</v>
      </c>
      <c r="M1903" t="str">
        <f>IF(Table1[[#This Row],[Profit]]&gt;=10000,"Excellent",IF(Table1[[#This Row],[Profit]]&gt;5000,"Good","Low"))</f>
        <v>Excellent</v>
      </c>
      <c r="N1903" t="str">
        <f>TEXT(Table1[[#This Row],[Order_Date]],"YYYY")</f>
        <v>2025</v>
      </c>
    </row>
    <row r="1904" spans="1:14" x14ac:dyDescent="0.25">
      <c r="A1904" s="1">
        <v>45903</v>
      </c>
      <c r="B1904" t="s">
        <v>17</v>
      </c>
      <c r="C1904" t="s">
        <v>36</v>
      </c>
      <c r="D1904">
        <v>33527</v>
      </c>
      <c r="E1904">
        <v>22634</v>
      </c>
      <c r="F1904">
        <v>10893</v>
      </c>
      <c r="G1904" t="s">
        <v>13</v>
      </c>
      <c r="H1904" t="s">
        <v>78</v>
      </c>
      <c r="I1904" t="s">
        <v>24</v>
      </c>
      <c r="J1904" s="2">
        <f>Table1[[#This Row],[Profit]]/Table1[[#This Row],[Sales]]*100</f>
        <v>32.490231753512091</v>
      </c>
      <c r="K1904" t="str">
        <f>IF(Table1[[#This Row],[Sales]]&gt;=30000,"High", IF(Table1[[#This Row],[Sales]]&gt;=15000,"Medium","Low"))</f>
        <v>High</v>
      </c>
      <c r="L1904" t="str">
        <f>TEXT(Table1[[#This Row],[Order_Date]],"MMM")</f>
        <v>Sep</v>
      </c>
      <c r="M1904" t="str">
        <f>IF(Table1[[#This Row],[Profit]]&gt;=10000,"Excellent",IF(Table1[[#This Row],[Profit]]&gt;5000,"Good","Low"))</f>
        <v>Excellent</v>
      </c>
      <c r="N1904" t="str">
        <f>TEXT(Table1[[#This Row],[Order_Date]],"YYYY")</f>
        <v>2025</v>
      </c>
    </row>
    <row r="1905" spans="1:14" x14ac:dyDescent="0.25">
      <c r="A1905" s="1">
        <v>45267</v>
      </c>
      <c r="B1905" t="s">
        <v>22</v>
      </c>
      <c r="C1905" t="s">
        <v>36</v>
      </c>
      <c r="D1905">
        <v>9211</v>
      </c>
      <c r="E1905">
        <v>3581</v>
      </c>
      <c r="F1905">
        <v>5630</v>
      </c>
      <c r="G1905" t="s">
        <v>38</v>
      </c>
      <c r="H1905" t="s">
        <v>45</v>
      </c>
      <c r="I1905" t="s">
        <v>29</v>
      </c>
      <c r="J1905" s="2">
        <f>Table1[[#This Row],[Profit]]/Table1[[#This Row],[Sales]]*100</f>
        <v>61.122570839213985</v>
      </c>
      <c r="K1905" t="str">
        <f>IF(Table1[[#This Row],[Sales]]&gt;=30000,"High", IF(Table1[[#This Row],[Sales]]&gt;=15000,"Medium","Low"))</f>
        <v>Low</v>
      </c>
      <c r="L1905" t="str">
        <f>TEXT(Table1[[#This Row],[Order_Date]],"MMM")</f>
        <v>Dec</v>
      </c>
      <c r="M1905" t="str">
        <f>IF(Table1[[#This Row],[Profit]]&gt;=10000,"Excellent",IF(Table1[[#This Row],[Profit]]&gt;5000,"Good","Low"))</f>
        <v>Good</v>
      </c>
      <c r="N1905" t="str">
        <f>TEXT(Table1[[#This Row],[Order_Date]],"YYYY")</f>
        <v>2023</v>
      </c>
    </row>
    <row r="1906" spans="1:14" x14ac:dyDescent="0.25">
      <c r="A1906" s="1">
        <v>46196</v>
      </c>
      <c r="B1906" t="s">
        <v>44</v>
      </c>
      <c r="C1906" t="s">
        <v>36</v>
      </c>
      <c r="D1906">
        <v>17275</v>
      </c>
      <c r="E1906">
        <v>9582</v>
      </c>
      <c r="F1906">
        <v>7693</v>
      </c>
      <c r="G1906" t="s">
        <v>13</v>
      </c>
      <c r="H1906" t="s">
        <v>20</v>
      </c>
      <c r="I1906" t="s">
        <v>29</v>
      </c>
      <c r="J1906" s="2">
        <f>Table1[[#This Row],[Profit]]/Table1[[#This Row],[Sales]]*100</f>
        <v>44.532561505065118</v>
      </c>
      <c r="K1906" t="str">
        <f>IF(Table1[[#This Row],[Sales]]&gt;=30000,"High", IF(Table1[[#This Row],[Sales]]&gt;=15000,"Medium","Low"))</f>
        <v>Medium</v>
      </c>
      <c r="L1906" t="str">
        <f>TEXT(Table1[[#This Row],[Order_Date]],"MMM")</f>
        <v>Jun</v>
      </c>
      <c r="M1906" t="str">
        <f>IF(Table1[[#This Row],[Profit]]&gt;=10000,"Excellent",IF(Table1[[#This Row],[Profit]]&gt;5000,"Good","Low"))</f>
        <v>Good</v>
      </c>
      <c r="N1906" t="str">
        <f>TEXT(Table1[[#This Row],[Order_Date]],"YYYY")</f>
        <v>2026</v>
      </c>
    </row>
    <row r="1907" spans="1:14" x14ac:dyDescent="0.25">
      <c r="A1907" s="1">
        <v>45581</v>
      </c>
      <c r="B1907" t="s">
        <v>22</v>
      </c>
      <c r="C1907" t="s">
        <v>18</v>
      </c>
      <c r="D1907">
        <v>22309</v>
      </c>
      <c r="E1907">
        <v>19509</v>
      </c>
      <c r="F1907">
        <v>2800</v>
      </c>
      <c r="G1907" t="s">
        <v>27</v>
      </c>
      <c r="H1907" t="s">
        <v>31</v>
      </c>
      <c r="I1907" t="s">
        <v>15</v>
      </c>
      <c r="J1907" s="2">
        <f>Table1[[#This Row],[Profit]]/Table1[[#This Row],[Sales]]*100</f>
        <v>12.550988390335737</v>
      </c>
      <c r="K1907" t="str">
        <f>IF(Table1[[#This Row],[Sales]]&gt;=30000,"High", IF(Table1[[#This Row],[Sales]]&gt;=15000,"Medium","Low"))</f>
        <v>Medium</v>
      </c>
      <c r="L1907" t="str">
        <f>TEXT(Table1[[#This Row],[Order_Date]],"MMM")</f>
        <v>Oct</v>
      </c>
      <c r="M1907" t="str">
        <f>IF(Table1[[#This Row],[Profit]]&gt;=10000,"Excellent",IF(Table1[[#This Row],[Profit]]&gt;5000,"Good","Low"))</f>
        <v>Low</v>
      </c>
      <c r="N1907" t="str">
        <f>TEXT(Table1[[#This Row],[Order_Date]],"YYYY")</f>
        <v>2024</v>
      </c>
    </row>
    <row r="1908" spans="1:14" x14ac:dyDescent="0.25">
      <c r="A1908" s="1">
        <v>45323</v>
      </c>
      <c r="B1908" t="s">
        <v>17</v>
      </c>
      <c r="C1908" t="s">
        <v>41</v>
      </c>
      <c r="D1908">
        <v>24709</v>
      </c>
      <c r="E1908">
        <v>15924</v>
      </c>
      <c r="F1908">
        <v>8785</v>
      </c>
      <c r="G1908" t="s">
        <v>27</v>
      </c>
      <c r="H1908" t="s">
        <v>23</v>
      </c>
      <c r="I1908" t="s">
        <v>53</v>
      </c>
      <c r="J1908" s="2">
        <f>Table1[[#This Row],[Profit]]/Table1[[#This Row],[Sales]]*100</f>
        <v>35.553846776478203</v>
      </c>
      <c r="K1908" t="str">
        <f>IF(Table1[[#This Row],[Sales]]&gt;=30000,"High", IF(Table1[[#This Row],[Sales]]&gt;=15000,"Medium","Low"))</f>
        <v>Medium</v>
      </c>
      <c r="L1908" t="str">
        <f>TEXT(Table1[[#This Row],[Order_Date]],"MMM")</f>
        <v>Feb</v>
      </c>
      <c r="M1908" t="str">
        <f>IF(Table1[[#This Row],[Profit]]&gt;=10000,"Excellent",IF(Table1[[#This Row],[Profit]]&gt;5000,"Good","Low"))</f>
        <v>Good</v>
      </c>
      <c r="N1908" t="str">
        <f>TEXT(Table1[[#This Row],[Order_Date]],"YYYY")</f>
        <v>2024</v>
      </c>
    </row>
    <row r="1909" spans="1:14" x14ac:dyDescent="0.25">
      <c r="A1909" s="1">
        <v>45375</v>
      </c>
      <c r="B1909" t="s">
        <v>17</v>
      </c>
      <c r="C1909" t="s">
        <v>33</v>
      </c>
      <c r="D1909">
        <v>14085</v>
      </c>
      <c r="E1909">
        <v>1831</v>
      </c>
      <c r="F1909">
        <v>12254</v>
      </c>
      <c r="G1909" t="s">
        <v>13</v>
      </c>
      <c r="H1909" t="s">
        <v>31</v>
      </c>
      <c r="I1909" t="s">
        <v>53</v>
      </c>
      <c r="J1909" s="2">
        <f>Table1[[#This Row],[Profit]]/Table1[[#This Row],[Sales]]*100</f>
        <v>87.000354987575435</v>
      </c>
      <c r="K1909" t="str">
        <f>IF(Table1[[#This Row],[Sales]]&gt;=30000,"High", IF(Table1[[#This Row],[Sales]]&gt;=15000,"Medium","Low"))</f>
        <v>Low</v>
      </c>
      <c r="L1909" t="str">
        <f>TEXT(Table1[[#This Row],[Order_Date]],"MMM")</f>
        <v>Mar</v>
      </c>
      <c r="M1909" t="str">
        <f>IF(Table1[[#This Row],[Profit]]&gt;=10000,"Excellent",IF(Table1[[#This Row],[Profit]]&gt;5000,"Good","Low"))</f>
        <v>Excellent</v>
      </c>
      <c r="N1909" t="str">
        <f>TEXT(Table1[[#This Row],[Order_Date]],"YYYY")</f>
        <v>2024</v>
      </c>
    </row>
    <row r="1910" spans="1:14" x14ac:dyDescent="0.25">
      <c r="A1910" s="1">
        <v>45758</v>
      </c>
      <c r="B1910" t="s">
        <v>11</v>
      </c>
      <c r="C1910" t="s">
        <v>18</v>
      </c>
      <c r="D1910">
        <v>36234</v>
      </c>
      <c r="E1910">
        <v>25054</v>
      </c>
      <c r="F1910">
        <v>11180</v>
      </c>
      <c r="G1910" t="s">
        <v>13</v>
      </c>
      <c r="H1910" t="s">
        <v>60</v>
      </c>
      <c r="I1910" t="s">
        <v>42</v>
      </c>
      <c r="J1910" s="2">
        <f>Table1[[#This Row],[Profit]]/Table1[[#This Row],[Sales]]*100</f>
        <v>30.85499806811282</v>
      </c>
      <c r="K1910" t="str">
        <f>IF(Table1[[#This Row],[Sales]]&gt;=30000,"High", IF(Table1[[#This Row],[Sales]]&gt;=15000,"Medium","Low"))</f>
        <v>High</v>
      </c>
      <c r="L1910" t="str">
        <f>TEXT(Table1[[#This Row],[Order_Date]],"MMM")</f>
        <v>Apr</v>
      </c>
      <c r="M1910" t="str">
        <f>IF(Table1[[#This Row],[Profit]]&gt;=10000,"Excellent",IF(Table1[[#This Row],[Profit]]&gt;5000,"Good","Low"))</f>
        <v>Excellent</v>
      </c>
      <c r="N1910" t="str">
        <f>TEXT(Table1[[#This Row],[Order_Date]],"YYYY")</f>
        <v>2025</v>
      </c>
    </row>
    <row r="1911" spans="1:14" x14ac:dyDescent="0.25">
      <c r="A1911" s="1">
        <v>45595</v>
      </c>
      <c r="B1911" t="s">
        <v>22</v>
      </c>
      <c r="C1911" t="s">
        <v>18</v>
      </c>
      <c r="D1911">
        <v>14631</v>
      </c>
      <c r="E1911">
        <v>11335</v>
      </c>
      <c r="F1911">
        <v>3296</v>
      </c>
      <c r="G1911" t="s">
        <v>13</v>
      </c>
      <c r="H1911" t="s">
        <v>28</v>
      </c>
      <c r="I1911" t="s">
        <v>29</v>
      </c>
      <c r="J1911" s="2">
        <f>Table1[[#This Row],[Profit]]/Table1[[#This Row],[Sales]]*100</f>
        <v>22.527510081334153</v>
      </c>
      <c r="K1911" t="str">
        <f>IF(Table1[[#This Row],[Sales]]&gt;=30000,"High", IF(Table1[[#This Row],[Sales]]&gt;=15000,"Medium","Low"))</f>
        <v>Low</v>
      </c>
      <c r="L1911" t="str">
        <f>TEXT(Table1[[#This Row],[Order_Date]],"MMM")</f>
        <v>Oct</v>
      </c>
      <c r="M1911" t="str">
        <f>IF(Table1[[#This Row],[Profit]]&gt;=10000,"Excellent",IF(Table1[[#This Row],[Profit]]&gt;5000,"Good","Low"))</f>
        <v>Low</v>
      </c>
      <c r="N1911" t="str">
        <f>TEXT(Table1[[#This Row],[Order_Date]],"YYYY")</f>
        <v>2024</v>
      </c>
    </row>
    <row r="1912" spans="1:14" x14ac:dyDescent="0.25">
      <c r="A1912" s="1">
        <v>46042</v>
      </c>
      <c r="B1912" t="s">
        <v>17</v>
      </c>
      <c r="C1912" t="s">
        <v>12</v>
      </c>
      <c r="D1912">
        <v>18336</v>
      </c>
      <c r="E1912">
        <v>14150</v>
      </c>
      <c r="F1912">
        <v>4186</v>
      </c>
      <c r="G1912" t="s">
        <v>38</v>
      </c>
      <c r="H1912" t="s">
        <v>34</v>
      </c>
      <c r="I1912" t="s">
        <v>29</v>
      </c>
      <c r="J1912" s="2">
        <f>Table1[[#This Row],[Profit]]/Table1[[#This Row],[Sales]]*100</f>
        <v>22.829406631762652</v>
      </c>
      <c r="K1912" t="str">
        <f>IF(Table1[[#This Row],[Sales]]&gt;=30000,"High", IF(Table1[[#This Row],[Sales]]&gt;=15000,"Medium","Low"))</f>
        <v>Medium</v>
      </c>
      <c r="L1912" t="str">
        <f>TEXT(Table1[[#This Row],[Order_Date]],"MMM")</f>
        <v>Jan</v>
      </c>
      <c r="M1912" t="str">
        <f>IF(Table1[[#This Row],[Profit]]&gt;=10000,"Excellent",IF(Table1[[#This Row],[Profit]]&gt;5000,"Good","Low"))</f>
        <v>Low</v>
      </c>
      <c r="N1912" t="str">
        <f>TEXT(Table1[[#This Row],[Order_Date]],"YYYY")</f>
        <v>2026</v>
      </c>
    </row>
    <row r="1913" spans="1:14" x14ac:dyDescent="0.25">
      <c r="A1913" s="1">
        <v>46096</v>
      </c>
      <c r="B1913" t="s">
        <v>11</v>
      </c>
      <c r="C1913" t="s">
        <v>12</v>
      </c>
      <c r="D1913">
        <v>10433</v>
      </c>
      <c r="E1913">
        <v>2284</v>
      </c>
      <c r="F1913">
        <v>8149</v>
      </c>
      <c r="G1913" t="s">
        <v>38</v>
      </c>
      <c r="H1913" t="s">
        <v>28</v>
      </c>
      <c r="I1913" t="s">
        <v>24</v>
      </c>
      <c r="J1913" s="2">
        <f>Table1[[#This Row],[Profit]]/Table1[[#This Row],[Sales]]*100</f>
        <v>78.10792677082334</v>
      </c>
      <c r="K1913" t="str">
        <f>IF(Table1[[#This Row],[Sales]]&gt;=30000,"High", IF(Table1[[#This Row],[Sales]]&gt;=15000,"Medium","Low"))</f>
        <v>Low</v>
      </c>
      <c r="L1913" t="str">
        <f>TEXT(Table1[[#This Row],[Order_Date]],"MMM")</f>
        <v>Mar</v>
      </c>
      <c r="M1913" t="str">
        <f>IF(Table1[[#This Row],[Profit]]&gt;=10000,"Excellent",IF(Table1[[#This Row],[Profit]]&gt;5000,"Good","Low"))</f>
        <v>Good</v>
      </c>
      <c r="N1913" t="str">
        <f>TEXT(Table1[[#This Row],[Order_Date]],"YYYY")</f>
        <v>2026</v>
      </c>
    </row>
    <row r="1914" spans="1:14" x14ac:dyDescent="0.25">
      <c r="A1914" s="1">
        <v>46053</v>
      </c>
      <c r="B1914" t="s">
        <v>44</v>
      </c>
      <c r="C1914" t="s">
        <v>18</v>
      </c>
      <c r="D1914">
        <v>10565</v>
      </c>
      <c r="E1914">
        <v>1361</v>
      </c>
      <c r="F1914">
        <v>9204</v>
      </c>
      <c r="G1914" t="s">
        <v>38</v>
      </c>
      <c r="H1914" t="s">
        <v>23</v>
      </c>
      <c r="I1914" t="s">
        <v>53</v>
      </c>
      <c r="J1914" s="2">
        <f>Table1[[#This Row],[Profit]]/Table1[[#This Row],[Sales]]*100</f>
        <v>87.117841930903921</v>
      </c>
      <c r="K1914" t="str">
        <f>IF(Table1[[#This Row],[Sales]]&gt;=30000,"High", IF(Table1[[#This Row],[Sales]]&gt;=15000,"Medium","Low"))</f>
        <v>Low</v>
      </c>
      <c r="L1914" t="str">
        <f>TEXT(Table1[[#This Row],[Order_Date]],"MMM")</f>
        <v>Jan</v>
      </c>
      <c r="M1914" t="str">
        <f>IF(Table1[[#This Row],[Profit]]&gt;=10000,"Excellent",IF(Table1[[#This Row],[Profit]]&gt;5000,"Good","Low"))</f>
        <v>Good</v>
      </c>
      <c r="N1914" t="str">
        <f>TEXT(Table1[[#This Row],[Order_Date]],"YYYY")</f>
        <v>2026</v>
      </c>
    </row>
    <row r="1915" spans="1:14" x14ac:dyDescent="0.25">
      <c r="A1915" s="1">
        <v>45914</v>
      </c>
      <c r="B1915" t="s">
        <v>22</v>
      </c>
      <c r="C1915" t="s">
        <v>41</v>
      </c>
      <c r="D1915">
        <v>43815</v>
      </c>
      <c r="E1915">
        <v>25758</v>
      </c>
      <c r="F1915">
        <v>18057</v>
      </c>
      <c r="G1915" t="s">
        <v>19</v>
      </c>
      <c r="H1915" t="s">
        <v>23</v>
      </c>
      <c r="I1915" t="s">
        <v>24</v>
      </c>
      <c r="J1915" s="2">
        <f>Table1[[#This Row],[Profit]]/Table1[[#This Row],[Sales]]*100</f>
        <v>41.211913728175283</v>
      </c>
      <c r="K1915" t="str">
        <f>IF(Table1[[#This Row],[Sales]]&gt;=30000,"High", IF(Table1[[#This Row],[Sales]]&gt;=15000,"Medium","Low"))</f>
        <v>High</v>
      </c>
      <c r="L1915" t="str">
        <f>TEXT(Table1[[#This Row],[Order_Date]],"MMM")</f>
        <v>Sep</v>
      </c>
      <c r="M1915" t="str">
        <f>IF(Table1[[#This Row],[Profit]]&gt;=10000,"Excellent",IF(Table1[[#This Row],[Profit]]&gt;5000,"Good","Low"))</f>
        <v>Excellent</v>
      </c>
      <c r="N1915" t="str">
        <f>TEXT(Table1[[#This Row],[Order_Date]],"YYYY")</f>
        <v>2025</v>
      </c>
    </row>
    <row r="1916" spans="1:14" x14ac:dyDescent="0.25">
      <c r="A1916" s="1">
        <v>46033</v>
      </c>
      <c r="B1916" t="s">
        <v>26</v>
      </c>
      <c r="C1916" t="s">
        <v>33</v>
      </c>
      <c r="D1916">
        <v>12290</v>
      </c>
      <c r="E1916">
        <v>2804</v>
      </c>
      <c r="F1916">
        <v>9486</v>
      </c>
      <c r="G1916" t="s">
        <v>13</v>
      </c>
      <c r="H1916" t="s">
        <v>23</v>
      </c>
      <c r="I1916" t="s">
        <v>29</v>
      </c>
      <c r="J1916" s="2">
        <f>Table1[[#This Row],[Profit]]/Table1[[#This Row],[Sales]]*100</f>
        <v>77.184703010577707</v>
      </c>
      <c r="K1916" t="str">
        <f>IF(Table1[[#This Row],[Sales]]&gt;=30000,"High", IF(Table1[[#This Row],[Sales]]&gt;=15000,"Medium","Low"))</f>
        <v>Low</v>
      </c>
      <c r="L1916" t="str">
        <f>TEXT(Table1[[#This Row],[Order_Date]],"MMM")</f>
        <v>Jan</v>
      </c>
      <c r="M1916" t="str">
        <f>IF(Table1[[#This Row],[Profit]]&gt;=10000,"Excellent",IF(Table1[[#This Row],[Profit]]&gt;5000,"Good","Low"))</f>
        <v>Good</v>
      </c>
      <c r="N1916" t="str">
        <f>TEXT(Table1[[#This Row],[Order_Date]],"YYYY")</f>
        <v>2026</v>
      </c>
    </row>
    <row r="1917" spans="1:14" x14ac:dyDescent="0.25">
      <c r="A1917" s="1">
        <v>45172</v>
      </c>
      <c r="B1917" t="s">
        <v>44</v>
      </c>
      <c r="C1917" t="s">
        <v>12</v>
      </c>
      <c r="D1917">
        <v>11907</v>
      </c>
      <c r="E1917">
        <v>1178</v>
      </c>
      <c r="F1917">
        <v>10729</v>
      </c>
      <c r="G1917" t="s">
        <v>38</v>
      </c>
      <c r="H1917" t="s">
        <v>23</v>
      </c>
      <c r="I1917" t="s">
        <v>24</v>
      </c>
      <c r="J1917" s="2">
        <f>Table1[[#This Row],[Profit]]/Table1[[#This Row],[Sales]]*100</f>
        <v>90.106659947929785</v>
      </c>
      <c r="K1917" t="str">
        <f>IF(Table1[[#This Row],[Sales]]&gt;=30000,"High", IF(Table1[[#This Row],[Sales]]&gt;=15000,"Medium","Low"))</f>
        <v>Low</v>
      </c>
      <c r="L1917" t="str">
        <f>TEXT(Table1[[#This Row],[Order_Date]],"MMM")</f>
        <v>Sep</v>
      </c>
      <c r="M1917" t="str">
        <f>IF(Table1[[#This Row],[Profit]]&gt;=10000,"Excellent",IF(Table1[[#This Row],[Profit]]&gt;5000,"Good","Low"))</f>
        <v>Excellent</v>
      </c>
      <c r="N1917" t="str">
        <f>TEXT(Table1[[#This Row],[Order_Date]],"YYYY")</f>
        <v>2023</v>
      </c>
    </row>
    <row r="1918" spans="1:14" x14ac:dyDescent="0.25">
      <c r="A1918" s="1">
        <v>46125</v>
      </c>
      <c r="B1918" t="s">
        <v>17</v>
      </c>
      <c r="C1918" t="s">
        <v>41</v>
      </c>
      <c r="D1918">
        <v>29471</v>
      </c>
      <c r="E1918">
        <v>17599</v>
      </c>
      <c r="F1918">
        <v>11872</v>
      </c>
      <c r="G1918" t="s">
        <v>13</v>
      </c>
      <c r="H1918" t="s">
        <v>34</v>
      </c>
      <c r="I1918" t="s">
        <v>15</v>
      </c>
      <c r="J1918" s="2">
        <f>Table1[[#This Row],[Profit]]/Table1[[#This Row],[Sales]]*100</f>
        <v>40.283668691255805</v>
      </c>
      <c r="K1918" t="str">
        <f>IF(Table1[[#This Row],[Sales]]&gt;=30000,"High", IF(Table1[[#This Row],[Sales]]&gt;=15000,"Medium","Low"))</f>
        <v>Medium</v>
      </c>
      <c r="L1918" t="str">
        <f>TEXT(Table1[[#This Row],[Order_Date]],"MMM")</f>
        <v>Apr</v>
      </c>
      <c r="M1918" t="str">
        <f>IF(Table1[[#This Row],[Profit]]&gt;=10000,"Excellent",IF(Table1[[#This Row],[Profit]]&gt;5000,"Good","Low"))</f>
        <v>Excellent</v>
      </c>
      <c r="N1918" t="str">
        <f>TEXT(Table1[[#This Row],[Order_Date]],"YYYY")</f>
        <v>2026</v>
      </c>
    </row>
    <row r="1919" spans="1:14" x14ac:dyDescent="0.25">
      <c r="A1919" s="1">
        <v>46142</v>
      </c>
      <c r="B1919" t="s">
        <v>17</v>
      </c>
      <c r="C1919" t="s">
        <v>18</v>
      </c>
      <c r="D1919">
        <v>14438</v>
      </c>
      <c r="E1919">
        <v>12302</v>
      </c>
      <c r="F1919">
        <v>2136</v>
      </c>
      <c r="G1919" t="s">
        <v>19</v>
      </c>
      <c r="H1919" t="s">
        <v>34</v>
      </c>
      <c r="I1919" t="s">
        <v>53</v>
      </c>
      <c r="J1919" s="2">
        <f>Table1[[#This Row],[Profit]]/Table1[[#This Row],[Sales]]*100</f>
        <v>14.794292838343262</v>
      </c>
      <c r="K1919" t="str">
        <f>IF(Table1[[#This Row],[Sales]]&gt;=30000,"High", IF(Table1[[#This Row],[Sales]]&gt;=15000,"Medium","Low"))</f>
        <v>Low</v>
      </c>
      <c r="L1919" t="str">
        <f>TEXT(Table1[[#This Row],[Order_Date]],"MMM")</f>
        <v>Apr</v>
      </c>
      <c r="M1919" t="str">
        <f>IF(Table1[[#This Row],[Profit]]&gt;=10000,"Excellent",IF(Table1[[#This Row],[Profit]]&gt;5000,"Good","Low"))</f>
        <v>Low</v>
      </c>
      <c r="N1919" t="str">
        <f>TEXT(Table1[[#This Row],[Order_Date]],"YYYY")</f>
        <v>2026</v>
      </c>
    </row>
    <row r="1920" spans="1:14" x14ac:dyDescent="0.25">
      <c r="A1920" s="1">
        <v>45942</v>
      </c>
      <c r="B1920" t="s">
        <v>44</v>
      </c>
      <c r="C1920" t="s">
        <v>41</v>
      </c>
      <c r="D1920">
        <v>29360</v>
      </c>
      <c r="E1920">
        <v>17141</v>
      </c>
      <c r="F1920">
        <v>12219</v>
      </c>
      <c r="G1920" t="s">
        <v>27</v>
      </c>
      <c r="H1920" t="s">
        <v>31</v>
      </c>
      <c r="I1920" t="s">
        <v>29</v>
      </c>
      <c r="J1920" s="2">
        <f>Table1[[#This Row],[Profit]]/Table1[[#This Row],[Sales]]*100</f>
        <v>41.617847411444146</v>
      </c>
      <c r="K1920" t="str">
        <f>IF(Table1[[#This Row],[Sales]]&gt;=30000,"High", IF(Table1[[#This Row],[Sales]]&gt;=15000,"Medium","Low"))</f>
        <v>Medium</v>
      </c>
      <c r="L1920" t="str">
        <f>TEXT(Table1[[#This Row],[Order_Date]],"MMM")</f>
        <v>Oct</v>
      </c>
      <c r="M1920" t="str">
        <f>IF(Table1[[#This Row],[Profit]]&gt;=10000,"Excellent",IF(Table1[[#This Row],[Profit]]&gt;5000,"Good","Low"))</f>
        <v>Excellent</v>
      </c>
      <c r="N1920" t="str">
        <f>TEXT(Table1[[#This Row],[Order_Date]],"YYYY")</f>
        <v>2025</v>
      </c>
    </row>
    <row r="1921" spans="1:14" x14ac:dyDescent="0.25">
      <c r="A1921" s="1">
        <v>45246</v>
      </c>
      <c r="B1921" t="s">
        <v>17</v>
      </c>
      <c r="C1921" t="s">
        <v>18</v>
      </c>
      <c r="D1921">
        <v>15681</v>
      </c>
      <c r="E1921">
        <v>974</v>
      </c>
      <c r="F1921">
        <v>14707</v>
      </c>
      <c r="G1921" t="s">
        <v>27</v>
      </c>
      <c r="H1921" t="s">
        <v>20</v>
      </c>
      <c r="I1921" t="s">
        <v>42</v>
      </c>
      <c r="J1921" s="2">
        <f>Table1[[#This Row],[Profit]]/Table1[[#This Row],[Sales]]*100</f>
        <v>93.788661437408322</v>
      </c>
      <c r="K1921" t="str">
        <f>IF(Table1[[#This Row],[Sales]]&gt;=30000,"High", IF(Table1[[#This Row],[Sales]]&gt;=15000,"Medium","Low"))</f>
        <v>Medium</v>
      </c>
      <c r="L1921" t="str">
        <f>TEXT(Table1[[#This Row],[Order_Date]],"MMM")</f>
        <v>Nov</v>
      </c>
      <c r="M1921" t="str">
        <f>IF(Table1[[#This Row],[Profit]]&gt;=10000,"Excellent",IF(Table1[[#This Row],[Profit]]&gt;5000,"Good","Low"))</f>
        <v>Excellent</v>
      </c>
      <c r="N1921" t="str">
        <f>TEXT(Table1[[#This Row],[Order_Date]],"YYYY")</f>
        <v>2023</v>
      </c>
    </row>
    <row r="1922" spans="1:14" x14ac:dyDescent="0.25">
      <c r="A1922" s="1">
        <v>46210</v>
      </c>
      <c r="B1922" t="s">
        <v>17</v>
      </c>
      <c r="C1922" t="s">
        <v>36</v>
      </c>
      <c r="D1922">
        <v>14005</v>
      </c>
      <c r="E1922">
        <v>8883</v>
      </c>
      <c r="F1922">
        <v>5122</v>
      </c>
      <c r="G1922" t="s">
        <v>27</v>
      </c>
      <c r="H1922" t="s">
        <v>45</v>
      </c>
      <c r="I1922" t="s">
        <v>29</v>
      </c>
      <c r="J1922" s="2">
        <f>Table1[[#This Row],[Profit]]/Table1[[#This Row],[Sales]]*100</f>
        <v>36.572652624062833</v>
      </c>
      <c r="K1922" t="str">
        <f>IF(Table1[[#This Row],[Sales]]&gt;=30000,"High", IF(Table1[[#This Row],[Sales]]&gt;=15000,"Medium","Low"))</f>
        <v>Low</v>
      </c>
      <c r="L1922" t="str">
        <f>TEXT(Table1[[#This Row],[Order_Date]],"MMM")</f>
        <v>Jul</v>
      </c>
      <c r="M1922" t="str">
        <f>IF(Table1[[#This Row],[Profit]]&gt;=10000,"Excellent",IF(Table1[[#This Row],[Profit]]&gt;5000,"Good","Low"))</f>
        <v>Good</v>
      </c>
      <c r="N1922" t="str">
        <f>TEXT(Table1[[#This Row],[Order_Date]],"YYYY")</f>
        <v>2026</v>
      </c>
    </row>
    <row r="1923" spans="1:14" x14ac:dyDescent="0.25">
      <c r="A1923" s="1">
        <v>45291</v>
      </c>
      <c r="B1923" t="s">
        <v>11</v>
      </c>
      <c r="C1923" t="s">
        <v>12</v>
      </c>
      <c r="D1923">
        <v>14068</v>
      </c>
      <c r="E1923">
        <v>4355</v>
      </c>
      <c r="F1923">
        <v>9713</v>
      </c>
      <c r="G1923" t="s">
        <v>38</v>
      </c>
      <c r="H1923" t="s">
        <v>63</v>
      </c>
      <c r="I1923" t="s">
        <v>53</v>
      </c>
      <c r="J1923" s="2">
        <f>Table1[[#This Row],[Profit]]/Table1[[#This Row],[Sales]]*100</f>
        <v>69.04321865226045</v>
      </c>
      <c r="K1923" t="str">
        <f>IF(Table1[[#This Row],[Sales]]&gt;=30000,"High", IF(Table1[[#This Row],[Sales]]&gt;=15000,"Medium","Low"))</f>
        <v>Low</v>
      </c>
      <c r="L1923" t="str">
        <f>TEXT(Table1[[#This Row],[Order_Date]],"MMM")</f>
        <v>Dec</v>
      </c>
      <c r="M1923" t="str">
        <f>IF(Table1[[#This Row],[Profit]]&gt;=10000,"Excellent",IF(Table1[[#This Row],[Profit]]&gt;5000,"Good","Low"))</f>
        <v>Good</v>
      </c>
      <c r="N1923" t="str">
        <f>TEXT(Table1[[#This Row],[Order_Date]],"YYYY")</f>
        <v>2023</v>
      </c>
    </row>
    <row r="1924" spans="1:14" x14ac:dyDescent="0.25">
      <c r="A1924" s="1">
        <v>46135</v>
      </c>
      <c r="B1924" t="s">
        <v>44</v>
      </c>
      <c r="C1924" t="s">
        <v>18</v>
      </c>
      <c r="D1924">
        <v>6384</v>
      </c>
      <c r="E1924">
        <v>617</v>
      </c>
      <c r="F1924">
        <v>5767</v>
      </c>
      <c r="G1924" t="s">
        <v>27</v>
      </c>
      <c r="H1924" t="s">
        <v>23</v>
      </c>
      <c r="I1924" t="s">
        <v>29</v>
      </c>
      <c r="J1924" s="2">
        <f>Table1[[#This Row],[Profit]]/Table1[[#This Row],[Sales]]*100</f>
        <v>90.33521303258145</v>
      </c>
      <c r="K1924" t="str">
        <f>IF(Table1[[#This Row],[Sales]]&gt;=30000,"High", IF(Table1[[#This Row],[Sales]]&gt;=15000,"Medium","Low"))</f>
        <v>Low</v>
      </c>
      <c r="L1924" t="str">
        <f>TEXT(Table1[[#This Row],[Order_Date]],"MMM")</f>
        <v>Apr</v>
      </c>
      <c r="M1924" t="str">
        <f>IF(Table1[[#This Row],[Profit]]&gt;=10000,"Excellent",IF(Table1[[#This Row],[Profit]]&gt;5000,"Good","Low"))</f>
        <v>Good</v>
      </c>
      <c r="N1924" t="str">
        <f>TEXT(Table1[[#This Row],[Order_Date]],"YYYY")</f>
        <v>2026</v>
      </c>
    </row>
    <row r="1925" spans="1:14" x14ac:dyDescent="0.25">
      <c r="A1925" s="1">
        <v>45444</v>
      </c>
      <c r="B1925" t="s">
        <v>22</v>
      </c>
      <c r="C1925" t="s">
        <v>33</v>
      </c>
      <c r="D1925">
        <v>10984</v>
      </c>
      <c r="E1925">
        <v>30</v>
      </c>
      <c r="F1925">
        <v>10954</v>
      </c>
      <c r="G1925" t="s">
        <v>19</v>
      </c>
      <c r="H1925" t="s">
        <v>63</v>
      </c>
      <c r="I1925" t="s">
        <v>15</v>
      </c>
      <c r="J1925" s="2">
        <f>Table1[[#This Row],[Profit]]/Table1[[#This Row],[Sales]]*100</f>
        <v>99.726875455207576</v>
      </c>
      <c r="K1925" t="str">
        <f>IF(Table1[[#This Row],[Sales]]&gt;=30000,"High", IF(Table1[[#This Row],[Sales]]&gt;=15000,"Medium","Low"))</f>
        <v>Low</v>
      </c>
      <c r="L1925" t="str">
        <f>TEXT(Table1[[#This Row],[Order_Date]],"MMM")</f>
        <v>Jun</v>
      </c>
      <c r="M1925" t="str">
        <f>IF(Table1[[#This Row],[Profit]]&gt;=10000,"Excellent",IF(Table1[[#This Row],[Profit]]&gt;5000,"Good","Low"))</f>
        <v>Excellent</v>
      </c>
      <c r="N1925" t="str">
        <f>TEXT(Table1[[#This Row],[Order_Date]],"YYYY")</f>
        <v>2024</v>
      </c>
    </row>
    <row r="1926" spans="1:14" x14ac:dyDescent="0.25">
      <c r="A1926" s="1">
        <v>45630</v>
      </c>
      <c r="B1926" t="s">
        <v>26</v>
      </c>
      <c r="C1926" t="s">
        <v>12</v>
      </c>
      <c r="D1926">
        <v>14279</v>
      </c>
      <c r="E1926">
        <v>1737</v>
      </c>
      <c r="F1926">
        <v>12542</v>
      </c>
      <c r="G1926" t="s">
        <v>19</v>
      </c>
      <c r="H1926" t="s">
        <v>63</v>
      </c>
      <c r="I1926" t="s">
        <v>29</v>
      </c>
      <c r="J1926" s="2">
        <f>Table1[[#This Row],[Profit]]/Table1[[#This Row],[Sales]]*100</f>
        <v>87.835282582813917</v>
      </c>
      <c r="K1926" t="str">
        <f>IF(Table1[[#This Row],[Sales]]&gt;=30000,"High", IF(Table1[[#This Row],[Sales]]&gt;=15000,"Medium","Low"))</f>
        <v>Low</v>
      </c>
      <c r="L1926" t="str">
        <f>TEXT(Table1[[#This Row],[Order_Date]],"MMM")</f>
        <v>Dec</v>
      </c>
      <c r="M1926" t="str">
        <f>IF(Table1[[#This Row],[Profit]]&gt;=10000,"Excellent",IF(Table1[[#This Row],[Profit]]&gt;5000,"Good","Low"))</f>
        <v>Excellent</v>
      </c>
      <c r="N1926" t="str">
        <f>TEXT(Table1[[#This Row],[Order_Date]],"YYYY")</f>
        <v>2024</v>
      </c>
    </row>
    <row r="1927" spans="1:14" x14ac:dyDescent="0.25">
      <c r="A1927" s="1">
        <v>45442</v>
      </c>
      <c r="B1927" t="s">
        <v>22</v>
      </c>
      <c r="C1927" t="s">
        <v>18</v>
      </c>
      <c r="D1927">
        <v>33210</v>
      </c>
      <c r="E1927">
        <v>19138</v>
      </c>
      <c r="F1927">
        <v>14072</v>
      </c>
      <c r="G1927" t="s">
        <v>38</v>
      </c>
      <c r="H1927" t="s">
        <v>28</v>
      </c>
      <c r="I1927" t="s">
        <v>15</v>
      </c>
      <c r="J1927" s="2">
        <f>Table1[[#This Row],[Profit]]/Table1[[#This Row],[Sales]]*100</f>
        <v>42.372779283348386</v>
      </c>
      <c r="K1927" t="str">
        <f>IF(Table1[[#This Row],[Sales]]&gt;=30000,"High", IF(Table1[[#This Row],[Sales]]&gt;=15000,"Medium","Low"))</f>
        <v>High</v>
      </c>
      <c r="L1927" t="str">
        <f>TEXT(Table1[[#This Row],[Order_Date]],"MMM")</f>
        <v>May</v>
      </c>
      <c r="M1927" t="str">
        <f>IF(Table1[[#This Row],[Profit]]&gt;=10000,"Excellent",IF(Table1[[#This Row],[Profit]]&gt;5000,"Good","Low"))</f>
        <v>Excellent</v>
      </c>
      <c r="N1927" t="str">
        <f>TEXT(Table1[[#This Row],[Order_Date]],"YYYY")</f>
        <v>2024</v>
      </c>
    </row>
    <row r="1928" spans="1:14" x14ac:dyDescent="0.25">
      <c r="A1928" s="1">
        <v>45607</v>
      </c>
      <c r="B1928" t="s">
        <v>11</v>
      </c>
      <c r="C1928" t="s">
        <v>33</v>
      </c>
      <c r="D1928">
        <v>12956</v>
      </c>
      <c r="E1928">
        <v>5600</v>
      </c>
      <c r="F1928">
        <v>7356</v>
      </c>
      <c r="G1928" t="s">
        <v>19</v>
      </c>
      <c r="H1928" t="s">
        <v>78</v>
      </c>
      <c r="I1928" t="s">
        <v>42</v>
      </c>
      <c r="J1928" s="2">
        <f>Table1[[#This Row],[Profit]]/Table1[[#This Row],[Sales]]*100</f>
        <v>56.776782957702999</v>
      </c>
      <c r="K1928" t="str">
        <f>IF(Table1[[#This Row],[Sales]]&gt;=30000,"High", IF(Table1[[#This Row],[Sales]]&gt;=15000,"Medium","Low"))</f>
        <v>Low</v>
      </c>
      <c r="L1928" t="str">
        <f>TEXT(Table1[[#This Row],[Order_Date]],"MMM")</f>
        <v>Nov</v>
      </c>
      <c r="M1928" t="str">
        <f>IF(Table1[[#This Row],[Profit]]&gt;=10000,"Excellent",IF(Table1[[#This Row],[Profit]]&gt;5000,"Good","Low"))</f>
        <v>Good</v>
      </c>
      <c r="N1928" t="str">
        <f>TEXT(Table1[[#This Row],[Order_Date]],"YYYY")</f>
        <v>2024</v>
      </c>
    </row>
    <row r="1929" spans="1:14" x14ac:dyDescent="0.25">
      <c r="A1929" s="1">
        <v>46021</v>
      </c>
      <c r="B1929" t="s">
        <v>11</v>
      </c>
      <c r="C1929" t="s">
        <v>33</v>
      </c>
      <c r="D1929">
        <v>18906</v>
      </c>
      <c r="E1929">
        <v>2293</v>
      </c>
      <c r="F1929">
        <v>16613</v>
      </c>
      <c r="G1929" t="s">
        <v>27</v>
      </c>
      <c r="H1929" t="s">
        <v>31</v>
      </c>
      <c r="I1929" t="s">
        <v>29</v>
      </c>
      <c r="J1929" s="2">
        <f>Table1[[#This Row],[Profit]]/Table1[[#This Row],[Sales]]*100</f>
        <v>87.871575161324444</v>
      </c>
      <c r="K1929" t="str">
        <f>IF(Table1[[#This Row],[Sales]]&gt;=30000,"High", IF(Table1[[#This Row],[Sales]]&gt;=15000,"Medium","Low"))</f>
        <v>Medium</v>
      </c>
      <c r="L1929" t="str">
        <f>TEXT(Table1[[#This Row],[Order_Date]],"MMM")</f>
        <v>Dec</v>
      </c>
      <c r="M1929" t="str">
        <f>IF(Table1[[#This Row],[Profit]]&gt;=10000,"Excellent",IF(Table1[[#This Row],[Profit]]&gt;5000,"Good","Low"))</f>
        <v>Excellent</v>
      </c>
      <c r="N1929" t="str">
        <f>TEXT(Table1[[#This Row],[Order_Date]],"YYYY")</f>
        <v>2025</v>
      </c>
    </row>
    <row r="1930" spans="1:14" x14ac:dyDescent="0.25">
      <c r="A1930" s="1">
        <v>45788</v>
      </c>
      <c r="B1930" t="s">
        <v>44</v>
      </c>
      <c r="C1930" t="s">
        <v>36</v>
      </c>
      <c r="D1930">
        <v>37369</v>
      </c>
      <c r="E1930">
        <v>29135</v>
      </c>
      <c r="F1930">
        <v>8234</v>
      </c>
      <c r="G1930" t="s">
        <v>13</v>
      </c>
      <c r="H1930" t="s">
        <v>28</v>
      </c>
      <c r="I1930" t="s">
        <v>24</v>
      </c>
      <c r="J1930" s="2">
        <f>Table1[[#This Row],[Profit]]/Table1[[#This Row],[Sales]]*100</f>
        <v>22.034306510744202</v>
      </c>
      <c r="K1930" t="str">
        <f>IF(Table1[[#This Row],[Sales]]&gt;=30000,"High", IF(Table1[[#This Row],[Sales]]&gt;=15000,"Medium","Low"))</f>
        <v>High</v>
      </c>
      <c r="L1930" t="str">
        <f>TEXT(Table1[[#This Row],[Order_Date]],"MMM")</f>
        <v>May</v>
      </c>
      <c r="M1930" t="str">
        <f>IF(Table1[[#This Row],[Profit]]&gt;=10000,"Excellent",IF(Table1[[#This Row],[Profit]]&gt;5000,"Good","Low"))</f>
        <v>Good</v>
      </c>
      <c r="N1930" t="str">
        <f>TEXT(Table1[[#This Row],[Order_Date]],"YYYY")</f>
        <v>2025</v>
      </c>
    </row>
    <row r="1931" spans="1:14" x14ac:dyDescent="0.25">
      <c r="A1931" s="1">
        <v>45658</v>
      </c>
      <c r="B1931" t="s">
        <v>26</v>
      </c>
      <c r="C1931" t="s">
        <v>12</v>
      </c>
      <c r="D1931">
        <v>46375</v>
      </c>
      <c r="E1931">
        <v>43810</v>
      </c>
      <c r="F1931">
        <v>2565</v>
      </c>
      <c r="G1931" t="s">
        <v>38</v>
      </c>
      <c r="H1931" t="s">
        <v>14</v>
      </c>
      <c r="I1931" t="s">
        <v>15</v>
      </c>
      <c r="J1931" s="2">
        <f>Table1[[#This Row],[Profit]]/Table1[[#This Row],[Sales]]*100</f>
        <v>5.5309973045822103</v>
      </c>
      <c r="K1931" t="str">
        <f>IF(Table1[[#This Row],[Sales]]&gt;=30000,"High", IF(Table1[[#This Row],[Sales]]&gt;=15000,"Medium","Low"))</f>
        <v>High</v>
      </c>
      <c r="L1931" t="str">
        <f>TEXT(Table1[[#This Row],[Order_Date]],"MMM")</f>
        <v>Jan</v>
      </c>
      <c r="M1931" t="str">
        <f>IF(Table1[[#This Row],[Profit]]&gt;=10000,"Excellent",IF(Table1[[#This Row],[Profit]]&gt;5000,"Good","Low"))</f>
        <v>Low</v>
      </c>
      <c r="N1931" t="str">
        <f>TEXT(Table1[[#This Row],[Order_Date]],"YYYY")</f>
        <v>2025</v>
      </c>
    </row>
    <row r="1932" spans="1:14" x14ac:dyDescent="0.25">
      <c r="A1932" s="1">
        <v>45158</v>
      </c>
      <c r="B1932" t="s">
        <v>17</v>
      </c>
      <c r="C1932" t="s">
        <v>12</v>
      </c>
      <c r="D1932">
        <v>49996</v>
      </c>
      <c r="E1932">
        <v>43120</v>
      </c>
      <c r="F1932">
        <v>6876</v>
      </c>
      <c r="G1932" t="s">
        <v>19</v>
      </c>
      <c r="H1932" t="s">
        <v>20</v>
      </c>
      <c r="I1932" t="s">
        <v>29</v>
      </c>
      <c r="J1932" s="2">
        <f>Table1[[#This Row],[Profit]]/Table1[[#This Row],[Sales]]*100</f>
        <v>13.753100248019843</v>
      </c>
      <c r="K1932" t="str">
        <f>IF(Table1[[#This Row],[Sales]]&gt;=30000,"High", IF(Table1[[#This Row],[Sales]]&gt;=15000,"Medium","Low"))</f>
        <v>High</v>
      </c>
      <c r="L1932" t="str">
        <f>TEXT(Table1[[#This Row],[Order_Date]],"MMM")</f>
        <v>Aug</v>
      </c>
      <c r="M1932" t="str">
        <f>IF(Table1[[#This Row],[Profit]]&gt;=10000,"Excellent",IF(Table1[[#This Row],[Profit]]&gt;5000,"Good","Low"))</f>
        <v>Good</v>
      </c>
      <c r="N1932" t="str">
        <f>TEXT(Table1[[#This Row],[Order_Date]],"YYYY")</f>
        <v>2023</v>
      </c>
    </row>
    <row r="1933" spans="1:14" x14ac:dyDescent="0.25">
      <c r="A1933" s="1">
        <v>45392</v>
      </c>
      <c r="B1933" t="s">
        <v>22</v>
      </c>
      <c r="C1933" t="s">
        <v>33</v>
      </c>
      <c r="D1933">
        <v>18581</v>
      </c>
      <c r="E1933">
        <v>6840</v>
      </c>
      <c r="F1933">
        <v>11741</v>
      </c>
      <c r="G1933" t="s">
        <v>19</v>
      </c>
      <c r="H1933" t="s">
        <v>63</v>
      </c>
      <c r="I1933" t="s">
        <v>53</v>
      </c>
      <c r="J1933" s="2">
        <f>Table1[[#This Row],[Profit]]/Table1[[#This Row],[Sales]]*100</f>
        <v>63.188203003067642</v>
      </c>
      <c r="K1933" t="str">
        <f>IF(Table1[[#This Row],[Sales]]&gt;=30000,"High", IF(Table1[[#This Row],[Sales]]&gt;=15000,"Medium","Low"))</f>
        <v>Medium</v>
      </c>
      <c r="L1933" t="str">
        <f>TEXT(Table1[[#This Row],[Order_Date]],"MMM")</f>
        <v>Apr</v>
      </c>
      <c r="M1933" t="str">
        <f>IF(Table1[[#This Row],[Profit]]&gt;=10000,"Excellent",IF(Table1[[#This Row],[Profit]]&gt;5000,"Good","Low"))</f>
        <v>Excellent</v>
      </c>
      <c r="N1933" t="str">
        <f>TEXT(Table1[[#This Row],[Order_Date]],"YYYY")</f>
        <v>2024</v>
      </c>
    </row>
    <row r="1934" spans="1:14" x14ac:dyDescent="0.25">
      <c r="A1934" s="1">
        <v>45362</v>
      </c>
      <c r="B1934" t="s">
        <v>17</v>
      </c>
      <c r="C1934" t="s">
        <v>12</v>
      </c>
      <c r="D1934">
        <v>22612</v>
      </c>
      <c r="E1934">
        <v>16689</v>
      </c>
      <c r="F1934">
        <v>5923</v>
      </c>
      <c r="G1934" t="s">
        <v>13</v>
      </c>
      <c r="H1934" t="s">
        <v>34</v>
      </c>
      <c r="I1934" t="s">
        <v>29</v>
      </c>
      <c r="J1934" s="2">
        <f>Table1[[#This Row],[Profit]]/Table1[[#This Row],[Sales]]*100</f>
        <v>26.194056253316823</v>
      </c>
      <c r="K1934" t="str">
        <f>IF(Table1[[#This Row],[Sales]]&gt;=30000,"High", IF(Table1[[#This Row],[Sales]]&gt;=15000,"Medium","Low"))</f>
        <v>Medium</v>
      </c>
      <c r="L1934" t="str">
        <f>TEXT(Table1[[#This Row],[Order_Date]],"MMM")</f>
        <v>Mar</v>
      </c>
      <c r="M1934" t="str">
        <f>IF(Table1[[#This Row],[Profit]]&gt;=10000,"Excellent",IF(Table1[[#This Row],[Profit]]&gt;5000,"Good","Low"))</f>
        <v>Good</v>
      </c>
      <c r="N1934" t="str">
        <f>TEXT(Table1[[#This Row],[Order_Date]],"YYYY")</f>
        <v>2024</v>
      </c>
    </row>
    <row r="1935" spans="1:14" x14ac:dyDescent="0.25">
      <c r="A1935" s="1">
        <v>45250</v>
      </c>
      <c r="B1935" t="s">
        <v>11</v>
      </c>
      <c r="C1935" t="s">
        <v>33</v>
      </c>
      <c r="D1935">
        <v>12800</v>
      </c>
      <c r="E1935">
        <v>12132</v>
      </c>
      <c r="F1935">
        <v>668</v>
      </c>
      <c r="G1935" t="s">
        <v>13</v>
      </c>
      <c r="H1935" t="s">
        <v>60</v>
      </c>
      <c r="I1935" t="s">
        <v>24</v>
      </c>
      <c r="J1935" s="2">
        <f>Table1[[#This Row],[Profit]]/Table1[[#This Row],[Sales]]*100</f>
        <v>5.21875</v>
      </c>
      <c r="K1935" t="str">
        <f>IF(Table1[[#This Row],[Sales]]&gt;=30000,"High", IF(Table1[[#This Row],[Sales]]&gt;=15000,"Medium","Low"))</f>
        <v>Low</v>
      </c>
      <c r="L1935" t="str">
        <f>TEXT(Table1[[#This Row],[Order_Date]],"MMM")</f>
        <v>Nov</v>
      </c>
      <c r="M1935" t="str">
        <f>IF(Table1[[#This Row],[Profit]]&gt;=10000,"Excellent",IF(Table1[[#This Row],[Profit]]&gt;5000,"Good","Low"))</f>
        <v>Low</v>
      </c>
      <c r="N1935" t="str">
        <f>TEXT(Table1[[#This Row],[Order_Date]],"YYYY")</f>
        <v>2023</v>
      </c>
    </row>
    <row r="1936" spans="1:14" x14ac:dyDescent="0.25">
      <c r="A1936" s="1">
        <v>45326</v>
      </c>
      <c r="B1936" t="s">
        <v>26</v>
      </c>
      <c r="C1936" t="s">
        <v>33</v>
      </c>
      <c r="D1936">
        <v>31038</v>
      </c>
      <c r="E1936">
        <v>12576</v>
      </c>
      <c r="F1936">
        <v>18462</v>
      </c>
      <c r="G1936" t="s">
        <v>19</v>
      </c>
      <c r="H1936" t="s">
        <v>23</v>
      </c>
      <c r="I1936" t="s">
        <v>24</v>
      </c>
      <c r="J1936" s="2">
        <f>Table1[[#This Row],[Profit]]/Table1[[#This Row],[Sales]]*100</f>
        <v>59.48192538179007</v>
      </c>
      <c r="K1936" t="str">
        <f>IF(Table1[[#This Row],[Sales]]&gt;=30000,"High", IF(Table1[[#This Row],[Sales]]&gt;=15000,"Medium","Low"))</f>
        <v>High</v>
      </c>
      <c r="L1936" t="str">
        <f>TEXT(Table1[[#This Row],[Order_Date]],"MMM")</f>
        <v>Feb</v>
      </c>
      <c r="M1936" t="str">
        <f>IF(Table1[[#This Row],[Profit]]&gt;=10000,"Excellent",IF(Table1[[#This Row],[Profit]]&gt;5000,"Good","Low"))</f>
        <v>Excellent</v>
      </c>
      <c r="N1936" t="str">
        <f>TEXT(Table1[[#This Row],[Order_Date]],"YYYY")</f>
        <v>2024</v>
      </c>
    </row>
    <row r="1937" spans="1:14" x14ac:dyDescent="0.25">
      <c r="A1937" s="1">
        <v>45594</v>
      </c>
      <c r="B1937" t="s">
        <v>22</v>
      </c>
      <c r="C1937" t="s">
        <v>12</v>
      </c>
      <c r="D1937">
        <v>44993</v>
      </c>
      <c r="E1937">
        <v>40371</v>
      </c>
      <c r="F1937">
        <v>4622</v>
      </c>
      <c r="G1937" t="s">
        <v>27</v>
      </c>
      <c r="H1937" t="s">
        <v>31</v>
      </c>
      <c r="I1937" t="s">
        <v>42</v>
      </c>
      <c r="J1937" s="2">
        <f>Table1[[#This Row],[Profit]]/Table1[[#This Row],[Sales]]*100</f>
        <v>10.272709088080369</v>
      </c>
      <c r="K1937" t="str">
        <f>IF(Table1[[#This Row],[Sales]]&gt;=30000,"High", IF(Table1[[#This Row],[Sales]]&gt;=15000,"Medium","Low"))</f>
        <v>High</v>
      </c>
      <c r="L1937" t="str">
        <f>TEXT(Table1[[#This Row],[Order_Date]],"MMM")</f>
        <v>Oct</v>
      </c>
      <c r="M1937" t="str">
        <f>IF(Table1[[#This Row],[Profit]]&gt;=10000,"Excellent",IF(Table1[[#This Row],[Profit]]&gt;5000,"Good","Low"))</f>
        <v>Low</v>
      </c>
      <c r="N1937" t="str">
        <f>TEXT(Table1[[#This Row],[Order_Date]],"YYYY")</f>
        <v>2024</v>
      </c>
    </row>
    <row r="1938" spans="1:14" x14ac:dyDescent="0.25">
      <c r="A1938" s="1">
        <v>45362</v>
      </c>
      <c r="B1938" t="s">
        <v>44</v>
      </c>
      <c r="C1938" t="s">
        <v>12</v>
      </c>
      <c r="D1938">
        <v>34704</v>
      </c>
      <c r="E1938">
        <v>24620</v>
      </c>
      <c r="F1938">
        <v>10084</v>
      </c>
      <c r="G1938" t="s">
        <v>27</v>
      </c>
      <c r="H1938" t="s">
        <v>45</v>
      </c>
      <c r="I1938" t="s">
        <v>15</v>
      </c>
      <c r="J1938" s="2">
        <f>Table1[[#This Row],[Profit]]/Table1[[#This Row],[Sales]]*100</f>
        <v>29.057169202397422</v>
      </c>
      <c r="K1938" t="str">
        <f>IF(Table1[[#This Row],[Sales]]&gt;=30000,"High", IF(Table1[[#This Row],[Sales]]&gt;=15000,"Medium","Low"))</f>
        <v>High</v>
      </c>
      <c r="L1938" t="str">
        <f>TEXT(Table1[[#This Row],[Order_Date]],"MMM")</f>
        <v>Mar</v>
      </c>
      <c r="M1938" t="str">
        <f>IF(Table1[[#This Row],[Profit]]&gt;=10000,"Excellent",IF(Table1[[#This Row],[Profit]]&gt;5000,"Good","Low"))</f>
        <v>Excellent</v>
      </c>
      <c r="N1938" t="str">
        <f>TEXT(Table1[[#This Row],[Order_Date]],"YYYY")</f>
        <v>2024</v>
      </c>
    </row>
    <row r="1939" spans="1:14" x14ac:dyDescent="0.25">
      <c r="A1939" s="1">
        <v>45695</v>
      </c>
      <c r="B1939" t="s">
        <v>11</v>
      </c>
      <c r="C1939" t="s">
        <v>41</v>
      </c>
      <c r="D1939">
        <v>28157</v>
      </c>
      <c r="E1939">
        <v>22327</v>
      </c>
      <c r="F1939">
        <v>5830</v>
      </c>
      <c r="G1939" t="s">
        <v>19</v>
      </c>
      <c r="H1939" t="s">
        <v>14</v>
      </c>
      <c r="I1939" t="s">
        <v>24</v>
      </c>
      <c r="J1939" s="2">
        <f>Table1[[#This Row],[Profit]]/Table1[[#This Row],[Sales]]*100</f>
        <v>20.705330823596263</v>
      </c>
      <c r="K1939" t="str">
        <f>IF(Table1[[#This Row],[Sales]]&gt;=30000,"High", IF(Table1[[#This Row],[Sales]]&gt;=15000,"Medium","Low"))</f>
        <v>Medium</v>
      </c>
      <c r="L1939" t="str">
        <f>TEXT(Table1[[#This Row],[Order_Date]],"MMM")</f>
        <v>Feb</v>
      </c>
      <c r="M1939" t="str">
        <f>IF(Table1[[#This Row],[Profit]]&gt;=10000,"Excellent",IF(Table1[[#This Row],[Profit]]&gt;5000,"Good","Low"))</f>
        <v>Good</v>
      </c>
      <c r="N1939" t="str">
        <f>TEXT(Table1[[#This Row],[Order_Date]],"YYYY")</f>
        <v>2025</v>
      </c>
    </row>
    <row r="1940" spans="1:14" x14ac:dyDescent="0.25">
      <c r="A1940" s="1">
        <v>45683</v>
      </c>
      <c r="B1940" t="s">
        <v>26</v>
      </c>
      <c r="C1940" t="s">
        <v>41</v>
      </c>
      <c r="D1940">
        <v>40067</v>
      </c>
      <c r="E1940">
        <v>32192</v>
      </c>
      <c r="F1940">
        <v>7875</v>
      </c>
      <c r="G1940" t="s">
        <v>38</v>
      </c>
      <c r="H1940" t="s">
        <v>63</v>
      </c>
      <c r="I1940" t="s">
        <v>42</v>
      </c>
      <c r="J1940" s="2">
        <f>Table1[[#This Row],[Profit]]/Table1[[#This Row],[Sales]]*100</f>
        <v>19.654578580877029</v>
      </c>
      <c r="K1940" t="str">
        <f>IF(Table1[[#This Row],[Sales]]&gt;=30000,"High", IF(Table1[[#This Row],[Sales]]&gt;=15000,"Medium","Low"))</f>
        <v>High</v>
      </c>
      <c r="L1940" t="str">
        <f>TEXT(Table1[[#This Row],[Order_Date]],"MMM")</f>
        <v>Jan</v>
      </c>
      <c r="M1940" t="str">
        <f>IF(Table1[[#This Row],[Profit]]&gt;=10000,"Excellent",IF(Table1[[#This Row],[Profit]]&gt;5000,"Good","Low"))</f>
        <v>Good</v>
      </c>
      <c r="N1940" t="str">
        <f>TEXT(Table1[[#This Row],[Order_Date]],"YYYY")</f>
        <v>2025</v>
      </c>
    </row>
    <row r="1941" spans="1:14" x14ac:dyDescent="0.25">
      <c r="A1941" s="1">
        <v>45274</v>
      </c>
      <c r="B1941" t="s">
        <v>26</v>
      </c>
      <c r="C1941" t="s">
        <v>36</v>
      </c>
      <c r="D1941">
        <v>49390</v>
      </c>
      <c r="E1941">
        <v>46834</v>
      </c>
      <c r="F1941">
        <v>2556</v>
      </c>
      <c r="G1941" t="s">
        <v>13</v>
      </c>
      <c r="H1941" t="s">
        <v>20</v>
      </c>
      <c r="I1941" t="s">
        <v>24</v>
      </c>
      <c r="J1941" s="2">
        <f>Table1[[#This Row],[Profit]]/Table1[[#This Row],[Sales]]*100</f>
        <v>5.1751366673415671</v>
      </c>
      <c r="K1941" t="str">
        <f>IF(Table1[[#This Row],[Sales]]&gt;=30000,"High", IF(Table1[[#This Row],[Sales]]&gt;=15000,"Medium","Low"))</f>
        <v>High</v>
      </c>
      <c r="L1941" t="str">
        <f>TEXT(Table1[[#This Row],[Order_Date]],"MMM")</f>
        <v>Dec</v>
      </c>
      <c r="M1941" t="str">
        <f>IF(Table1[[#This Row],[Profit]]&gt;=10000,"Excellent",IF(Table1[[#This Row],[Profit]]&gt;5000,"Good","Low"))</f>
        <v>Low</v>
      </c>
      <c r="N1941" t="str">
        <f>TEXT(Table1[[#This Row],[Order_Date]],"YYYY")</f>
        <v>2023</v>
      </c>
    </row>
    <row r="1942" spans="1:14" x14ac:dyDescent="0.25">
      <c r="A1942" s="1">
        <v>45152</v>
      </c>
      <c r="B1942" t="s">
        <v>44</v>
      </c>
      <c r="C1942" t="s">
        <v>41</v>
      </c>
      <c r="D1942">
        <v>11177</v>
      </c>
      <c r="E1942">
        <v>1175</v>
      </c>
      <c r="F1942">
        <v>10002</v>
      </c>
      <c r="G1942" t="s">
        <v>38</v>
      </c>
      <c r="H1942" t="s">
        <v>20</v>
      </c>
      <c r="I1942" t="s">
        <v>15</v>
      </c>
      <c r="J1942" s="2">
        <f>Table1[[#This Row],[Profit]]/Table1[[#This Row],[Sales]]*100</f>
        <v>89.487340073364948</v>
      </c>
      <c r="K1942" t="str">
        <f>IF(Table1[[#This Row],[Sales]]&gt;=30000,"High", IF(Table1[[#This Row],[Sales]]&gt;=15000,"Medium","Low"))</f>
        <v>Low</v>
      </c>
      <c r="L1942" t="str">
        <f>TEXT(Table1[[#This Row],[Order_Date]],"MMM")</f>
        <v>Aug</v>
      </c>
      <c r="M1942" t="str">
        <f>IF(Table1[[#This Row],[Profit]]&gt;=10000,"Excellent",IF(Table1[[#This Row],[Profit]]&gt;5000,"Good","Low"))</f>
        <v>Excellent</v>
      </c>
      <c r="N1942" t="str">
        <f>TEXT(Table1[[#This Row],[Order_Date]],"YYYY")</f>
        <v>2023</v>
      </c>
    </row>
    <row r="1943" spans="1:14" x14ac:dyDescent="0.25">
      <c r="A1943" s="1">
        <v>45589</v>
      </c>
      <c r="B1943" t="s">
        <v>17</v>
      </c>
      <c r="C1943" t="s">
        <v>41</v>
      </c>
      <c r="D1943">
        <v>16677</v>
      </c>
      <c r="E1943">
        <v>798</v>
      </c>
      <c r="F1943">
        <v>15879</v>
      </c>
      <c r="G1943" t="s">
        <v>13</v>
      </c>
      <c r="H1943" t="s">
        <v>14</v>
      </c>
      <c r="I1943" t="s">
        <v>42</v>
      </c>
      <c r="J1943" s="2">
        <f>Table1[[#This Row],[Profit]]/Table1[[#This Row],[Sales]]*100</f>
        <v>95.214966720633214</v>
      </c>
      <c r="K1943" t="str">
        <f>IF(Table1[[#This Row],[Sales]]&gt;=30000,"High", IF(Table1[[#This Row],[Sales]]&gt;=15000,"Medium","Low"))</f>
        <v>Medium</v>
      </c>
      <c r="L1943" t="str">
        <f>TEXT(Table1[[#This Row],[Order_Date]],"MMM")</f>
        <v>Oct</v>
      </c>
      <c r="M1943" t="str">
        <f>IF(Table1[[#This Row],[Profit]]&gt;=10000,"Excellent",IF(Table1[[#This Row],[Profit]]&gt;5000,"Good","Low"))</f>
        <v>Excellent</v>
      </c>
      <c r="N1943" t="str">
        <f>TEXT(Table1[[#This Row],[Order_Date]],"YYYY")</f>
        <v>2024</v>
      </c>
    </row>
    <row r="1944" spans="1:14" x14ac:dyDescent="0.25">
      <c r="A1944" s="1">
        <v>45194</v>
      </c>
      <c r="B1944" t="s">
        <v>17</v>
      </c>
      <c r="C1944" t="s">
        <v>12</v>
      </c>
      <c r="D1944">
        <v>8833</v>
      </c>
      <c r="E1944">
        <v>702</v>
      </c>
      <c r="F1944">
        <v>8131</v>
      </c>
      <c r="G1944" t="s">
        <v>13</v>
      </c>
      <c r="H1944" t="s">
        <v>31</v>
      </c>
      <c r="I1944" t="s">
        <v>53</v>
      </c>
      <c r="J1944" s="2">
        <f>Table1[[#This Row],[Profit]]/Table1[[#This Row],[Sales]]*100</f>
        <v>92.052530284161676</v>
      </c>
      <c r="K1944" t="str">
        <f>IF(Table1[[#This Row],[Sales]]&gt;=30000,"High", IF(Table1[[#This Row],[Sales]]&gt;=15000,"Medium","Low"))</f>
        <v>Low</v>
      </c>
      <c r="L1944" t="str">
        <f>TEXT(Table1[[#This Row],[Order_Date]],"MMM")</f>
        <v>Sep</v>
      </c>
      <c r="M1944" t="str">
        <f>IF(Table1[[#This Row],[Profit]]&gt;=10000,"Excellent",IF(Table1[[#This Row],[Profit]]&gt;5000,"Good","Low"))</f>
        <v>Good</v>
      </c>
      <c r="N1944" t="str">
        <f>TEXT(Table1[[#This Row],[Order_Date]],"YYYY")</f>
        <v>2023</v>
      </c>
    </row>
    <row r="1945" spans="1:14" x14ac:dyDescent="0.25">
      <c r="A1945" s="1">
        <v>46204</v>
      </c>
      <c r="B1945" t="s">
        <v>22</v>
      </c>
      <c r="C1945" t="s">
        <v>41</v>
      </c>
      <c r="D1945">
        <v>9860</v>
      </c>
      <c r="E1945">
        <v>5922</v>
      </c>
      <c r="F1945">
        <v>3938</v>
      </c>
      <c r="G1945" t="s">
        <v>27</v>
      </c>
      <c r="H1945" t="s">
        <v>31</v>
      </c>
      <c r="I1945" t="s">
        <v>29</v>
      </c>
      <c r="J1945" s="2">
        <f>Table1[[#This Row],[Profit]]/Table1[[#This Row],[Sales]]*100</f>
        <v>39.939148073022309</v>
      </c>
      <c r="K1945" t="str">
        <f>IF(Table1[[#This Row],[Sales]]&gt;=30000,"High", IF(Table1[[#This Row],[Sales]]&gt;=15000,"Medium","Low"))</f>
        <v>Low</v>
      </c>
      <c r="L1945" t="str">
        <f>TEXT(Table1[[#This Row],[Order_Date]],"MMM")</f>
        <v>Jul</v>
      </c>
      <c r="M1945" t="str">
        <f>IF(Table1[[#This Row],[Profit]]&gt;=10000,"Excellent",IF(Table1[[#This Row],[Profit]]&gt;5000,"Good","Low"))</f>
        <v>Low</v>
      </c>
      <c r="N1945" t="str">
        <f>TEXT(Table1[[#This Row],[Order_Date]],"YYYY")</f>
        <v>2026</v>
      </c>
    </row>
    <row r="1946" spans="1:14" x14ac:dyDescent="0.25">
      <c r="A1946" s="1">
        <v>45488</v>
      </c>
      <c r="B1946" t="s">
        <v>22</v>
      </c>
      <c r="C1946" t="s">
        <v>18</v>
      </c>
      <c r="D1946">
        <v>49966</v>
      </c>
      <c r="E1946">
        <v>33839</v>
      </c>
      <c r="F1946">
        <v>16127</v>
      </c>
      <c r="G1946" t="s">
        <v>19</v>
      </c>
      <c r="H1946" t="s">
        <v>34</v>
      </c>
      <c r="I1946" t="s">
        <v>15</v>
      </c>
      <c r="J1946" s="2">
        <f>Table1[[#This Row],[Profit]]/Table1[[#This Row],[Sales]]*100</f>
        <v>32.275947644398187</v>
      </c>
      <c r="K1946" t="str">
        <f>IF(Table1[[#This Row],[Sales]]&gt;=30000,"High", IF(Table1[[#This Row],[Sales]]&gt;=15000,"Medium","Low"))</f>
        <v>High</v>
      </c>
      <c r="L1946" t="str">
        <f>TEXT(Table1[[#This Row],[Order_Date]],"MMM")</f>
        <v>Jul</v>
      </c>
      <c r="M1946" t="str">
        <f>IF(Table1[[#This Row],[Profit]]&gt;=10000,"Excellent",IF(Table1[[#This Row],[Profit]]&gt;5000,"Good","Low"))</f>
        <v>Excellent</v>
      </c>
      <c r="N1946" t="str">
        <f>TEXT(Table1[[#This Row],[Order_Date]],"YYYY")</f>
        <v>2024</v>
      </c>
    </row>
    <row r="1947" spans="1:14" x14ac:dyDescent="0.25">
      <c r="A1947" s="1">
        <v>45900</v>
      </c>
      <c r="B1947" t="s">
        <v>26</v>
      </c>
      <c r="C1947" t="s">
        <v>33</v>
      </c>
      <c r="D1947">
        <v>47360</v>
      </c>
      <c r="E1947">
        <v>39373</v>
      </c>
      <c r="F1947">
        <v>7987</v>
      </c>
      <c r="G1947" t="s">
        <v>27</v>
      </c>
      <c r="H1947" t="s">
        <v>23</v>
      </c>
      <c r="I1947" t="s">
        <v>15</v>
      </c>
      <c r="J1947" s="2">
        <f>Table1[[#This Row],[Profit]]/Table1[[#This Row],[Sales]]*100</f>
        <v>16.864442567567568</v>
      </c>
      <c r="K1947" t="str">
        <f>IF(Table1[[#This Row],[Sales]]&gt;=30000,"High", IF(Table1[[#This Row],[Sales]]&gt;=15000,"Medium","Low"))</f>
        <v>High</v>
      </c>
      <c r="L1947" t="str">
        <f>TEXT(Table1[[#This Row],[Order_Date]],"MMM")</f>
        <v>Aug</v>
      </c>
      <c r="M1947" t="str">
        <f>IF(Table1[[#This Row],[Profit]]&gt;=10000,"Excellent",IF(Table1[[#This Row],[Profit]]&gt;5000,"Good","Low"))</f>
        <v>Good</v>
      </c>
      <c r="N1947" t="str">
        <f>TEXT(Table1[[#This Row],[Order_Date]],"YYYY")</f>
        <v>2025</v>
      </c>
    </row>
    <row r="1948" spans="1:14" x14ac:dyDescent="0.25">
      <c r="A1948" s="1">
        <v>45718</v>
      </c>
      <c r="B1948" t="s">
        <v>17</v>
      </c>
      <c r="C1948" t="s">
        <v>41</v>
      </c>
      <c r="D1948">
        <v>21869</v>
      </c>
      <c r="E1948">
        <v>8413</v>
      </c>
      <c r="F1948">
        <v>13456</v>
      </c>
      <c r="G1948" t="s">
        <v>38</v>
      </c>
      <c r="H1948" t="s">
        <v>34</v>
      </c>
      <c r="I1948" t="s">
        <v>42</v>
      </c>
      <c r="J1948" s="2">
        <f>Table1[[#This Row],[Profit]]/Table1[[#This Row],[Sales]]*100</f>
        <v>61.530019662536006</v>
      </c>
      <c r="K1948" t="str">
        <f>IF(Table1[[#This Row],[Sales]]&gt;=30000,"High", IF(Table1[[#This Row],[Sales]]&gt;=15000,"Medium","Low"))</f>
        <v>Medium</v>
      </c>
      <c r="L1948" t="str">
        <f>TEXT(Table1[[#This Row],[Order_Date]],"MMM")</f>
        <v>Mar</v>
      </c>
      <c r="M1948" t="str">
        <f>IF(Table1[[#This Row],[Profit]]&gt;=10000,"Excellent",IF(Table1[[#This Row],[Profit]]&gt;5000,"Good","Low"))</f>
        <v>Excellent</v>
      </c>
      <c r="N1948" t="str">
        <f>TEXT(Table1[[#This Row],[Order_Date]],"YYYY")</f>
        <v>2025</v>
      </c>
    </row>
    <row r="1949" spans="1:14" x14ac:dyDescent="0.25">
      <c r="A1949" s="1">
        <v>45652</v>
      </c>
      <c r="B1949" t="s">
        <v>17</v>
      </c>
      <c r="C1949" t="s">
        <v>12</v>
      </c>
      <c r="D1949">
        <v>44756</v>
      </c>
      <c r="E1949">
        <v>33612</v>
      </c>
      <c r="F1949">
        <v>11144</v>
      </c>
      <c r="G1949" t="s">
        <v>38</v>
      </c>
      <c r="H1949" t="s">
        <v>60</v>
      </c>
      <c r="I1949" t="s">
        <v>15</v>
      </c>
      <c r="J1949" s="2">
        <f>Table1[[#This Row],[Profit]]/Table1[[#This Row],[Sales]]*100</f>
        <v>24.899454821699884</v>
      </c>
      <c r="K1949" t="str">
        <f>IF(Table1[[#This Row],[Sales]]&gt;=30000,"High", IF(Table1[[#This Row],[Sales]]&gt;=15000,"Medium","Low"))</f>
        <v>High</v>
      </c>
      <c r="L1949" t="str">
        <f>TEXT(Table1[[#This Row],[Order_Date]],"MMM")</f>
        <v>Dec</v>
      </c>
      <c r="M1949" t="str">
        <f>IF(Table1[[#This Row],[Profit]]&gt;=10000,"Excellent",IF(Table1[[#This Row],[Profit]]&gt;5000,"Good","Low"))</f>
        <v>Excellent</v>
      </c>
      <c r="N1949" t="str">
        <f>TEXT(Table1[[#This Row],[Order_Date]],"YYYY")</f>
        <v>2024</v>
      </c>
    </row>
    <row r="1950" spans="1:14" x14ac:dyDescent="0.25">
      <c r="A1950" s="1">
        <v>46063</v>
      </c>
      <c r="B1950" t="s">
        <v>17</v>
      </c>
      <c r="C1950" t="s">
        <v>33</v>
      </c>
      <c r="D1950">
        <v>9800</v>
      </c>
      <c r="E1950">
        <v>2793</v>
      </c>
      <c r="F1950">
        <v>7007</v>
      </c>
      <c r="G1950" t="s">
        <v>19</v>
      </c>
      <c r="H1950" t="s">
        <v>31</v>
      </c>
      <c r="I1950" t="s">
        <v>15</v>
      </c>
      <c r="J1950" s="2">
        <f>Table1[[#This Row],[Profit]]/Table1[[#This Row],[Sales]]*100</f>
        <v>71.5</v>
      </c>
      <c r="K1950" t="str">
        <f>IF(Table1[[#This Row],[Sales]]&gt;=30000,"High", IF(Table1[[#This Row],[Sales]]&gt;=15000,"Medium","Low"))</f>
        <v>Low</v>
      </c>
      <c r="L1950" t="str">
        <f>TEXT(Table1[[#This Row],[Order_Date]],"MMM")</f>
        <v>Feb</v>
      </c>
      <c r="M1950" t="str">
        <f>IF(Table1[[#This Row],[Profit]]&gt;=10000,"Excellent",IF(Table1[[#This Row],[Profit]]&gt;5000,"Good","Low"))</f>
        <v>Good</v>
      </c>
      <c r="N1950" t="str">
        <f>TEXT(Table1[[#This Row],[Order_Date]],"YYYY")</f>
        <v>2026</v>
      </c>
    </row>
    <row r="1951" spans="1:14" x14ac:dyDescent="0.25">
      <c r="A1951" s="1">
        <v>45699</v>
      </c>
      <c r="B1951" t="s">
        <v>26</v>
      </c>
      <c r="C1951" t="s">
        <v>18</v>
      </c>
      <c r="D1951">
        <v>33598</v>
      </c>
      <c r="E1951">
        <v>29601</v>
      </c>
      <c r="F1951">
        <v>3997</v>
      </c>
      <c r="G1951" t="s">
        <v>27</v>
      </c>
      <c r="H1951" t="s">
        <v>14</v>
      </c>
      <c r="I1951" t="s">
        <v>15</v>
      </c>
      <c r="J1951" s="2">
        <f>Table1[[#This Row],[Profit]]/Table1[[#This Row],[Sales]]*100</f>
        <v>11.896541460801238</v>
      </c>
      <c r="K1951" t="str">
        <f>IF(Table1[[#This Row],[Sales]]&gt;=30000,"High", IF(Table1[[#This Row],[Sales]]&gt;=15000,"Medium","Low"))</f>
        <v>High</v>
      </c>
      <c r="L1951" t="str">
        <f>TEXT(Table1[[#This Row],[Order_Date]],"MMM")</f>
        <v>Feb</v>
      </c>
      <c r="M1951" t="str">
        <f>IF(Table1[[#This Row],[Profit]]&gt;=10000,"Excellent",IF(Table1[[#This Row],[Profit]]&gt;5000,"Good","Low"))</f>
        <v>Low</v>
      </c>
      <c r="N1951" t="str">
        <f>TEXT(Table1[[#This Row],[Order_Date]],"YYYY")</f>
        <v>2025</v>
      </c>
    </row>
    <row r="1952" spans="1:14" x14ac:dyDescent="0.25">
      <c r="A1952" s="1">
        <v>45598</v>
      </c>
      <c r="B1952" t="s">
        <v>44</v>
      </c>
      <c r="C1952" t="s">
        <v>18</v>
      </c>
      <c r="D1952">
        <v>29901</v>
      </c>
      <c r="E1952">
        <v>27632</v>
      </c>
      <c r="F1952">
        <v>2269</v>
      </c>
      <c r="G1952" t="s">
        <v>27</v>
      </c>
      <c r="H1952" t="s">
        <v>60</v>
      </c>
      <c r="I1952" t="s">
        <v>53</v>
      </c>
      <c r="J1952" s="2">
        <f>Table1[[#This Row],[Profit]]/Table1[[#This Row],[Sales]]*100</f>
        <v>7.5883749707367647</v>
      </c>
      <c r="K1952" t="str">
        <f>IF(Table1[[#This Row],[Sales]]&gt;=30000,"High", IF(Table1[[#This Row],[Sales]]&gt;=15000,"Medium","Low"))</f>
        <v>Medium</v>
      </c>
      <c r="L1952" t="str">
        <f>TEXT(Table1[[#This Row],[Order_Date]],"MMM")</f>
        <v>Nov</v>
      </c>
      <c r="M1952" t="str">
        <f>IF(Table1[[#This Row],[Profit]]&gt;=10000,"Excellent",IF(Table1[[#This Row],[Profit]]&gt;5000,"Good","Low"))</f>
        <v>Low</v>
      </c>
      <c r="N1952" t="str">
        <f>TEXT(Table1[[#This Row],[Order_Date]],"YYYY")</f>
        <v>2024</v>
      </c>
    </row>
    <row r="1953" spans="1:14" x14ac:dyDescent="0.25">
      <c r="A1953" s="1">
        <v>45447</v>
      </c>
      <c r="B1953" t="s">
        <v>44</v>
      </c>
      <c r="C1953" t="s">
        <v>36</v>
      </c>
      <c r="D1953">
        <v>10661</v>
      </c>
      <c r="E1953">
        <v>8116</v>
      </c>
      <c r="F1953">
        <v>2545</v>
      </c>
      <c r="G1953" t="s">
        <v>19</v>
      </c>
      <c r="H1953" t="s">
        <v>14</v>
      </c>
      <c r="I1953" t="s">
        <v>29</v>
      </c>
      <c r="J1953" s="2">
        <f>Table1[[#This Row],[Profit]]/Table1[[#This Row],[Sales]]*100</f>
        <v>23.872057030297345</v>
      </c>
      <c r="K1953" t="str">
        <f>IF(Table1[[#This Row],[Sales]]&gt;=30000,"High", IF(Table1[[#This Row],[Sales]]&gt;=15000,"Medium","Low"))</f>
        <v>Low</v>
      </c>
      <c r="L1953" t="str">
        <f>TEXT(Table1[[#This Row],[Order_Date]],"MMM")</f>
        <v>Jun</v>
      </c>
      <c r="M1953" t="str">
        <f>IF(Table1[[#This Row],[Profit]]&gt;=10000,"Excellent",IF(Table1[[#This Row],[Profit]]&gt;5000,"Good","Low"))</f>
        <v>Low</v>
      </c>
      <c r="N1953" t="str">
        <f>TEXT(Table1[[#This Row],[Order_Date]],"YYYY")</f>
        <v>2024</v>
      </c>
    </row>
    <row r="1954" spans="1:14" x14ac:dyDescent="0.25">
      <c r="A1954" s="1">
        <v>45484</v>
      </c>
      <c r="B1954" t="s">
        <v>26</v>
      </c>
      <c r="C1954" t="s">
        <v>18</v>
      </c>
      <c r="D1954">
        <v>15700</v>
      </c>
      <c r="E1954">
        <v>8966</v>
      </c>
      <c r="F1954">
        <v>6734</v>
      </c>
      <c r="G1954" t="s">
        <v>13</v>
      </c>
      <c r="H1954" t="s">
        <v>20</v>
      </c>
      <c r="I1954" t="s">
        <v>15</v>
      </c>
      <c r="J1954" s="2">
        <f>Table1[[#This Row],[Profit]]/Table1[[#This Row],[Sales]]*100</f>
        <v>42.891719745222929</v>
      </c>
      <c r="K1954" t="str">
        <f>IF(Table1[[#This Row],[Sales]]&gt;=30000,"High", IF(Table1[[#This Row],[Sales]]&gt;=15000,"Medium","Low"))</f>
        <v>Medium</v>
      </c>
      <c r="L1954" t="str">
        <f>TEXT(Table1[[#This Row],[Order_Date]],"MMM")</f>
        <v>Jul</v>
      </c>
      <c r="M1954" t="str">
        <f>IF(Table1[[#This Row],[Profit]]&gt;=10000,"Excellent",IF(Table1[[#This Row],[Profit]]&gt;5000,"Good","Low"))</f>
        <v>Good</v>
      </c>
      <c r="N1954" t="str">
        <f>TEXT(Table1[[#This Row],[Order_Date]],"YYYY")</f>
        <v>2024</v>
      </c>
    </row>
    <row r="1955" spans="1:14" x14ac:dyDescent="0.25">
      <c r="A1955" s="1">
        <v>46152</v>
      </c>
      <c r="B1955" t="s">
        <v>44</v>
      </c>
      <c r="C1955" t="s">
        <v>33</v>
      </c>
      <c r="D1955">
        <v>20115</v>
      </c>
      <c r="E1955">
        <v>8159</v>
      </c>
      <c r="F1955">
        <v>11956</v>
      </c>
      <c r="G1955" t="s">
        <v>19</v>
      </c>
      <c r="H1955" t="s">
        <v>23</v>
      </c>
      <c r="I1955" t="s">
        <v>29</v>
      </c>
      <c r="J1955" s="2">
        <f>Table1[[#This Row],[Profit]]/Table1[[#This Row],[Sales]]*100</f>
        <v>59.438230176485206</v>
      </c>
      <c r="K1955" t="str">
        <f>IF(Table1[[#This Row],[Sales]]&gt;=30000,"High", IF(Table1[[#This Row],[Sales]]&gt;=15000,"Medium","Low"))</f>
        <v>Medium</v>
      </c>
      <c r="L1955" t="str">
        <f>TEXT(Table1[[#This Row],[Order_Date]],"MMM")</f>
        <v>May</v>
      </c>
      <c r="M1955" t="str">
        <f>IF(Table1[[#This Row],[Profit]]&gt;=10000,"Excellent",IF(Table1[[#This Row],[Profit]]&gt;5000,"Good","Low"))</f>
        <v>Excellent</v>
      </c>
      <c r="N1955" t="str">
        <f>TEXT(Table1[[#This Row],[Order_Date]],"YYYY")</f>
        <v>2026</v>
      </c>
    </row>
    <row r="1956" spans="1:14" x14ac:dyDescent="0.25">
      <c r="A1956" s="1">
        <v>45118</v>
      </c>
      <c r="B1956" t="s">
        <v>22</v>
      </c>
      <c r="C1956" t="s">
        <v>12</v>
      </c>
      <c r="D1956">
        <v>43340</v>
      </c>
      <c r="E1956">
        <v>35274</v>
      </c>
      <c r="F1956">
        <v>8066</v>
      </c>
      <c r="G1956" t="s">
        <v>27</v>
      </c>
      <c r="H1956" t="s">
        <v>78</v>
      </c>
      <c r="I1956" t="s">
        <v>15</v>
      </c>
      <c r="J1956" s="2">
        <f>Table1[[#This Row],[Profit]]/Table1[[#This Row],[Sales]]*100</f>
        <v>18.610982925703738</v>
      </c>
      <c r="K1956" t="str">
        <f>IF(Table1[[#This Row],[Sales]]&gt;=30000,"High", IF(Table1[[#This Row],[Sales]]&gt;=15000,"Medium","Low"))</f>
        <v>High</v>
      </c>
      <c r="L1956" t="str">
        <f>TEXT(Table1[[#This Row],[Order_Date]],"MMM")</f>
        <v>Jul</v>
      </c>
      <c r="M1956" t="str">
        <f>IF(Table1[[#This Row],[Profit]]&gt;=10000,"Excellent",IF(Table1[[#This Row],[Profit]]&gt;5000,"Good","Low"))</f>
        <v>Good</v>
      </c>
      <c r="N1956" t="str">
        <f>TEXT(Table1[[#This Row],[Order_Date]],"YYYY")</f>
        <v>2023</v>
      </c>
    </row>
    <row r="1957" spans="1:14" x14ac:dyDescent="0.25">
      <c r="A1957" s="1">
        <v>45979</v>
      </c>
      <c r="B1957" t="s">
        <v>17</v>
      </c>
      <c r="C1957" t="s">
        <v>12</v>
      </c>
      <c r="D1957">
        <v>6545</v>
      </c>
      <c r="E1957">
        <v>4876</v>
      </c>
      <c r="F1957">
        <v>1669</v>
      </c>
      <c r="G1957" t="s">
        <v>13</v>
      </c>
      <c r="H1957" t="s">
        <v>63</v>
      </c>
      <c r="I1957" t="s">
        <v>42</v>
      </c>
      <c r="J1957" s="2">
        <f>Table1[[#This Row],[Profit]]/Table1[[#This Row],[Sales]]*100</f>
        <v>25.500381970970203</v>
      </c>
      <c r="K1957" t="str">
        <f>IF(Table1[[#This Row],[Sales]]&gt;=30000,"High", IF(Table1[[#This Row],[Sales]]&gt;=15000,"Medium","Low"))</f>
        <v>Low</v>
      </c>
      <c r="L1957" t="str">
        <f>TEXT(Table1[[#This Row],[Order_Date]],"MMM")</f>
        <v>Nov</v>
      </c>
      <c r="M1957" t="str">
        <f>IF(Table1[[#This Row],[Profit]]&gt;=10000,"Excellent",IF(Table1[[#This Row],[Profit]]&gt;5000,"Good","Low"))</f>
        <v>Low</v>
      </c>
      <c r="N1957" t="str">
        <f>TEXT(Table1[[#This Row],[Order_Date]],"YYYY")</f>
        <v>2025</v>
      </c>
    </row>
    <row r="1958" spans="1:14" x14ac:dyDescent="0.25">
      <c r="A1958" s="1">
        <v>45631</v>
      </c>
      <c r="B1958" t="s">
        <v>17</v>
      </c>
      <c r="C1958" t="s">
        <v>33</v>
      </c>
      <c r="D1958">
        <v>9002</v>
      </c>
      <c r="E1958">
        <v>341</v>
      </c>
      <c r="F1958">
        <v>8661</v>
      </c>
      <c r="G1958" t="s">
        <v>27</v>
      </c>
      <c r="H1958" t="s">
        <v>14</v>
      </c>
      <c r="I1958" t="s">
        <v>29</v>
      </c>
      <c r="J1958" s="2">
        <f>Table1[[#This Row],[Profit]]/Table1[[#This Row],[Sales]]*100</f>
        <v>96.211952899355708</v>
      </c>
      <c r="K1958" t="str">
        <f>IF(Table1[[#This Row],[Sales]]&gt;=30000,"High", IF(Table1[[#This Row],[Sales]]&gt;=15000,"Medium","Low"))</f>
        <v>Low</v>
      </c>
      <c r="L1958" t="str">
        <f>TEXT(Table1[[#This Row],[Order_Date]],"MMM")</f>
        <v>Dec</v>
      </c>
      <c r="M1958" t="str">
        <f>IF(Table1[[#This Row],[Profit]]&gt;=10000,"Excellent",IF(Table1[[#This Row],[Profit]]&gt;5000,"Good","Low"))</f>
        <v>Good</v>
      </c>
      <c r="N1958" t="str">
        <f>TEXT(Table1[[#This Row],[Order_Date]],"YYYY")</f>
        <v>2024</v>
      </c>
    </row>
    <row r="1959" spans="1:14" x14ac:dyDescent="0.25">
      <c r="A1959" s="1">
        <v>45867</v>
      </c>
      <c r="B1959" t="s">
        <v>11</v>
      </c>
      <c r="C1959" t="s">
        <v>41</v>
      </c>
      <c r="D1959">
        <v>14833</v>
      </c>
      <c r="E1959">
        <v>11877</v>
      </c>
      <c r="F1959">
        <v>2956</v>
      </c>
      <c r="G1959" t="s">
        <v>38</v>
      </c>
      <c r="H1959" t="s">
        <v>20</v>
      </c>
      <c r="I1959" t="s">
        <v>29</v>
      </c>
      <c r="J1959" s="2">
        <f>Table1[[#This Row],[Profit]]/Table1[[#This Row],[Sales]]*100</f>
        <v>19.928537719948764</v>
      </c>
      <c r="K1959" t="str">
        <f>IF(Table1[[#This Row],[Sales]]&gt;=30000,"High", IF(Table1[[#This Row],[Sales]]&gt;=15000,"Medium","Low"))</f>
        <v>Low</v>
      </c>
      <c r="L1959" t="str">
        <f>TEXT(Table1[[#This Row],[Order_Date]],"MMM")</f>
        <v>Jul</v>
      </c>
      <c r="M1959" t="str">
        <f>IF(Table1[[#This Row],[Profit]]&gt;=10000,"Excellent",IF(Table1[[#This Row],[Profit]]&gt;5000,"Good","Low"))</f>
        <v>Low</v>
      </c>
      <c r="N1959" t="str">
        <f>TEXT(Table1[[#This Row],[Order_Date]],"YYYY")</f>
        <v>2025</v>
      </c>
    </row>
    <row r="1960" spans="1:14" x14ac:dyDescent="0.25">
      <c r="A1960" s="1">
        <v>45842</v>
      </c>
      <c r="B1960" t="s">
        <v>22</v>
      </c>
      <c r="C1960" t="s">
        <v>18</v>
      </c>
      <c r="D1960">
        <v>13821</v>
      </c>
      <c r="E1960">
        <v>8579</v>
      </c>
      <c r="F1960">
        <v>5242</v>
      </c>
      <c r="G1960" t="s">
        <v>27</v>
      </c>
      <c r="H1960" t="s">
        <v>45</v>
      </c>
      <c r="I1960" t="s">
        <v>53</v>
      </c>
      <c r="J1960" s="2">
        <f>Table1[[#This Row],[Profit]]/Table1[[#This Row],[Sales]]*100</f>
        <v>37.927791042616313</v>
      </c>
      <c r="K1960" t="str">
        <f>IF(Table1[[#This Row],[Sales]]&gt;=30000,"High", IF(Table1[[#This Row],[Sales]]&gt;=15000,"Medium","Low"))</f>
        <v>Low</v>
      </c>
      <c r="L1960" t="str">
        <f>TEXT(Table1[[#This Row],[Order_Date]],"MMM")</f>
        <v>Jul</v>
      </c>
      <c r="M1960" t="str">
        <f>IF(Table1[[#This Row],[Profit]]&gt;=10000,"Excellent",IF(Table1[[#This Row],[Profit]]&gt;5000,"Good","Low"))</f>
        <v>Good</v>
      </c>
      <c r="N1960" t="str">
        <f>TEXT(Table1[[#This Row],[Order_Date]],"YYYY")</f>
        <v>2025</v>
      </c>
    </row>
    <row r="1961" spans="1:14" x14ac:dyDescent="0.25">
      <c r="A1961" s="1">
        <v>45265</v>
      </c>
      <c r="B1961" t="s">
        <v>26</v>
      </c>
      <c r="C1961" t="s">
        <v>12</v>
      </c>
      <c r="D1961">
        <v>25691</v>
      </c>
      <c r="E1961">
        <v>7163</v>
      </c>
      <c r="F1961">
        <v>18528</v>
      </c>
      <c r="G1961" t="s">
        <v>13</v>
      </c>
      <c r="H1961" t="s">
        <v>23</v>
      </c>
      <c r="I1961" t="s">
        <v>53</v>
      </c>
      <c r="J1961" s="2">
        <f>Table1[[#This Row],[Profit]]/Table1[[#This Row],[Sales]]*100</f>
        <v>72.118640769140939</v>
      </c>
      <c r="K1961" t="str">
        <f>IF(Table1[[#This Row],[Sales]]&gt;=30000,"High", IF(Table1[[#This Row],[Sales]]&gt;=15000,"Medium","Low"))</f>
        <v>Medium</v>
      </c>
      <c r="L1961" t="str">
        <f>TEXT(Table1[[#This Row],[Order_Date]],"MMM")</f>
        <v>Dec</v>
      </c>
      <c r="M1961" t="str">
        <f>IF(Table1[[#This Row],[Profit]]&gt;=10000,"Excellent",IF(Table1[[#This Row],[Profit]]&gt;5000,"Good","Low"))</f>
        <v>Excellent</v>
      </c>
      <c r="N1961" t="str">
        <f>TEXT(Table1[[#This Row],[Order_Date]],"YYYY")</f>
        <v>2023</v>
      </c>
    </row>
    <row r="1962" spans="1:14" x14ac:dyDescent="0.25">
      <c r="A1962" s="1">
        <v>46084</v>
      </c>
      <c r="B1962" t="s">
        <v>26</v>
      </c>
      <c r="C1962" t="s">
        <v>41</v>
      </c>
      <c r="D1962">
        <v>19680</v>
      </c>
      <c r="E1962">
        <v>10287</v>
      </c>
      <c r="F1962">
        <v>9393</v>
      </c>
      <c r="G1962" t="s">
        <v>19</v>
      </c>
      <c r="H1962" t="s">
        <v>20</v>
      </c>
      <c r="I1962" t="s">
        <v>42</v>
      </c>
      <c r="J1962" s="2">
        <f>Table1[[#This Row],[Profit]]/Table1[[#This Row],[Sales]]*100</f>
        <v>47.728658536585364</v>
      </c>
      <c r="K1962" t="str">
        <f>IF(Table1[[#This Row],[Sales]]&gt;=30000,"High", IF(Table1[[#This Row],[Sales]]&gt;=15000,"Medium","Low"))</f>
        <v>Medium</v>
      </c>
      <c r="L1962" t="str">
        <f>TEXT(Table1[[#This Row],[Order_Date]],"MMM")</f>
        <v>Mar</v>
      </c>
      <c r="M1962" t="str">
        <f>IF(Table1[[#This Row],[Profit]]&gt;=10000,"Excellent",IF(Table1[[#This Row],[Profit]]&gt;5000,"Good","Low"))</f>
        <v>Good</v>
      </c>
      <c r="N1962" t="str">
        <f>TEXT(Table1[[#This Row],[Order_Date]],"YYYY")</f>
        <v>2026</v>
      </c>
    </row>
    <row r="1963" spans="1:14" x14ac:dyDescent="0.25">
      <c r="A1963" s="1">
        <v>45156</v>
      </c>
      <c r="B1963" t="s">
        <v>11</v>
      </c>
      <c r="C1963" t="s">
        <v>36</v>
      </c>
      <c r="D1963">
        <v>40533</v>
      </c>
      <c r="E1963">
        <v>33611</v>
      </c>
      <c r="F1963">
        <v>6922</v>
      </c>
      <c r="G1963" t="s">
        <v>13</v>
      </c>
      <c r="H1963" t="s">
        <v>60</v>
      </c>
      <c r="I1963" t="s">
        <v>15</v>
      </c>
      <c r="J1963" s="2">
        <f>Table1[[#This Row],[Profit]]/Table1[[#This Row],[Sales]]*100</f>
        <v>17.077443071077887</v>
      </c>
      <c r="K1963" t="str">
        <f>IF(Table1[[#This Row],[Sales]]&gt;=30000,"High", IF(Table1[[#This Row],[Sales]]&gt;=15000,"Medium","Low"))</f>
        <v>High</v>
      </c>
      <c r="L1963" t="str">
        <f>TEXT(Table1[[#This Row],[Order_Date]],"MMM")</f>
        <v>Aug</v>
      </c>
      <c r="M1963" t="str">
        <f>IF(Table1[[#This Row],[Profit]]&gt;=10000,"Excellent",IF(Table1[[#This Row],[Profit]]&gt;5000,"Good","Low"))</f>
        <v>Good</v>
      </c>
      <c r="N1963" t="str">
        <f>TEXT(Table1[[#This Row],[Order_Date]],"YYYY")</f>
        <v>2023</v>
      </c>
    </row>
    <row r="1964" spans="1:14" x14ac:dyDescent="0.25">
      <c r="A1964" s="1">
        <v>45825</v>
      </c>
      <c r="B1964" t="s">
        <v>11</v>
      </c>
      <c r="C1964" t="s">
        <v>18</v>
      </c>
      <c r="D1964">
        <v>26552</v>
      </c>
      <c r="E1964">
        <v>7914</v>
      </c>
      <c r="F1964">
        <v>18638</v>
      </c>
      <c r="G1964" t="s">
        <v>19</v>
      </c>
      <c r="H1964" t="s">
        <v>45</v>
      </c>
      <c r="I1964" t="s">
        <v>24</v>
      </c>
      <c r="J1964" s="2">
        <f>Table1[[#This Row],[Profit]]/Table1[[#This Row],[Sales]]*100</f>
        <v>70.194335643266044</v>
      </c>
      <c r="K1964" t="str">
        <f>IF(Table1[[#This Row],[Sales]]&gt;=30000,"High", IF(Table1[[#This Row],[Sales]]&gt;=15000,"Medium","Low"))</f>
        <v>Medium</v>
      </c>
      <c r="L1964" t="str">
        <f>TEXT(Table1[[#This Row],[Order_Date]],"MMM")</f>
        <v>Jun</v>
      </c>
      <c r="M1964" t="str">
        <f>IF(Table1[[#This Row],[Profit]]&gt;=10000,"Excellent",IF(Table1[[#This Row],[Profit]]&gt;5000,"Good","Low"))</f>
        <v>Excellent</v>
      </c>
      <c r="N1964" t="str">
        <f>TEXT(Table1[[#This Row],[Order_Date]],"YYYY")</f>
        <v>2025</v>
      </c>
    </row>
    <row r="1965" spans="1:14" x14ac:dyDescent="0.25">
      <c r="A1965" s="1">
        <v>45586</v>
      </c>
      <c r="B1965" t="s">
        <v>11</v>
      </c>
      <c r="C1965" t="s">
        <v>41</v>
      </c>
      <c r="D1965">
        <v>27385</v>
      </c>
      <c r="E1965">
        <v>13803</v>
      </c>
      <c r="F1965">
        <v>13582</v>
      </c>
      <c r="G1965" t="s">
        <v>27</v>
      </c>
      <c r="H1965" t="s">
        <v>14</v>
      </c>
      <c r="I1965" t="s">
        <v>15</v>
      </c>
      <c r="J1965" s="2">
        <f>Table1[[#This Row],[Profit]]/Table1[[#This Row],[Sales]]*100</f>
        <v>49.596494431257987</v>
      </c>
      <c r="K1965" t="str">
        <f>IF(Table1[[#This Row],[Sales]]&gt;=30000,"High", IF(Table1[[#This Row],[Sales]]&gt;=15000,"Medium","Low"))</f>
        <v>Medium</v>
      </c>
      <c r="L1965" t="str">
        <f>TEXT(Table1[[#This Row],[Order_Date]],"MMM")</f>
        <v>Oct</v>
      </c>
      <c r="M1965" t="str">
        <f>IF(Table1[[#This Row],[Profit]]&gt;=10000,"Excellent",IF(Table1[[#This Row],[Profit]]&gt;5000,"Good","Low"))</f>
        <v>Excellent</v>
      </c>
      <c r="N1965" t="str">
        <f>TEXT(Table1[[#This Row],[Order_Date]],"YYYY")</f>
        <v>2024</v>
      </c>
    </row>
    <row r="1966" spans="1:14" x14ac:dyDescent="0.25">
      <c r="A1966" s="1">
        <v>45534</v>
      </c>
      <c r="B1966" t="s">
        <v>26</v>
      </c>
      <c r="C1966" t="s">
        <v>12</v>
      </c>
      <c r="D1966">
        <v>6784</v>
      </c>
      <c r="E1966">
        <v>3348</v>
      </c>
      <c r="F1966">
        <v>3436</v>
      </c>
      <c r="G1966" t="s">
        <v>13</v>
      </c>
      <c r="H1966" t="s">
        <v>63</v>
      </c>
      <c r="I1966" t="s">
        <v>42</v>
      </c>
      <c r="J1966" s="2">
        <f>Table1[[#This Row],[Profit]]/Table1[[#This Row],[Sales]]*100</f>
        <v>50.648584905660378</v>
      </c>
      <c r="K1966" t="str">
        <f>IF(Table1[[#This Row],[Sales]]&gt;=30000,"High", IF(Table1[[#This Row],[Sales]]&gt;=15000,"Medium","Low"))</f>
        <v>Low</v>
      </c>
      <c r="L1966" t="str">
        <f>TEXT(Table1[[#This Row],[Order_Date]],"MMM")</f>
        <v>Aug</v>
      </c>
      <c r="M1966" t="str">
        <f>IF(Table1[[#This Row],[Profit]]&gt;=10000,"Excellent",IF(Table1[[#This Row],[Profit]]&gt;5000,"Good","Low"))</f>
        <v>Low</v>
      </c>
      <c r="N1966" t="str">
        <f>TEXT(Table1[[#This Row],[Order_Date]],"YYYY")</f>
        <v>2024</v>
      </c>
    </row>
    <row r="1967" spans="1:14" x14ac:dyDescent="0.25">
      <c r="A1967" s="1">
        <v>45697</v>
      </c>
      <c r="B1967" t="s">
        <v>11</v>
      </c>
      <c r="C1967" t="s">
        <v>18</v>
      </c>
      <c r="D1967">
        <v>39755</v>
      </c>
      <c r="E1967">
        <v>33319</v>
      </c>
      <c r="F1967">
        <v>6436</v>
      </c>
      <c r="G1967" t="s">
        <v>38</v>
      </c>
      <c r="H1967" t="s">
        <v>60</v>
      </c>
      <c r="I1967" t="s">
        <v>15</v>
      </c>
      <c r="J1967" s="2">
        <f>Table1[[#This Row],[Profit]]/Table1[[#This Row],[Sales]]*100</f>
        <v>16.189158596402969</v>
      </c>
      <c r="K1967" t="str">
        <f>IF(Table1[[#This Row],[Sales]]&gt;=30000,"High", IF(Table1[[#This Row],[Sales]]&gt;=15000,"Medium","Low"))</f>
        <v>High</v>
      </c>
      <c r="L1967" t="str">
        <f>TEXT(Table1[[#This Row],[Order_Date]],"MMM")</f>
        <v>Feb</v>
      </c>
      <c r="M1967" t="str">
        <f>IF(Table1[[#This Row],[Profit]]&gt;=10000,"Excellent",IF(Table1[[#This Row],[Profit]]&gt;5000,"Good","Low"))</f>
        <v>Good</v>
      </c>
      <c r="N1967" t="str">
        <f>TEXT(Table1[[#This Row],[Order_Date]],"YYYY")</f>
        <v>2025</v>
      </c>
    </row>
    <row r="1968" spans="1:14" x14ac:dyDescent="0.25">
      <c r="A1968" s="1">
        <v>45779</v>
      </c>
      <c r="B1968" t="s">
        <v>26</v>
      </c>
      <c r="C1968" t="s">
        <v>18</v>
      </c>
      <c r="D1968">
        <v>36089</v>
      </c>
      <c r="E1968">
        <v>32926</v>
      </c>
      <c r="F1968">
        <v>3163</v>
      </c>
      <c r="G1968" t="s">
        <v>19</v>
      </c>
      <c r="H1968" t="s">
        <v>23</v>
      </c>
      <c r="I1968" t="s">
        <v>24</v>
      </c>
      <c r="J1968" s="2">
        <f>Table1[[#This Row],[Profit]]/Table1[[#This Row],[Sales]]*100</f>
        <v>8.7644434592258023</v>
      </c>
      <c r="K1968" t="str">
        <f>IF(Table1[[#This Row],[Sales]]&gt;=30000,"High", IF(Table1[[#This Row],[Sales]]&gt;=15000,"Medium","Low"))</f>
        <v>High</v>
      </c>
      <c r="L1968" t="str">
        <f>TEXT(Table1[[#This Row],[Order_Date]],"MMM")</f>
        <v>May</v>
      </c>
      <c r="M1968" t="str">
        <f>IF(Table1[[#This Row],[Profit]]&gt;=10000,"Excellent",IF(Table1[[#This Row],[Profit]]&gt;5000,"Good","Low"))</f>
        <v>Low</v>
      </c>
      <c r="N1968" t="str">
        <f>TEXT(Table1[[#This Row],[Order_Date]],"YYYY")</f>
        <v>2025</v>
      </c>
    </row>
    <row r="1969" spans="1:14" x14ac:dyDescent="0.25">
      <c r="A1969" s="1">
        <v>45989</v>
      </c>
      <c r="B1969" t="s">
        <v>44</v>
      </c>
      <c r="C1969" t="s">
        <v>18</v>
      </c>
      <c r="D1969">
        <v>33813</v>
      </c>
      <c r="E1969">
        <v>26654</v>
      </c>
      <c r="F1969">
        <v>7159</v>
      </c>
      <c r="G1969" t="s">
        <v>38</v>
      </c>
      <c r="H1969" t="s">
        <v>45</v>
      </c>
      <c r="I1969" t="s">
        <v>29</v>
      </c>
      <c r="J1969" s="2">
        <f>Table1[[#This Row],[Profit]]/Table1[[#This Row],[Sales]]*100</f>
        <v>21.172330168869959</v>
      </c>
      <c r="K1969" t="str">
        <f>IF(Table1[[#This Row],[Sales]]&gt;=30000,"High", IF(Table1[[#This Row],[Sales]]&gt;=15000,"Medium","Low"))</f>
        <v>High</v>
      </c>
      <c r="L1969" t="str">
        <f>TEXT(Table1[[#This Row],[Order_Date]],"MMM")</f>
        <v>Nov</v>
      </c>
      <c r="M1969" t="str">
        <f>IF(Table1[[#This Row],[Profit]]&gt;=10000,"Excellent",IF(Table1[[#This Row],[Profit]]&gt;5000,"Good","Low"))</f>
        <v>Good</v>
      </c>
      <c r="N1969" t="str">
        <f>TEXT(Table1[[#This Row],[Order_Date]],"YYYY")</f>
        <v>2025</v>
      </c>
    </row>
    <row r="1970" spans="1:14" x14ac:dyDescent="0.25">
      <c r="A1970" s="1">
        <v>46202</v>
      </c>
      <c r="B1970" t="s">
        <v>22</v>
      </c>
      <c r="C1970" t="s">
        <v>33</v>
      </c>
      <c r="D1970">
        <v>20418</v>
      </c>
      <c r="E1970">
        <v>2837</v>
      </c>
      <c r="F1970">
        <v>17581</v>
      </c>
      <c r="G1970" t="s">
        <v>38</v>
      </c>
      <c r="H1970" t="s">
        <v>23</v>
      </c>
      <c r="I1970" t="s">
        <v>42</v>
      </c>
      <c r="J1970" s="2">
        <f>Table1[[#This Row],[Profit]]/Table1[[#This Row],[Sales]]*100</f>
        <v>86.105397198550307</v>
      </c>
      <c r="K1970" t="str">
        <f>IF(Table1[[#This Row],[Sales]]&gt;=30000,"High", IF(Table1[[#This Row],[Sales]]&gt;=15000,"Medium","Low"))</f>
        <v>Medium</v>
      </c>
      <c r="L1970" t="str">
        <f>TEXT(Table1[[#This Row],[Order_Date]],"MMM")</f>
        <v>Jun</v>
      </c>
      <c r="M1970" t="str">
        <f>IF(Table1[[#This Row],[Profit]]&gt;=10000,"Excellent",IF(Table1[[#This Row],[Profit]]&gt;5000,"Good","Low"))</f>
        <v>Excellent</v>
      </c>
      <c r="N1970" t="str">
        <f>TEXT(Table1[[#This Row],[Order_Date]],"YYYY")</f>
        <v>2026</v>
      </c>
    </row>
    <row r="1971" spans="1:14" x14ac:dyDescent="0.25">
      <c r="A1971" s="1">
        <v>45668</v>
      </c>
      <c r="B1971" t="s">
        <v>44</v>
      </c>
      <c r="C1971" t="s">
        <v>41</v>
      </c>
      <c r="D1971">
        <v>18812</v>
      </c>
      <c r="E1971">
        <v>3527</v>
      </c>
      <c r="F1971">
        <v>15285</v>
      </c>
      <c r="G1971" t="s">
        <v>38</v>
      </c>
      <c r="H1971" t="s">
        <v>31</v>
      </c>
      <c r="I1971" t="s">
        <v>15</v>
      </c>
      <c r="J1971" s="2">
        <f>Table1[[#This Row],[Profit]]/Table1[[#This Row],[Sales]]*100</f>
        <v>81.251328938975121</v>
      </c>
      <c r="K1971" t="str">
        <f>IF(Table1[[#This Row],[Sales]]&gt;=30000,"High", IF(Table1[[#This Row],[Sales]]&gt;=15000,"Medium","Low"))</f>
        <v>Medium</v>
      </c>
      <c r="L1971" t="str">
        <f>TEXT(Table1[[#This Row],[Order_Date]],"MMM")</f>
        <v>Jan</v>
      </c>
      <c r="M1971" t="str">
        <f>IF(Table1[[#This Row],[Profit]]&gt;=10000,"Excellent",IF(Table1[[#This Row],[Profit]]&gt;5000,"Good","Low"))</f>
        <v>Excellent</v>
      </c>
      <c r="N1971" t="str">
        <f>TEXT(Table1[[#This Row],[Order_Date]],"YYYY")</f>
        <v>2025</v>
      </c>
    </row>
    <row r="1972" spans="1:14" x14ac:dyDescent="0.25">
      <c r="A1972" s="1">
        <v>45475</v>
      </c>
      <c r="B1972" t="s">
        <v>44</v>
      </c>
      <c r="C1972" t="s">
        <v>18</v>
      </c>
      <c r="D1972">
        <v>23160</v>
      </c>
      <c r="E1972">
        <v>16524</v>
      </c>
      <c r="F1972">
        <v>6636</v>
      </c>
      <c r="G1972" t="s">
        <v>19</v>
      </c>
      <c r="H1972" t="s">
        <v>63</v>
      </c>
      <c r="I1972" t="s">
        <v>42</v>
      </c>
      <c r="J1972" s="2">
        <f>Table1[[#This Row],[Profit]]/Table1[[#This Row],[Sales]]*100</f>
        <v>28.652849740932641</v>
      </c>
      <c r="K1972" t="str">
        <f>IF(Table1[[#This Row],[Sales]]&gt;=30000,"High", IF(Table1[[#This Row],[Sales]]&gt;=15000,"Medium","Low"))</f>
        <v>Medium</v>
      </c>
      <c r="L1972" t="str">
        <f>TEXT(Table1[[#This Row],[Order_Date]],"MMM")</f>
        <v>Jul</v>
      </c>
      <c r="M1972" t="str">
        <f>IF(Table1[[#This Row],[Profit]]&gt;=10000,"Excellent",IF(Table1[[#This Row],[Profit]]&gt;5000,"Good","Low"))</f>
        <v>Good</v>
      </c>
      <c r="N1972" t="str">
        <f>TEXT(Table1[[#This Row],[Order_Date]],"YYYY")</f>
        <v>2024</v>
      </c>
    </row>
    <row r="1973" spans="1:14" x14ac:dyDescent="0.25">
      <c r="A1973" s="1">
        <v>45595</v>
      </c>
      <c r="B1973" t="s">
        <v>22</v>
      </c>
      <c r="C1973" t="s">
        <v>18</v>
      </c>
      <c r="D1973">
        <v>7671</v>
      </c>
      <c r="E1973">
        <v>433</v>
      </c>
      <c r="F1973">
        <v>7238</v>
      </c>
      <c r="G1973" t="s">
        <v>19</v>
      </c>
      <c r="H1973" t="s">
        <v>20</v>
      </c>
      <c r="I1973" t="s">
        <v>24</v>
      </c>
      <c r="J1973" s="2">
        <f>Table1[[#This Row],[Profit]]/Table1[[#This Row],[Sales]]*100</f>
        <v>94.3553643592752</v>
      </c>
      <c r="K1973" t="str">
        <f>IF(Table1[[#This Row],[Sales]]&gt;=30000,"High", IF(Table1[[#This Row],[Sales]]&gt;=15000,"Medium","Low"))</f>
        <v>Low</v>
      </c>
      <c r="L1973" t="str">
        <f>TEXT(Table1[[#This Row],[Order_Date]],"MMM")</f>
        <v>Oct</v>
      </c>
      <c r="M1973" t="str">
        <f>IF(Table1[[#This Row],[Profit]]&gt;=10000,"Excellent",IF(Table1[[#This Row],[Profit]]&gt;5000,"Good","Low"))</f>
        <v>Good</v>
      </c>
      <c r="N1973" t="str">
        <f>TEXT(Table1[[#This Row],[Order_Date]],"YYYY")</f>
        <v>2024</v>
      </c>
    </row>
    <row r="1974" spans="1:14" x14ac:dyDescent="0.25">
      <c r="A1974" s="1">
        <v>45373</v>
      </c>
      <c r="B1974" t="s">
        <v>22</v>
      </c>
      <c r="C1974" t="s">
        <v>41</v>
      </c>
      <c r="D1974">
        <v>29492</v>
      </c>
      <c r="E1974">
        <v>18008</v>
      </c>
      <c r="F1974">
        <v>11484</v>
      </c>
      <c r="G1974" t="s">
        <v>38</v>
      </c>
      <c r="H1974" t="s">
        <v>20</v>
      </c>
      <c r="I1974" t="s">
        <v>24</v>
      </c>
      <c r="J1974" s="2">
        <f>Table1[[#This Row],[Profit]]/Table1[[#This Row],[Sales]]*100</f>
        <v>38.939373389393737</v>
      </c>
      <c r="K1974" t="str">
        <f>IF(Table1[[#This Row],[Sales]]&gt;=30000,"High", IF(Table1[[#This Row],[Sales]]&gt;=15000,"Medium","Low"))</f>
        <v>Medium</v>
      </c>
      <c r="L1974" t="str">
        <f>TEXT(Table1[[#This Row],[Order_Date]],"MMM")</f>
        <v>Mar</v>
      </c>
      <c r="M1974" t="str">
        <f>IF(Table1[[#This Row],[Profit]]&gt;=10000,"Excellent",IF(Table1[[#This Row],[Profit]]&gt;5000,"Good","Low"))</f>
        <v>Excellent</v>
      </c>
      <c r="N1974" t="str">
        <f>TEXT(Table1[[#This Row],[Order_Date]],"YYYY")</f>
        <v>2024</v>
      </c>
    </row>
    <row r="1975" spans="1:14" x14ac:dyDescent="0.25">
      <c r="A1975" s="1">
        <v>45796</v>
      </c>
      <c r="B1975" t="s">
        <v>17</v>
      </c>
      <c r="C1975" t="s">
        <v>33</v>
      </c>
      <c r="D1975">
        <v>9851</v>
      </c>
      <c r="E1975">
        <v>7998</v>
      </c>
      <c r="F1975">
        <v>1853</v>
      </c>
      <c r="G1975" t="s">
        <v>13</v>
      </c>
      <c r="H1975" t="s">
        <v>28</v>
      </c>
      <c r="I1975" t="s">
        <v>42</v>
      </c>
      <c r="J1975" s="2">
        <f>Table1[[#This Row],[Profit]]/Table1[[#This Row],[Sales]]*100</f>
        <v>18.810273068723987</v>
      </c>
      <c r="K1975" t="str">
        <f>IF(Table1[[#This Row],[Sales]]&gt;=30000,"High", IF(Table1[[#This Row],[Sales]]&gt;=15000,"Medium","Low"))</f>
        <v>Low</v>
      </c>
      <c r="L1975" t="str">
        <f>TEXT(Table1[[#This Row],[Order_Date]],"MMM")</f>
        <v>May</v>
      </c>
      <c r="M1975" t="str">
        <f>IF(Table1[[#This Row],[Profit]]&gt;=10000,"Excellent",IF(Table1[[#This Row],[Profit]]&gt;5000,"Good","Low"))</f>
        <v>Low</v>
      </c>
      <c r="N1975" t="str">
        <f>TEXT(Table1[[#This Row],[Order_Date]],"YYYY")</f>
        <v>2025</v>
      </c>
    </row>
    <row r="1976" spans="1:14" x14ac:dyDescent="0.25">
      <c r="A1976" s="1">
        <v>45207</v>
      </c>
      <c r="B1976" t="s">
        <v>17</v>
      </c>
      <c r="C1976" t="s">
        <v>18</v>
      </c>
      <c r="D1976">
        <v>6778</v>
      </c>
      <c r="E1976">
        <v>5426</v>
      </c>
      <c r="F1976">
        <v>1352</v>
      </c>
      <c r="G1976" t="s">
        <v>19</v>
      </c>
      <c r="H1976" t="s">
        <v>31</v>
      </c>
      <c r="I1976" t="s">
        <v>53</v>
      </c>
      <c r="J1976" s="2">
        <f>Table1[[#This Row],[Profit]]/Table1[[#This Row],[Sales]]*100</f>
        <v>19.946886987311892</v>
      </c>
      <c r="K1976" t="str">
        <f>IF(Table1[[#This Row],[Sales]]&gt;=30000,"High", IF(Table1[[#This Row],[Sales]]&gt;=15000,"Medium","Low"))</f>
        <v>Low</v>
      </c>
      <c r="L1976" t="str">
        <f>TEXT(Table1[[#This Row],[Order_Date]],"MMM")</f>
        <v>Oct</v>
      </c>
      <c r="M1976" t="str">
        <f>IF(Table1[[#This Row],[Profit]]&gt;=10000,"Excellent",IF(Table1[[#This Row],[Profit]]&gt;5000,"Good","Low"))</f>
        <v>Low</v>
      </c>
      <c r="N1976" t="str">
        <f>TEXT(Table1[[#This Row],[Order_Date]],"YYYY")</f>
        <v>2023</v>
      </c>
    </row>
    <row r="1977" spans="1:14" x14ac:dyDescent="0.25">
      <c r="A1977" s="1">
        <v>46005</v>
      </c>
      <c r="B1977" t="s">
        <v>44</v>
      </c>
      <c r="C1977" t="s">
        <v>18</v>
      </c>
      <c r="D1977">
        <v>48815</v>
      </c>
      <c r="E1977">
        <v>43024</v>
      </c>
      <c r="F1977">
        <v>5791</v>
      </c>
      <c r="G1977" t="s">
        <v>27</v>
      </c>
      <c r="H1977" t="s">
        <v>20</v>
      </c>
      <c r="I1977" t="s">
        <v>53</v>
      </c>
      <c r="J1977" s="2">
        <f>Table1[[#This Row],[Profit]]/Table1[[#This Row],[Sales]]*100</f>
        <v>11.863156816552289</v>
      </c>
      <c r="K1977" t="str">
        <f>IF(Table1[[#This Row],[Sales]]&gt;=30000,"High", IF(Table1[[#This Row],[Sales]]&gt;=15000,"Medium","Low"))</f>
        <v>High</v>
      </c>
      <c r="L1977" t="str">
        <f>TEXT(Table1[[#This Row],[Order_Date]],"MMM")</f>
        <v>Dec</v>
      </c>
      <c r="M1977" t="str">
        <f>IF(Table1[[#This Row],[Profit]]&gt;=10000,"Excellent",IF(Table1[[#This Row],[Profit]]&gt;5000,"Good","Low"))</f>
        <v>Good</v>
      </c>
      <c r="N1977" t="str">
        <f>TEXT(Table1[[#This Row],[Order_Date]],"YYYY")</f>
        <v>2025</v>
      </c>
    </row>
    <row r="1978" spans="1:14" x14ac:dyDescent="0.25">
      <c r="A1978" s="1">
        <v>45150</v>
      </c>
      <c r="B1978" t="s">
        <v>22</v>
      </c>
      <c r="C1978" t="s">
        <v>18</v>
      </c>
      <c r="D1978">
        <v>32075</v>
      </c>
      <c r="E1978">
        <v>21600</v>
      </c>
      <c r="F1978">
        <v>10475</v>
      </c>
      <c r="G1978" t="s">
        <v>19</v>
      </c>
      <c r="H1978" t="s">
        <v>31</v>
      </c>
      <c r="I1978" t="s">
        <v>53</v>
      </c>
      <c r="J1978" s="2">
        <f>Table1[[#This Row],[Profit]]/Table1[[#This Row],[Sales]]*100</f>
        <v>32.657833203429462</v>
      </c>
      <c r="K1978" t="str">
        <f>IF(Table1[[#This Row],[Sales]]&gt;=30000,"High", IF(Table1[[#This Row],[Sales]]&gt;=15000,"Medium","Low"))</f>
        <v>High</v>
      </c>
      <c r="L1978" t="str">
        <f>TEXT(Table1[[#This Row],[Order_Date]],"MMM")</f>
        <v>Aug</v>
      </c>
      <c r="M1978" t="str">
        <f>IF(Table1[[#This Row],[Profit]]&gt;=10000,"Excellent",IF(Table1[[#This Row],[Profit]]&gt;5000,"Good","Low"))</f>
        <v>Excellent</v>
      </c>
      <c r="N1978" t="str">
        <f>TEXT(Table1[[#This Row],[Order_Date]],"YYYY")</f>
        <v>2023</v>
      </c>
    </row>
    <row r="1979" spans="1:14" x14ac:dyDescent="0.25">
      <c r="A1979" s="1">
        <v>45652</v>
      </c>
      <c r="B1979" t="s">
        <v>44</v>
      </c>
      <c r="C1979" t="s">
        <v>18</v>
      </c>
      <c r="D1979">
        <v>38692</v>
      </c>
      <c r="E1979">
        <v>20543</v>
      </c>
      <c r="F1979">
        <v>18149</v>
      </c>
      <c r="G1979" t="s">
        <v>38</v>
      </c>
      <c r="H1979" t="s">
        <v>45</v>
      </c>
      <c r="I1979" t="s">
        <v>15</v>
      </c>
      <c r="J1979" s="2">
        <f>Table1[[#This Row],[Profit]]/Table1[[#This Row],[Sales]]*100</f>
        <v>46.906337227333815</v>
      </c>
      <c r="K1979" t="str">
        <f>IF(Table1[[#This Row],[Sales]]&gt;=30000,"High", IF(Table1[[#This Row],[Sales]]&gt;=15000,"Medium","Low"))</f>
        <v>High</v>
      </c>
      <c r="L1979" t="str">
        <f>TEXT(Table1[[#This Row],[Order_Date]],"MMM")</f>
        <v>Dec</v>
      </c>
      <c r="M1979" t="str">
        <f>IF(Table1[[#This Row],[Profit]]&gt;=10000,"Excellent",IF(Table1[[#This Row],[Profit]]&gt;5000,"Good","Low"))</f>
        <v>Excellent</v>
      </c>
      <c r="N1979" t="str">
        <f>TEXT(Table1[[#This Row],[Order_Date]],"YYYY")</f>
        <v>2024</v>
      </c>
    </row>
    <row r="1980" spans="1:14" x14ac:dyDescent="0.25">
      <c r="A1980" s="1">
        <v>46041</v>
      </c>
      <c r="B1980" t="s">
        <v>26</v>
      </c>
      <c r="C1980" t="s">
        <v>36</v>
      </c>
      <c r="D1980">
        <v>41163</v>
      </c>
      <c r="E1980">
        <v>31121</v>
      </c>
      <c r="F1980">
        <v>10042</v>
      </c>
      <c r="G1980" t="s">
        <v>13</v>
      </c>
      <c r="H1980" t="s">
        <v>23</v>
      </c>
      <c r="I1980" t="s">
        <v>15</v>
      </c>
      <c r="J1980" s="2">
        <f>Table1[[#This Row],[Profit]]/Table1[[#This Row],[Sales]]*100</f>
        <v>24.39569516313194</v>
      </c>
      <c r="K1980" t="str">
        <f>IF(Table1[[#This Row],[Sales]]&gt;=30000,"High", IF(Table1[[#This Row],[Sales]]&gt;=15000,"Medium","Low"))</f>
        <v>High</v>
      </c>
      <c r="L1980" t="str">
        <f>TEXT(Table1[[#This Row],[Order_Date]],"MMM")</f>
        <v>Jan</v>
      </c>
      <c r="M1980" t="str">
        <f>IF(Table1[[#This Row],[Profit]]&gt;=10000,"Excellent",IF(Table1[[#This Row],[Profit]]&gt;5000,"Good","Low"))</f>
        <v>Excellent</v>
      </c>
      <c r="N1980" t="str">
        <f>TEXT(Table1[[#This Row],[Order_Date]],"YYYY")</f>
        <v>2026</v>
      </c>
    </row>
    <row r="1981" spans="1:14" x14ac:dyDescent="0.25">
      <c r="A1981" s="1">
        <v>45143</v>
      </c>
      <c r="B1981" t="s">
        <v>11</v>
      </c>
      <c r="C1981" t="s">
        <v>18</v>
      </c>
      <c r="D1981">
        <v>49968</v>
      </c>
      <c r="E1981">
        <v>41955</v>
      </c>
      <c r="F1981">
        <v>8013</v>
      </c>
      <c r="G1981" t="s">
        <v>19</v>
      </c>
      <c r="H1981" t="s">
        <v>45</v>
      </c>
      <c r="I1981" t="s">
        <v>53</v>
      </c>
      <c r="J1981" s="2">
        <f>Table1[[#This Row],[Profit]]/Table1[[#This Row],[Sales]]*100</f>
        <v>16.036263208453409</v>
      </c>
      <c r="K1981" t="str">
        <f>IF(Table1[[#This Row],[Sales]]&gt;=30000,"High", IF(Table1[[#This Row],[Sales]]&gt;=15000,"Medium","Low"))</f>
        <v>High</v>
      </c>
      <c r="L1981" t="str">
        <f>TEXT(Table1[[#This Row],[Order_Date]],"MMM")</f>
        <v>Aug</v>
      </c>
      <c r="M1981" t="str">
        <f>IF(Table1[[#This Row],[Profit]]&gt;=10000,"Excellent",IF(Table1[[#This Row],[Profit]]&gt;5000,"Good","Low"))</f>
        <v>Good</v>
      </c>
      <c r="N1981" t="str">
        <f>TEXT(Table1[[#This Row],[Order_Date]],"YYYY")</f>
        <v>2023</v>
      </c>
    </row>
    <row r="1982" spans="1:14" x14ac:dyDescent="0.25">
      <c r="A1982" s="1">
        <v>46139</v>
      </c>
      <c r="B1982" t="s">
        <v>22</v>
      </c>
      <c r="C1982" t="s">
        <v>12</v>
      </c>
      <c r="D1982">
        <v>25184</v>
      </c>
      <c r="E1982">
        <v>20738</v>
      </c>
      <c r="F1982">
        <v>4446</v>
      </c>
      <c r="G1982" t="s">
        <v>19</v>
      </c>
      <c r="H1982" t="s">
        <v>23</v>
      </c>
      <c r="I1982" t="s">
        <v>29</v>
      </c>
      <c r="J1982" s="2">
        <f>Table1[[#This Row],[Profit]]/Table1[[#This Row],[Sales]]*100</f>
        <v>17.654066073697585</v>
      </c>
      <c r="K1982" t="str">
        <f>IF(Table1[[#This Row],[Sales]]&gt;=30000,"High", IF(Table1[[#This Row],[Sales]]&gt;=15000,"Medium","Low"))</f>
        <v>Medium</v>
      </c>
      <c r="L1982" t="str">
        <f>TEXT(Table1[[#This Row],[Order_Date]],"MMM")</f>
        <v>Apr</v>
      </c>
      <c r="M1982" t="str">
        <f>IF(Table1[[#This Row],[Profit]]&gt;=10000,"Excellent",IF(Table1[[#This Row],[Profit]]&gt;5000,"Good","Low"))</f>
        <v>Low</v>
      </c>
      <c r="N1982" t="str">
        <f>TEXT(Table1[[#This Row],[Order_Date]],"YYYY")</f>
        <v>2026</v>
      </c>
    </row>
    <row r="1983" spans="1:14" x14ac:dyDescent="0.25">
      <c r="A1983" s="1">
        <v>45696</v>
      </c>
      <c r="B1983" t="s">
        <v>26</v>
      </c>
      <c r="C1983" t="s">
        <v>33</v>
      </c>
      <c r="D1983">
        <v>45833</v>
      </c>
      <c r="E1983">
        <v>45185</v>
      </c>
      <c r="F1983">
        <v>648</v>
      </c>
      <c r="G1983" t="s">
        <v>19</v>
      </c>
      <c r="H1983" t="s">
        <v>14</v>
      </c>
      <c r="I1983" t="s">
        <v>53</v>
      </c>
      <c r="J1983" s="2">
        <f>Table1[[#This Row],[Profit]]/Table1[[#This Row],[Sales]]*100</f>
        <v>1.4138284642070125</v>
      </c>
      <c r="K1983" t="str">
        <f>IF(Table1[[#This Row],[Sales]]&gt;=30000,"High", IF(Table1[[#This Row],[Sales]]&gt;=15000,"Medium","Low"))</f>
        <v>High</v>
      </c>
      <c r="L1983" t="str">
        <f>TEXT(Table1[[#This Row],[Order_Date]],"MMM")</f>
        <v>Feb</v>
      </c>
      <c r="M1983" t="str">
        <f>IF(Table1[[#This Row],[Profit]]&gt;=10000,"Excellent",IF(Table1[[#This Row],[Profit]]&gt;5000,"Good","Low"))</f>
        <v>Low</v>
      </c>
      <c r="N1983" t="str">
        <f>TEXT(Table1[[#This Row],[Order_Date]],"YYYY")</f>
        <v>2025</v>
      </c>
    </row>
    <row r="1984" spans="1:14" x14ac:dyDescent="0.25">
      <c r="A1984" s="1">
        <v>45974</v>
      </c>
      <c r="B1984" t="s">
        <v>44</v>
      </c>
      <c r="C1984" t="s">
        <v>33</v>
      </c>
      <c r="D1984">
        <v>34330</v>
      </c>
      <c r="E1984">
        <v>31085</v>
      </c>
      <c r="F1984">
        <v>3245</v>
      </c>
      <c r="G1984" t="s">
        <v>13</v>
      </c>
      <c r="H1984" t="s">
        <v>28</v>
      </c>
      <c r="I1984" t="s">
        <v>29</v>
      </c>
      <c r="J1984" s="2">
        <f>Table1[[#This Row],[Profit]]/Table1[[#This Row],[Sales]]*100</f>
        <v>9.4523740168948454</v>
      </c>
      <c r="K1984" t="str">
        <f>IF(Table1[[#This Row],[Sales]]&gt;=30000,"High", IF(Table1[[#This Row],[Sales]]&gt;=15000,"Medium","Low"))</f>
        <v>High</v>
      </c>
      <c r="L1984" t="str">
        <f>TEXT(Table1[[#This Row],[Order_Date]],"MMM")</f>
        <v>Nov</v>
      </c>
      <c r="M1984" t="str">
        <f>IF(Table1[[#This Row],[Profit]]&gt;=10000,"Excellent",IF(Table1[[#This Row],[Profit]]&gt;5000,"Good","Low"))</f>
        <v>Low</v>
      </c>
      <c r="N1984" t="str">
        <f>TEXT(Table1[[#This Row],[Order_Date]],"YYYY")</f>
        <v>2025</v>
      </c>
    </row>
    <row r="1985" spans="1:14" x14ac:dyDescent="0.25">
      <c r="A1985" s="1">
        <v>45188</v>
      </c>
      <c r="B1985" t="s">
        <v>44</v>
      </c>
      <c r="C1985" t="s">
        <v>12</v>
      </c>
      <c r="D1985">
        <v>48330</v>
      </c>
      <c r="E1985">
        <v>43803</v>
      </c>
      <c r="F1985">
        <v>4527</v>
      </c>
      <c r="G1985" t="s">
        <v>13</v>
      </c>
      <c r="H1985" t="s">
        <v>45</v>
      </c>
      <c r="I1985" t="s">
        <v>15</v>
      </c>
      <c r="J1985" s="2">
        <f>Table1[[#This Row],[Profit]]/Table1[[#This Row],[Sales]]*100</f>
        <v>9.3668528864059581</v>
      </c>
      <c r="K1985" t="str">
        <f>IF(Table1[[#This Row],[Sales]]&gt;=30000,"High", IF(Table1[[#This Row],[Sales]]&gt;=15000,"Medium","Low"))</f>
        <v>High</v>
      </c>
      <c r="L1985" t="str">
        <f>TEXT(Table1[[#This Row],[Order_Date]],"MMM")</f>
        <v>Sep</v>
      </c>
      <c r="M1985" t="str">
        <f>IF(Table1[[#This Row],[Profit]]&gt;=10000,"Excellent",IF(Table1[[#This Row],[Profit]]&gt;5000,"Good","Low"))</f>
        <v>Low</v>
      </c>
      <c r="N1985" t="str">
        <f>TEXT(Table1[[#This Row],[Order_Date]],"YYYY")</f>
        <v>2023</v>
      </c>
    </row>
    <row r="1986" spans="1:14" x14ac:dyDescent="0.25">
      <c r="A1986" s="1">
        <v>45967</v>
      </c>
      <c r="B1986" t="s">
        <v>22</v>
      </c>
      <c r="C1986" t="s">
        <v>33</v>
      </c>
      <c r="D1986">
        <v>18943</v>
      </c>
      <c r="E1986">
        <v>14400</v>
      </c>
      <c r="F1986">
        <v>4543</v>
      </c>
      <c r="G1986" t="s">
        <v>19</v>
      </c>
      <c r="H1986" t="s">
        <v>45</v>
      </c>
      <c r="I1986" t="s">
        <v>29</v>
      </c>
      <c r="J1986" s="2">
        <f>Table1[[#This Row],[Profit]]/Table1[[#This Row],[Sales]]*100</f>
        <v>23.982473737000475</v>
      </c>
      <c r="K1986" t="str">
        <f>IF(Table1[[#This Row],[Sales]]&gt;=30000,"High", IF(Table1[[#This Row],[Sales]]&gt;=15000,"Medium","Low"))</f>
        <v>Medium</v>
      </c>
      <c r="L1986" t="str">
        <f>TEXT(Table1[[#This Row],[Order_Date]],"MMM")</f>
        <v>Nov</v>
      </c>
      <c r="M1986" t="str">
        <f>IF(Table1[[#This Row],[Profit]]&gt;=10000,"Excellent",IF(Table1[[#This Row],[Profit]]&gt;5000,"Good","Low"))</f>
        <v>Low</v>
      </c>
      <c r="N1986" t="str">
        <f>TEXT(Table1[[#This Row],[Order_Date]],"YYYY")</f>
        <v>2025</v>
      </c>
    </row>
    <row r="1987" spans="1:14" x14ac:dyDescent="0.25">
      <c r="A1987" s="1">
        <v>46011</v>
      </c>
      <c r="B1987" t="s">
        <v>22</v>
      </c>
      <c r="C1987" t="s">
        <v>33</v>
      </c>
      <c r="D1987">
        <v>45639</v>
      </c>
      <c r="E1987">
        <v>40788</v>
      </c>
      <c r="F1987">
        <v>4851</v>
      </c>
      <c r="G1987" t="s">
        <v>27</v>
      </c>
      <c r="H1987" t="s">
        <v>34</v>
      </c>
      <c r="I1987" t="s">
        <v>53</v>
      </c>
      <c r="J1987" s="2">
        <f>Table1[[#This Row],[Profit]]/Table1[[#This Row],[Sales]]*100</f>
        <v>10.629067245119305</v>
      </c>
      <c r="K1987" t="str">
        <f>IF(Table1[[#This Row],[Sales]]&gt;=30000,"High", IF(Table1[[#This Row],[Sales]]&gt;=15000,"Medium","Low"))</f>
        <v>High</v>
      </c>
      <c r="L1987" t="str">
        <f>TEXT(Table1[[#This Row],[Order_Date]],"MMM")</f>
        <v>Dec</v>
      </c>
      <c r="M1987" t="str">
        <f>IF(Table1[[#This Row],[Profit]]&gt;=10000,"Excellent",IF(Table1[[#This Row],[Profit]]&gt;5000,"Good","Low"))</f>
        <v>Low</v>
      </c>
      <c r="N1987" t="str">
        <f>TEXT(Table1[[#This Row],[Order_Date]],"YYYY")</f>
        <v>2025</v>
      </c>
    </row>
    <row r="1988" spans="1:14" x14ac:dyDescent="0.25">
      <c r="A1988" s="1">
        <v>46190</v>
      </c>
      <c r="B1988" t="s">
        <v>22</v>
      </c>
      <c r="C1988" t="s">
        <v>18</v>
      </c>
      <c r="D1988">
        <v>22170</v>
      </c>
      <c r="E1988">
        <v>6096</v>
      </c>
      <c r="F1988">
        <v>16074</v>
      </c>
      <c r="G1988" t="s">
        <v>19</v>
      </c>
      <c r="H1988" t="s">
        <v>78</v>
      </c>
      <c r="I1988" t="s">
        <v>15</v>
      </c>
      <c r="J1988" s="2">
        <f>Table1[[#This Row],[Profit]]/Table1[[#This Row],[Sales]]*100</f>
        <v>72.503382949932345</v>
      </c>
      <c r="K1988" t="str">
        <f>IF(Table1[[#This Row],[Sales]]&gt;=30000,"High", IF(Table1[[#This Row],[Sales]]&gt;=15000,"Medium","Low"))</f>
        <v>Medium</v>
      </c>
      <c r="L1988" t="str">
        <f>TEXT(Table1[[#This Row],[Order_Date]],"MMM")</f>
        <v>Jun</v>
      </c>
      <c r="M1988" t="str">
        <f>IF(Table1[[#This Row],[Profit]]&gt;=10000,"Excellent",IF(Table1[[#This Row],[Profit]]&gt;5000,"Good","Low"))</f>
        <v>Excellent</v>
      </c>
      <c r="N1988" t="str">
        <f>TEXT(Table1[[#This Row],[Order_Date]],"YYYY")</f>
        <v>2026</v>
      </c>
    </row>
    <row r="1989" spans="1:14" x14ac:dyDescent="0.25">
      <c r="A1989" s="1">
        <v>45324</v>
      </c>
      <c r="B1989" t="s">
        <v>44</v>
      </c>
      <c r="C1989" t="s">
        <v>12</v>
      </c>
      <c r="D1989">
        <v>30685</v>
      </c>
      <c r="E1989">
        <v>15288</v>
      </c>
      <c r="F1989">
        <v>15397</v>
      </c>
      <c r="G1989" t="s">
        <v>13</v>
      </c>
      <c r="H1989" t="s">
        <v>34</v>
      </c>
      <c r="I1989" t="s">
        <v>15</v>
      </c>
      <c r="J1989" s="2">
        <f>Table1[[#This Row],[Profit]]/Table1[[#This Row],[Sales]]*100</f>
        <v>50.177611210689264</v>
      </c>
      <c r="K1989" t="str">
        <f>IF(Table1[[#This Row],[Sales]]&gt;=30000,"High", IF(Table1[[#This Row],[Sales]]&gt;=15000,"Medium","Low"))</f>
        <v>High</v>
      </c>
      <c r="L1989" t="str">
        <f>TEXT(Table1[[#This Row],[Order_Date]],"MMM")</f>
        <v>Feb</v>
      </c>
      <c r="M1989" t="str">
        <f>IF(Table1[[#This Row],[Profit]]&gt;=10000,"Excellent",IF(Table1[[#This Row],[Profit]]&gt;5000,"Good","Low"))</f>
        <v>Excellent</v>
      </c>
      <c r="N1989" t="str">
        <f>TEXT(Table1[[#This Row],[Order_Date]],"YYYY")</f>
        <v>2024</v>
      </c>
    </row>
    <row r="1990" spans="1:14" x14ac:dyDescent="0.25">
      <c r="A1990" s="1">
        <v>45322</v>
      </c>
      <c r="B1990" t="s">
        <v>11</v>
      </c>
      <c r="C1990" t="s">
        <v>33</v>
      </c>
      <c r="D1990">
        <v>16272</v>
      </c>
      <c r="E1990">
        <v>1078</v>
      </c>
      <c r="F1990">
        <v>15194</v>
      </c>
      <c r="G1990" t="s">
        <v>13</v>
      </c>
      <c r="H1990" t="s">
        <v>23</v>
      </c>
      <c r="I1990" t="s">
        <v>24</v>
      </c>
      <c r="J1990" s="2">
        <f>Table1[[#This Row],[Profit]]/Table1[[#This Row],[Sales]]*100</f>
        <v>93.375122910521142</v>
      </c>
      <c r="K1990" t="str">
        <f>IF(Table1[[#This Row],[Sales]]&gt;=30000,"High", IF(Table1[[#This Row],[Sales]]&gt;=15000,"Medium","Low"))</f>
        <v>Medium</v>
      </c>
      <c r="L1990" t="str">
        <f>TEXT(Table1[[#This Row],[Order_Date]],"MMM")</f>
        <v>Jan</v>
      </c>
      <c r="M1990" t="str">
        <f>IF(Table1[[#This Row],[Profit]]&gt;=10000,"Excellent",IF(Table1[[#This Row],[Profit]]&gt;5000,"Good","Low"))</f>
        <v>Excellent</v>
      </c>
      <c r="N1990" t="str">
        <f>TEXT(Table1[[#This Row],[Order_Date]],"YYYY")</f>
        <v>2024</v>
      </c>
    </row>
    <row r="1991" spans="1:14" x14ac:dyDescent="0.25">
      <c r="A1991" s="1">
        <v>45570</v>
      </c>
      <c r="B1991" t="s">
        <v>26</v>
      </c>
      <c r="C1991" t="s">
        <v>12</v>
      </c>
      <c r="D1991">
        <v>20693</v>
      </c>
      <c r="E1991">
        <v>18246</v>
      </c>
      <c r="F1991">
        <v>2447</v>
      </c>
      <c r="G1991" t="s">
        <v>19</v>
      </c>
      <c r="H1991" t="s">
        <v>63</v>
      </c>
      <c r="I1991" t="s">
        <v>15</v>
      </c>
      <c r="J1991" s="2">
        <f>Table1[[#This Row],[Profit]]/Table1[[#This Row],[Sales]]*100</f>
        <v>11.825254917121732</v>
      </c>
      <c r="K1991" t="str">
        <f>IF(Table1[[#This Row],[Sales]]&gt;=30000,"High", IF(Table1[[#This Row],[Sales]]&gt;=15000,"Medium","Low"))</f>
        <v>Medium</v>
      </c>
      <c r="L1991" t="str">
        <f>TEXT(Table1[[#This Row],[Order_Date]],"MMM")</f>
        <v>Oct</v>
      </c>
      <c r="M1991" t="str">
        <f>IF(Table1[[#This Row],[Profit]]&gt;=10000,"Excellent",IF(Table1[[#This Row],[Profit]]&gt;5000,"Good","Low"))</f>
        <v>Low</v>
      </c>
      <c r="N1991" t="str">
        <f>TEXT(Table1[[#This Row],[Order_Date]],"YYYY")</f>
        <v>2024</v>
      </c>
    </row>
    <row r="1992" spans="1:14" x14ac:dyDescent="0.25">
      <c r="A1992" s="1">
        <v>45640</v>
      </c>
      <c r="B1992" t="s">
        <v>22</v>
      </c>
      <c r="C1992" t="s">
        <v>36</v>
      </c>
      <c r="D1992">
        <v>25054</v>
      </c>
      <c r="E1992">
        <v>9899</v>
      </c>
      <c r="F1992">
        <v>15155</v>
      </c>
      <c r="G1992" t="s">
        <v>38</v>
      </c>
      <c r="H1992" t="s">
        <v>14</v>
      </c>
      <c r="I1992" t="s">
        <v>53</v>
      </c>
      <c r="J1992" s="2">
        <f>Table1[[#This Row],[Profit]]/Table1[[#This Row],[Sales]]*100</f>
        <v>60.489343019078788</v>
      </c>
      <c r="K1992" t="str">
        <f>IF(Table1[[#This Row],[Sales]]&gt;=30000,"High", IF(Table1[[#This Row],[Sales]]&gt;=15000,"Medium","Low"))</f>
        <v>Medium</v>
      </c>
      <c r="L1992" t="str">
        <f>TEXT(Table1[[#This Row],[Order_Date]],"MMM")</f>
        <v>Dec</v>
      </c>
      <c r="M1992" t="str">
        <f>IF(Table1[[#This Row],[Profit]]&gt;=10000,"Excellent",IF(Table1[[#This Row],[Profit]]&gt;5000,"Good","Low"))</f>
        <v>Excellent</v>
      </c>
      <c r="N1992" t="str">
        <f>TEXT(Table1[[#This Row],[Order_Date]],"YYYY")</f>
        <v>2024</v>
      </c>
    </row>
    <row r="1993" spans="1:14" x14ac:dyDescent="0.25">
      <c r="A1993" s="1">
        <v>46078</v>
      </c>
      <c r="B1993" t="s">
        <v>11</v>
      </c>
      <c r="C1993" t="s">
        <v>18</v>
      </c>
      <c r="D1993">
        <v>13343</v>
      </c>
      <c r="E1993">
        <v>12805</v>
      </c>
      <c r="F1993">
        <v>538</v>
      </c>
      <c r="G1993" t="s">
        <v>27</v>
      </c>
      <c r="H1993" t="s">
        <v>23</v>
      </c>
      <c r="I1993" t="s">
        <v>29</v>
      </c>
      <c r="J1993" s="2">
        <f>Table1[[#This Row],[Profit]]/Table1[[#This Row],[Sales]]*100</f>
        <v>4.0320767443603387</v>
      </c>
      <c r="K1993" t="str">
        <f>IF(Table1[[#This Row],[Sales]]&gt;=30000,"High", IF(Table1[[#This Row],[Sales]]&gt;=15000,"Medium","Low"))</f>
        <v>Low</v>
      </c>
      <c r="L1993" t="str">
        <f>TEXT(Table1[[#This Row],[Order_Date]],"MMM")</f>
        <v>Feb</v>
      </c>
      <c r="M1993" t="str">
        <f>IF(Table1[[#This Row],[Profit]]&gt;=10000,"Excellent",IF(Table1[[#This Row],[Profit]]&gt;5000,"Good","Low"))</f>
        <v>Low</v>
      </c>
      <c r="N1993" t="str">
        <f>TEXT(Table1[[#This Row],[Order_Date]],"YYYY")</f>
        <v>2026</v>
      </c>
    </row>
    <row r="1994" spans="1:14" x14ac:dyDescent="0.25">
      <c r="A1994" s="1">
        <v>45503</v>
      </c>
      <c r="B1994" t="s">
        <v>17</v>
      </c>
      <c r="C1994" t="s">
        <v>18</v>
      </c>
      <c r="D1994">
        <v>44173</v>
      </c>
      <c r="E1994">
        <v>34954</v>
      </c>
      <c r="F1994">
        <v>9219</v>
      </c>
      <c r="G1994" t="s">
        <v>19</v>
      </c>
      <c r="H1994" t="s">
        <v>31</v>
      </c>
      <c r="I1994" t="s">
        <v>24</v>
      </c>
      <c r="J1994" s="2">
        <f>Table1[[#This Row],[Profit]]/Table1[[#This Row],[Sales]]*100</f>
        <v>20.870214837117697</v>
      </c>
      <c r="K1994" t="str">
        <f>IF(Table1[[#This Row],[Sales]]&gt;=30000,"High", IF(Table1[[#This Row],[Sales]]&gt;=15000,"Medium","Low"))</f>
        <v>High</v>
      </c>
      <c r="L1994" t="str">
        <f>TEXT(Table1[[#This Row],[Order_Date]],"MMM")</f>
        <v>Jul</v>
      </c>
      <c r="M1994" t="str">
        <f>IF(Table1[[#This Row],[Profit]]&gt;=10000,"Excellent",IF(Table1[[#This Row],[Profit]]&gt;5000,"Good","Low"))</f>
        <v>Good</v>
      </c>
      <c r="N1994" t="str">
        <f>TEXT(Table1[[#This Row],[Order_Date]],"YYYY")</f>
        <v>2024</v>
      </c>
    </row>
    <row r="1995" spans="1:14" x14ac:dyDescent="0.25">
      <c r="A1995" s="1">
        <v>46148</v>
      </c>
      <c r="B1995" t="s">
        <v>44</v>
      </c>
      <c r="C1995" t="s">
        <v>18</v>
      </c>
      <c r="D1995">
        <v>29159</v>
      </c>
      <c r="E1995">
        <v>15407</v>
      </c>
      <c r="F1995">
        <v>13752</v>
      </c>
      <c r="G1995" t="s">
        <v>27</v>
      </c>
      <c r="H1995" t="s">
        <v>63</v>
      </c>
      <c r="I1995" t="s">
        <v>15</v>
      </c>
      <c r="J1995" s="2">
        <f>Table1[[#This Row],[Profit]]/Table1[[#This Row],[Sales]]*100</f>
        <v>47.162111183511094</v>
      </c>
      <c r="K1995" t="str">
        <f>IF(Table1[[#This Row],[Sales]]&gt;=30000,"High", IF(Table1[[#This Row],[Sales]]&gt;=15000,"Medium","Low"))</f>
        <v>Medium</v>
      </c>
      <c r="L1995" t="str">
        <f>TEXT(Table1[[#This Row],[Order_Date]],"MMM")</f>
        <v>May</v>
      </c>
      <c r="M1995" t="str">
        <f>IF(Table1[[#This Row],[Profit]]&gt;=10000,"Excellent",IF(Table1[[#This Row],[Profit]]&gt;5000,"Good","Low"))</f>
        <v>Excellent</v>
      </c>
      <c r="N1995" t="str">
        <f>TEXT(Table1[[#This Row],[Order_Date]],"YYYY")</f>
        <v>2026</v>
      </c>
    </row>
    <row r="1996" spans="1:14" x14ac:dyDescent="0.25">
      <c r="A1996" s="1">
        <v>45115</v>
      </c>
      <c r="B1996" t="s">
        <v>17</v>
      </c>
      <c r="C1996" t="s">
        <v>18</v>
      </c>
      <c r="D1996">
        <v>35012</v>
      </c>
      <c r="E1996">
        <v>21093</v>
      </c>
      <c r="F1996">
        <v>13919</v>
      </c>
      <c r="G1996" t="s">
        <v>13</v>
      </c>
      <c r="H1996" t="s">
        <v>23</v>
      </c>
      <c r="I1996" t="s">
        <v>24</v>
      </c>
      <c r="J1996" s="2">
        <f>Table1[[#This Row],[Profit]]/Table1[[#This Row],[Sales]]*100</f>
        <v>39.75494116302982</v>
      </c>
      <c r="K1996" t="str">
        <f>IF(Table1[[#This Row],[Sales]]&gt;=30000,"High", IF(Table1[[#This Row],[Sales]]&gt;=15000,"Medium","Low"))</f>
        <v>High</v>
      </c>
      <c r="L1996" t="str">
        <f>TEXT(Table1[[#This Row],[Order_Date]],"MMM")</f>
        <v>Jul</v>
      </c>
      <c r="M1996" t="str">
        <f>IF(Table1[[#This Row],[Profit]]&gt;=10000,"Excellent",IF(Table1[[#This Row],[Profit]]&gt;5000,"Good","Low"))</f>
        <v>Excellent</v>
      </c>
      <c r="N1996" t="str">
        <f>TEXT(Table1[[#This Row],[Order_Date]],"YYYY")</f>
        <v>2023</v>
      </c>
    </row>
    <row r="1997" spans="1:14" x14ac:dyDescent="0.25">
      <c r="A1997" s="1">
        <v>45192</v>
      </c>
      <c r="B1997" t="s">
        <v>26</v>
      </c>
      <c r="C1997" t="s">
        <v>41</v>
      </c>
      <c r="D1997">
        <v>21009</v>
      </c>
      <c r="E1997">
        <v>16352</v>
      </c>
      <c r="F1997">
        <v>4657</v>
      </c>
      <c r="G1997" t="s">
        <v>13</v>
      </c>
      <c r="H1997" t="s">
        <v>31</v>
      </c>
      <c r="I1997" t="s">
        <v>24</v>
      </c>
      <c r="J1997" s="2">
        <f>Table1[[#This Row],[Profit]]/Table1[[#This Row],[Sales]]*100</f>
        <v>22.166690465990765</v>
      </c>
      <c r="K1997" t="str">
        <f>IF(Table1[[#This Row],[Sales]]&gt;=30000,"High", IF(Table1[[#This Row],[Sales]]&gt;=15000,"Medium","Low"))</f>
        <v>Medium</v>
      </c>
      <c r="L1997" t="str">
        <f>TEXT(Table1[[#This Row],[Order_Date]],"MMM")</f>
        <v>Sep</v>
      </c>
      <c r="M1997" t="str">
        <f>IF(Table1[[#This Row],[Profit]]&gt;=10000,"Excellent",IF(Table1[[#This Row],[Profit]]&gt;5000,"Good","Low"))</f>
        <v>Low</v>
      </c>
      <c r="N1997" t="str">
        <f>TEXT(Table1[[#This Row],[Order_Date]],"YYYY")</f>
        <v>2023</v>
      </c>
    </row>
    <row r="1998" spans="1:14" x14ac:dyDescent="0.25">
      <c r="A1998" s="1">
        <v>45863</v>
      </c>
      <c r="B1998" t="s">
        <v>44</v>
      </c>
      <c r="C1998" t="s">
        <v>18</v>
      </c>
      <c r="D1998">
        <v>16730</v>
      </c>
      <c r="E1998">
        <v>13293</v>
      </c>
      <c r="F1998">
        <v>3437</v>
      </c>
      <c r="G1998" t="s">
        <v>27</v>
      </c>
      <c r="H1998" t="s">
        <v>28</v>
      </c>
      <c r="I1998" t="s">
        <v>29</v>
      </c>
      <c r="J1998" s="2">
        <f>Table1[[#This Row],[Profit]]/Table1[[#This Row],[Sales]]*100</f>
        <v>20.543933054393303</v>
      </c>
      <c r="K1998" t="str">
        <f>IF(Table1[[#This Row],[Sales]]&gt;=30000,"High", IF(Table1[[#This Row],[Sales]]&gt;=15000,"Medium","Low"))</f>
        <v>Medium</v>
      </c>
      <c r="L1998" t="str">
        <f>TEXT(Table1[[#This Row],[Order_Date]],"MMM")</f>
        <v>Jul</v>
      </c>
      <c r="M1998" t="str">
        <f>IF(Table1[[#This Row],[Profit]]&gt;=10000,"Excellent",IF(Table1[[#This Row],[Profit]]&gt;5000,"Good","Low"))</f>
        <v>Low</v>
      </c>
      <c r="N1998" t="str">
        <f>TEXT(Table1[[#This Row],[Order_Date]],"YYYY")</f>
        <v>2025</v>
      </c>
    </row>
    <row r="1999" spans="1:14" x14ac:dyDescent="0.25">
      <c r="A1999" s="1">
        <v>45248</v>
      </c>
      <c r="B1999" t="s">
        <v>44</v>
      </c>
      <c r="C1999" t="s">
        <v>41</v>
      </c>
      <c r="D1999">
        <v>11485</v>
      </c>
      <c r="E1999">
        <v>4534</v>
      </c>
      <c r="F1999">
        <v>6951</v>
      </c>
      <c r="G1999" t="s">
        <v>19</v>
      </c>
      <c r="H1999" t="s">
        <v>45</v>
      </c>
      <c r="I1999" t="s">
        <v>24</v>
      </c>
      <c r="J1999" s="2">
        <f>Table1[[#This Row],[Profit]]/Table1[[#This Row],[Sales]]*100</f>
        <v>60.522420548541575</v>
      </c>
      <c r="K1999" t="str">
        <f>IF(Table1[[#This Row],[Sales]]&gt;=30000,"High", IF(Table1[[#This Row],[Sales]]&gt;=15000,"Medium","Low"))</f>
        <v>Low</v>
      </c>
      <c r="L1999" t="str">
        <f>TEXT(Table1[[#This Row],[Order_Date]],"MMM")</f>
        <v>Nov</v>
      </c>
      <c r="M1999" t="str">
        <f>IF(Table1[[#This Row],[Profit]]&gt;=10000,"Excellent",IF(Table1[[#This Row],[Profit]]&gt;5000,"Good","Low"))</f>
        <v>Good</v>
      </c>
      <c r="N1999" t="str">
        <f>TEXT(Table1[[#This Row],[Order_Date]],"YYYY")</f>
        <v>2023</v>
      </c>
    </row>
    <row r="2000" spans="1:14" x14ac:dyDescent="0.25">
      <c r="A2000" s="1">
        <v>45714</v>
      </c>
      <c r="B2000" t="s">
        <v>22</v>
      </c>
      <c r="C2000" t="s">
        <v>41</v>
      </c>
      <c r="D2000">
        <v>26132</v>
      </c>
      <c r="E2000">
        <v>9923</v>
      </c>
      <c r="F2000">
        <v>16209</v>
      </c>
      <c r="G2000" t="s">
        <v>38</v>
      </c>
      <c r="H2000" t="s">
        <v>45</v>
      </c>
      <c r="I2000" t="s">
        <v>24</v>
      </c>
      <c r="J2000" s="2">
        <f>Table1[[#This Row],[Profit]]/Table1[[#This Row],[Sales]]*100</f>
        <v>62.027399357110056</v>
      </c>
      <c r="K2000" t="str">
        <f>IF(Table1[[#This Row],[Sales]]&gt;=30000,"High", IF(Table1[[#This Row],[Sales]]&gt;=15000,"Medium","Low"))</f>
        <v>Medium</v>
      </c>
      <c r="L2000" t="str">
        <f>TEXT(Table1[[#This Row],[Order_Date]],"MMM")</f>
        <v>Feb</v>
      </c>
      <c r="M2000" t="str">
        <f>IF(Table1[[#This Row],[Profit]]&gt;=10000,"Excellent",IF(Table1[[#This Row],[Profit]]&gt;5000,"Good","Low"))</f>
        <v>Excellent</v>
      </c>
      <c r="N2000" t="str">
        <f>TEXT(Table1[[#This Row],[Order_Date]],"YYYY")</f>
        <v>2025</v>
      </c>
    </row>
    <row r="2001" spans="1:14" x14ac:dyDescent="0.25">
      <c r="A2001" s="1">
        <v>45508</v>
      </c>
      <c r="B2001" t="s">
        <v>44</v>
      </c>
      <c r="C2001" t="s">
        <v>41</v>
      </c>
      <c r="D2001">
        <v>28187</v>
      </c>
      <c r="E2001">
        <v>12315</v>
      </c>
      <c r="F2001">
        <v>15872</v>
      </c>
      <c r="G2001" t="s">
        <v>27</v>
      </c>
      <c r="H2001" t="s">
        <v>28</v>
      </c>
      <c r="I2001" t="s">
        <v>53</v>
      </c>
      <c r="J2001" s="2">
        <f>Table1[[#This Row],[Profit]]/Table1[[#This Row],[Sales]]*100</f>
        <v>56.309646290843297</v>
      </c>
      <c r="K2001" t="str">
        <f>IF(Table1[[#This Row],[Sales]]&gt;=30000,"High", IF(Table1[[#This Row],[Sales]]&gt;=15000,"Medium","Low"))</f>
        <v>Medium</v>
      </c>
      <c r="L2001" t="str">
        <f>TEXT(Table1[[#This Row],[Order_Date]],"MMM")</f>
        <v>Aug</v>
      </c>
      <c r="M2001" t="str">
        <f>IF(Table1[[#This Row],[Profit]]&gt;=10000,"Excellent",IF(Table1[[#This Row],[Profit]]&gt;5000,"Good","Low"))</f>
        <v>Excellent</v>
      </c>
      <c r="N2001" t="str">
        <f>TEXT(Table1[[#This Row],[Order_Date]],"YYYY")</f>
        <v>2024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workbookViewId="0"/>
  </sheetViews>
  <sheetFormatPr defaultRowHeight="15" x14ac:dyDescent="0.25"/>
  <cols>
    <col min="1" max="1" width="12.5703125" customWidth="1"/>
    <col min="2" max="2" width="15.28515625" customWidth="1"/>
    <col min="4" max="4" width="11.85546875" customWidth="1"/>
    <col min="5" max="5" width="12.5703125" bestFit="1" customWidth="1"/>
    <col min="7" max="7" width="13.140625" customWidth="1"/>
    <col min="8" max="8" width="12.140625" customWidth="1"/>
    <col min="10" max="10" width="13.140625" bestFit="1" customWidth="1"/>
    <col min="11" max="11" width="19.5703125" bestFit="1" customWidth="1"/>
  </cols>
  <sheetData>
    <row r="2" spans="1:8" x14ac:dyDescent="0.25">
      <c r="A2" s="6" t="s">
        <v>2050</v>
      </c>
      <c r="B2" s="6"/>
      <c r="D2" s="6" t="s">
        <v>2048</v>
      </c>
      <c r="E2" s="6"/>
      <c r="G2" s="6" t="s">
        <v>2051</v>
      </c>
      <c r="H2" s="6"/>
    </row>
    <row r="3" spans="1:8" x14ac:dyDescent="0.25">
      <c r="A3" s="3" t="s">
        <v>2044</v>
      </c>
      <c r="B3" t="s">
        <v>2046</v>
      </c>
      <c r="D3" s="3" t="s">
        <v>2044</v>
      </c>
      <c r="E3" t="s">
        <v>2047</v>
      </c>
      <c r="G3" s="3" t="s">
        <v>2044</v>
      </c>
      <c r="H3" t="s">
        <v>2046</v>
      </c>
    </row>
    <row r="4" spans="1:8" x14ac:dyDescent="0.25">
      <c r="A4" s="4" t="s">
        <v>17</v>
      </c>
      <c r="B4" s="7">
        <v>11526352</v>
      </c>
      <c r="D4" s="4" t="s">
        <v>41</v>
      </c>
      <c r="E4" s="5">
        <v>4112019</v>
      </c>
      <c r="G4" s="4" t="s">
        <v>63</v>
      </c>
      <c r="H4" s="5">
        <v>6183252</v>
      </c>
    </row>
    <row r="5" spans="1:8" x14ac:dyDescent="0.25">
      <c r="A5" s="4" t="s">
        <v>44</v>
      </c>
      <c r="B5" s="7">
        <v>11322613</v>
      </c>
      <c r="D5" s="4" t="s">
        <v>33</v>
      </c>
      <c r="E5" s="5">
        <v>3619339</v>
      </c>
      <c r="G5" s="4" t="s">
        <v>45</v>
      </c>
      <c r="H5" s="5">
        <v>6011317</v>
      </c>
    </row>
    <row r="6" spans="1:8" x14ac:dyDescent="0.25">
      <c r="A6" s="4" t="s">
        <v>11</v>
      </c>
      <c r="B6" s="7">
        <v>10964509</v>
      </c>
      <c r="D6" s="4" t="s">
        <v>18</v>
      </c>
      <c r="E6" s="5">
        <v>3612139</v>
      </c>
      <c r="G6" s="4" t="s">
        <v>31</v>
      </c>
      <c r="H6" s="5">
        <v>5967111</v>
      </c>
    </row>
    <row r="7" spans="1:8" x14ac:dyDescent="0.25">
      <c r="A7" s="4" t="s">
        <v>22</v>
      </c>
      <c r="B7" s="7">
        <v>10545174</v>
      </c>
      <c r="D7" s="4" t="s">
        <v>12</v>
      </c>
      <c r="E7" s="5">
        <v>3547571</v>
      </c>
      <c r="G7" s="4" t="s">
        <v>14</v>
      </c>
      <c r="H7" s="5">
        <v>5878456</v>
      </c>
    </row>
    <row r="8" spans="1:8" x14ac:dyDescent="0.25">
      <c r="A8" s="4" t="s">
        <v>26</v>
      </c>
      <c r="B8" s="7">
        <v>10438956</v>
      </c>
      <c r="D8" s="4" t="s">
        <v>36</v>
      </c>
      <c r="E8" s="5">
        <v>3374347</v>
      </c>
      <c r="G8" s="4" t="s">
        <v>34</v>
      </c>
      <c r="H8" s="5">
        <v>5774484</v>
      </c>
    </row>
    <row r="9" spans="1:8" x14ac:dyDescent="0.25">
      <c r="A9" s="4" t="s">
        <v>2045</v>
      </c>
      <c r="B9" s="7">
        <v>54797604</v>
      </c>
      <c r="D9" s="4" t="s">
        <v>2045</v>
      </c>
      <c r="E9" s="5">
        <v>18265415</v>
      </c>
      <c r="G9" s="4" t="s">
        <v>28</v>
      </c>
      <c r="H9" s="5">
        <v>5564845</v>
      </c>
    </row>
    <row r="10" spans="1:8" x14ac:dyDescent="0.25">
      <c r="G10" s="4" t="s">
        <v>60</v>
      </c>
      <c r="H10" s="5">
        <v>5226540</v>
      </c>
    </row>
    <row r="11" spans="1:8" x14ac:dyDescent="0.25">
      <c r="A11" s="8" t="s">
        <v>2053</v>
      </c>
      <c r="B11" s="6"/>
      <c r="D11" s="9" t="s">
        <v>2054</v>
      </c>
      <c r="E11" s="10"/>
      <c r="G11" s="4" t="s">
        <v>20</v>
      </c>
      <c r="H11" s="5">
        <v>4874065</v>
      </c>
    </row>
    <row r="12" spans="1:8" x14ac:dyDescent="0.25">
      <c r="A12" s="3" t="s">
        <v>2044</v>
      </c>
      <c r="B12" t="s">
        <v>2046</v>
      </c>
      <c r="D12" t="s">
        <v>2057</v>
      </c>
      <c r="G12" s="4" t="s">
        <v>78</v>
      </c>
      <c r="H12" s="5">
        <v>4822173</v>
      </c>
    </row>
    <row r="13" spans="1:8" x14ac:dyDescent="0.25">
      <c r="A13" s="4" t="s">
        <v>13</v>
      </c>
      <c r="B13" s="7">
        <v>14095273</v>
      </c>
      <c r="D13" s="7">
        <v>27398.802</v>
      </c>
      <c r="G13" s="4" t="s">
        <v>23</v>
      </c>
      <c r="H13" s="5">
        <v>4495361</v>
      </c>
    </row>
    <row r="14" spans="1:8" x14ac:dyDescent="0.25">
      <c r="A14" s="4" t="s">
        <v>27</v>
      </c>
      <c r="B14" s="7">
        <v>13018589</v>
      </c>
      <c r="G14" s="4" t="s">
        <v>2045</v>
      </c>
      <c r="H14" s="5">
        <v>54797604</v>
      </c>
    </row>
    <row r="15" spans="1:8" x14ac:dyDescent="0.25">
      <c r="A15" s="4" t="s">
        <v>38</v>
      </c>
      <c r="B15" s="7">
        <v>13593055</v>
      </c>
      <c r="D15" s="9" t="s">
        <v>2055</v>
      </c>
      <c r="E15" s="6"/>
    </row>
    <row r="16" spans="1:8" x14ac:dyDescent="0.25">
      <c r="A16" s="4" t="s">
        <v>19</v>
      </c>
      <c r="B16" s="7">
        <v>14090687</v>
      </c>
      <c r="D16" t="s">
        <v>2058</v>
      </c>
    </row>
    <row r="17" spans="1:5" x14ac:dyDescent="0.25">
      <c r="A17" s="4" t="s">
        <v>2045</v>
      </c>
      <c r="B17" s="7">
        <v>54797604</v>
      </c>
      <c r="D17" s="7">
        <v>19997</v>
      </c>
    </row>
    <row r="19" spans="1:5" x14ac:dyDescent="0.25">
      <c r="A19" s="6" t="s">
        <v>2052</v>
      </c>
      <c r="B19" s="6"/>
      <c r="D19" s="9" t="s">
        <v>2056</v>
      </c>
      <c r="E19" s="10"/>
    </row>
    <row r="20" spans="1:5" x14ac:dyDescent="0.25">
      <c r="A20" s="3" t="s">
        <v>2044</v>
      </c>
      <c r="B20" t="s">
        <v>2049</v>
      </c>
      <c r="D20" t="s">
        <v>2059</v>
      </c>
    </row>
    <row r="21" spans="1:5" x14ac:dyDescent="0.25">
      <c r="A21" s="4" t="s">
        <v>24</v>
      </c>
      <c r="B21" s="5">
        <v>389</v>
      </c>
      <c r="D21" s="7">
        <v>5008</v>
      </c>
    </row>
    <row r="22" spans="1:5" x14ac:dyDescent="0.25">
      <c r="A22" s="4" t="s">
        <v>42</v>
      </c>
      <c r="B22" s="5">
        <v>367</v>
      </c>
    </row>
    <row r="23" spans="1:5" x14ac:dyDescent="0.25">
      <c r="A23" s="4" t="s">
        <v>53</v>
      </c>
      <c r="B23" s="5">
        <v>398</v>
      </c>
    </row>
    <row r="24" spans="1:5" x14ac:dyDescent="0.25">
      <c r="A24" s="4" t="s">
        <v>29</v>
      </c>
      <c r="B24" s="5">
        <v>423</v>
      </c>
    </row>
    <row r="25" spans="1:5" x14ac:dyDescent="0.25">
      <c r="A25" s="4" t="s">
        <v>15</v>
      </c>
      <c r="B25" s="5">
        <v>423</v>
      </c>
    </row>
    <row r="26" spans="1:5" x14ac:dyDescent="0.25">
      <c r="A26" s="4" t="s">
        <v>2045</v>
      </c>
      <c r="B26" s="5">
        <v>2000</v>
      </c>
    </row>
  </sheetData>
  <pageMargins left="0.7" right="0.7" top="0.75" bottom="0.75" header="0.3" footer="0.3"/>
  <pageSetup paperSize="9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Financial_Analytical_datas</vt:lpstr>
      <vt:lpstr>pivot_table</vt:lpstr>
      <vt:lpstr>Requirements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2026-07-07T06:10:23Z</dcterms:created>
  <dcterms:modified xsi:type="dcterms:W3CDTF">2026-07-08T10:50:21Z</dcterms:modified>
</cp:coreProperties>
</file>